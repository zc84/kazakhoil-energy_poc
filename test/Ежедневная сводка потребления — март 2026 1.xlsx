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26" activeTab="30"/>
  </bookViews>
  <sheets>
    <sheet name="01.03" sheetId="1" r:id="rId1"/>
    <sheet name="02.03" sheetId="2" r:id="rId2"/>
    <sheet name="03.03" sheetId="3" r:id="rId3"/>
    <sheet name="04.03" sheetId="4" r:id="rId4"/>
    <sheet name="05.03" sheetId="5" r:id="rId5"/>
    <sheet name="06.03" sheetId="6" r:id="rId6"/>
    <sheet name="07.03" sheetId="7" r:id="rId7"/>
    <sheet name="08.03" sheetId="8" r:id="rId8"/>
    <sheet name="09.03" sheetId="9" r:id="rId9"/>
    <sheet name="10.03" sheetId="11" r:id="rId10"/>
    <sheet name="11.03" sheetId="10" r:id="rId11"/>
    <sheet name="12.03" sheetId="12" r:id="rId12"/>
    <sheet name="13.03" sheetId="13" r:id="rId13"/>
    <sheet name="14.03" sheetId="14" r:id="rId14"/>
    <sheet name="15.03" sheetId="15" r:id="rId15"/>
    <sheet name="16.03" sheetId="16" r:id="rId16"/>
    <sheet name="17.03" sheetId="17" r:id="rId17"/>
    <sheet name="18.03" sheetId="18" r:id="rId18"/>
    <sheet name="19.03" sheetId="19" r:id="rId19"/>
    <sheet name="20.03" sheetId="20" r:id="rId20"/>
    <sheet name="21.03" sheetId="21" r:id="rId21"/>
    <sheet name="22.03" sheetId="22" r:id="rId22"/>
    <sheet name="23.03" sheetId="23" r:id="rId23"/>
    <sheet name="24.03" sheetId="24" r:id="rId24"/>
    <sheet name="25.03" sheetId="25" r:id="rId25"/>
    <sheet name="26.03" sheetId="26" r:id="rId26"/>
    <sheet name="27.03" sheetId="27" r:id="rId27"/>
    <sheet name="28.03" sheetId="28" r:id="rId28"/>
    <sheet name="29.03" sheetId="29" r:id="rId29"/>
    <sheet name="30.03" sheetId="30" r:id="rId30"/>
    <sheet name="31.03" sheetId="31" r:id="rId3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9" i="31" l="1"/>
  <c r="H97" i="31"/>
  <c r="H96" i="31"/>
  <c r="H95" i="31"/>
  <c r="H94" i="31"/>
  <c r="H93" i="31"/>
  <c r="H92" i="31"/>
  <c r="H91" i="31"/>
  <c r="H89" i="31"/>
  <c r="H88" i="31"/>
  <c r="H86" i="31"/>
  <c r="H85" i="31"/>
  <c r="H84" i="31"/>
  <c r="H83" i="31"/>
  <c r="H80" i="31"/>
  <c r="H79" i="31"/>
  <c r="H78" i="31"/>
  <c r="H77" i="31"/>
  <c r="H76" i="31"/>
  <c r="H75" i="31"/>
  <c r="H74" i="31"/>
  <c r="H72" i="31"/>
  <c r="H71" i="31"/>
  <c r="H73" i="31" s="1"/>
  <c r="H69" i="31"/>
  <c r="H68" i="31"/>
  <c r="H67" i="31"/>
  <c r="H66" i="31"/>
  <c r="H63" i="31"/>
  <c r="H62" i="31"/>
  <c r="H61" i="31"/>
  <c r="D61" i="31"/>
  <c r="H60" i="31"/>
  <c r="D60" i="31"/>
  <c r="H59" i="31"/>
  <c r="H58" i="31"/>
  <c r="H56" i="31"/>
  <c r="H55" i="31"/>
  <c r="H52" i="31"/>
  <c r="H51" i="31"/>
  <c r="H47" i="31"/>
  <c r="H46" i="31"/>
  <c r="H45" i="31"/>
  <c r="H44" i="31"/>
  <c r="H43" i="31"/>
  <c r="H40" i="31"/>
  <c r="H39" i="31"/>
  <c r="H41" i="31" s="1"/>
  <c r="H37" i="31"/>
  <c r="H36" i="31"/>
  <c r="H33" i="31"/>
  <c r="H32" i="31"/>
  <c r="H31" i="31"/>
  <c r="H30" i="31"/>
  <c r="H29" i="31"/>
  <c r="D29" i="31"/>
  <c r="H28" i="31"/>
  <c r="D28" i="31"/>
  <c r="H27" i="31"/>
  <c r="H26" i="31"/>
  <c r="H25" i="31"/>
  <c r="H24" i="31"/>
  <c r="H23" i="31"/>
  <c r="H22" i="31"/>
  <c r="H21" i="31"/>
  <c r="H20" i="31"/>
  <c r="H18" i="31"/>
  <c r="H17" i="31"/>
  <c r="H19" i="31" s="1"/>
  <c r="H15" i="31"/>
  <c r="H14" i="31"/>
  <c r="H13" i="31"/>
  <c r="H12" i="31"/>
  <c r="H11" i="31"/>
  <c r="H10" i="31"/>
  <c r="H8" i="31"/>
  <c r="H7" i="31"/>
  <c r="H9" i="31" s="1"/>
  <c r="H5" i="31"/>
  <c r="H4" i="31"/>
  <c r="H6" i="31" s="1"/>
  <c r="H87" i="31" l="1"/>
  <c r="H70" i="31"/>
  <c r="I70" i="31" s="1"/>
  <c r="J70" i="31" s="1"/>
  <c r="H54" i="31"/>
  <c r="H57" i="31"/>
  <c r="H49" i="31"/>
  <c r="I41" i="31" s="1"/>
  <c r="J41" i="31" s="1"/>
  <c r="I6" i="31"/>
  <c r="J6" i="31" s="1"/>
  <c r="H34" i="31"/>
  <c r="I19" i="31" s="1"/>
  <c r="J19" i="31" s="1"/>
  <c r="H64" i="31"/>
  <c r="I57" i="31" s="1"/>
  <c r="J57" i="31" s="1"/>
  <c r="H16" i="31"/>
  <c r="I9" i="31" s="1"/>
  <c r="J9" i="31" s="1"/>
  <c r="H81" i="31"/>
  <c r="I73" i="31" s="1"/>
  <c r="J73" i="31" s="1"/>
  <c r="H90" i="31"/>
  <c r="H98" i="31"/>
  <c r="H99" i="30"/>
  <c r="H97" i="30"/>
  <c r="H96" i="30"/>
  <c r="H95" i="30"/>
  <c r="H94" i="30"/>
  <c r="H93" i="30"/>
  <c r="H92" i="30"/>
  <c r="H91" i="30"/>
  <c r="H89" i="30"/>
  <c r="H88" i="30"/>
  <c r="H86" i="30"/>
  <c r="H85" i="30"/>
  <c r="H84" i="30"/>
  <c r="H83" i="30"/>
  <c r="H87" i="30" s="1"/>
  <c r="H80" i="30"/>
  <c r="H79" i="30"/>
  <c r="H78" i="30"/>
  <c r="H77" i="30"/>
  <c r="H76" i="30"/>
  <c r="H75" i="30"/>
  <c r="H74" i="30"/>
  <c r="H72" i="30"/>
  <c r="H71" i="30"/>
  <c r="H69" i="30"/>
  <c r="H68" i="30"/>
  <c r="H67" i="30"/>
  <c r="H66" i="30"/>
  <c r="H63" i="30"/>
  <c r="H62" i="30"/>
  <c r="H61" i="30"/>
  <c r="D61" i="30"/>
  <c r="H60" i="30"/>
  <c r="D60" i="30"/>
  <c r="H59" i="30"/>
  <c r="H58" i="30"/>
  <c r="H56" i="30"/>
  <c r="H55" i="30"/>
  <c r="H52" i="30"/>
  <c r="H51" i="30"/>
  <c r="H47" i="30"/>
  <c r="H46" i="30"/>
  <c r="H45" i="30"/>
  <c r="H44" i="30"/>
  <c r="H43" i="30"/>
  <c r="H40" i="30"/>
  <c r="H39" i="30"/>
  <c r="H37" i="30"/>
  <c r="H36" i="30"/>
  <c r="H33" i="30"/>
  <c r="H32" i="30"/>
  <c r="H31" i="30"/>
  <c r="H30" i="30"/>
  <c r="H29" i="30"/>
  <c r="D29" i="30"/>
  <c r="H28" i="30"/>
  <c r="D28" i="30"/>
  <c r="H27" i="30"/>
  <c r="H26" i="30"/>
  <c r="H25" i="30"/>
  <c r="H24" i="30"/>
  <c r="H23" i="30"/>
  <c r="H22" i="30"/>
  <c r="H21" i="30"/>
  <c r="H20" i="30"/>
  <c r="H18" i="30"/>
  <c r="H17" i="30"/>
  <c r="H15" i="30"/>
  <c r="H14" i="30"/>
  <c r="H13" i="30"/>
  <c r="H12" i="30"/>
  <c r="H11" i="30"/>
  <c r="H10" i="30"/>
  <c r="H8" i="30"/>
  <c r="H7" i="30"/>
  <c r="H5" i="30"/>
  <c r="H4" i="30"/>
  <c r="I90" i="31" l="1"/>
  <c r="J90" i="31" s="1"/>
  <c r="I87" i="31"/>
  <c r="J87" i="31" s="1"/>
  <c r="H90" i="30"/>
  <c r="I87" i="30" s="1"/>
  <c r="J87" i="30" s="1"/>
  <c r="H54" i="30"/>
  <c r="H9" i="30"/>
  <c r="I6" i="30" s="1"/>
  <c r="J6" i="30" s="1"/>
  <c r="H19" i="30"/>
  <c r="H41" i="30"/>
  <c r="H73" i="30"/>
  <c r="H98" i="30"/>
  <c r="H6" i="30"/>
  <c r="H57" i="30"/>
  <c r="H64" i="30"/>
  <c r="I57" i="30" s="1"/>
  <c r="J57" i="30" s="1"/>
  <c r="H34" i="30"/>
  <c r="I19" i="30" s="1"/>
  <c r="J19" i="30" s="1"/>
  <c r="H81" i="30"/>
  <c r="H16" i="30"/>
  <c r="I9" i="30" s="1"/>
  <c r="J9" i="30" s="1"/>
  <c r="H49" i="30"/>
  <c r="H70" i="30"/>
  <c r="I90" i="30"/>
  <c r="J90" i="30" s="1"/>
  <c r="H99" i="29"/>
  <c r="H97" i="29"/>
  <c r="H96" i="29"/>
  <c r="H95" i="29"/>
  <c r="H94" i="29"/>
  <c r="H93" i="29"/>
  <c r="H92" i="29"/>
  <c r="H91" i="29"/>
  <c r="H89" i="29"/>
  <c r="H88" i="29"/>
  <c r="H86" i="29"/>
  <c r="H85" i="29"/>
  <c r="H84" i="29"/>
  <c r="H83" i="29"/>
  <c r="H80" i="29"/>
  <c r="H79" i="29"/>
  <c r="H78" i="29"/>
  <c r="H77" i="29"/>
  <c r="H76" i="29"/>
  <c r="H75" i="29"/>
  <c r="H74" i="29"/>
  <c r="H72" i="29"/>
  <c r="H71" i="29"/>
  <c r="H73" i="29" s="1"/>
  <c r="H69" i="29"/>
  <c r="H68" i="29"/>
  <c r="H67" i="29"/>
  <c r="H66" i="29"/>
  <c r="H70" i="29" s="1"/>
  <c r="H63" i="29"/>
  <c r="H62" i="29"/>
  <c r="H61" i="29"/>
  <c r="D61" i="29"/>
  <c r="H60" i="29"/>
  <c r="D60" i="29"/>
  <c r="H59" i="29"/>
  <c r="H58" i="29"/>
  <c r="H56" i="29"/>
  <c r="H55" i="29"/>
  <c r="H52" i="29"/>
  <c r="H51" i="29"/>
  <c r="H47" i="29"/>
  <c r="H46" i="29"/>
  <c r="H45" i="29"/>
  <c r="H44" i="29"/>
  <c r="H43" i="29"/>
  <c r="H40" i="29"/>
  <c r="H39" i="29"/>
  <c r="H37" i="29"/>
  <c r="H36" i="29"/>
  <c r="H33" i="29"/>
  <c r="H32" i="29"/>
  <c r="H31" i="29"/>
  <c r="H30" i="29"/>
  <c r="H29" i="29"/>
  <c r="D29" i="29"/>
  <c r="H28" i="29"/>
  <c r="D28" i="29"/>
  <c r="H27" i="29"/>
  <c r="H26" i="29"/>
  <c r="H25" i="29"/>
  <c r="H24" i="29"/>
  <c r="H23" i="29"/>
  <c r="H22" i="29"/>
  <c r="H21" i="29"/>
  <c r="H20" i="29"/>
  <c r="H18" i="29"/>
  <c r="H17" i="29"/>
  <c r="H15" i="29"/>
  <c r="H14" i="29"/>
  <c r="H13" i="29"/>
  <c r="H12" i="29"/>
  <c r="H11" i="29"/>
  <c r="H10" i="29"/>
  <c r="H8" i="29"/>
  <c r="H7" i="29"/>
  <c r="H5" i="29"/>
  <c r="H4" i="29"/>
  <c r="H6" i="29" s="1"/>
  <c r="I41" i="30" l="1"/>
  <c r="J41" i="30" s="1"/>
  <c r="I70" i="30"/>
  <c r="J70" i="30" s="1"/>
  <c r="I73" i="30"/>
  <c r="J73" i="30" s="1"/>
  <c r="H81" i="29"/>
  <c r="I73" i="29" s="1"/>
  <c r="J73" i="29" s="1"/>
  <c r="H54" i="29"/>
  <c r="H16" i="29"/>
  <c r="H57" i="29"/>
  <c r="I70" i="29"/>
  <c r="J70" i="29" s="1"/>
  <c r="H98" i="29"/>
  <c r="H34" i="29"/>
  <c r="H49" i="29"/>
  <c r="H9" i="29"/>
  <c r="H19" i="29"/>
  <c r="H41" i="29"/>
  <c r="H87" i="29"/>
  <c r="H90" i="29"/>
  <c r="H64" i="29"/>
  <c r="I57" i="29" s="1"/>
  <c r="J57" i="29" s="1"/>
  <c r="H99" i="28"/>
  <c r="H97" i="28"/>
  <c r="H96" i="28"/>
  <c r="H95" i="28"/>
  <c r="H94" i="28"/>
  <c r="H93" i="28"/>
  <c r="H92" i="28"/>
  <c r="H91" i="28"/>
  <c r="H89" i="28"/>
  <c r="H88" i="28"/>
  <c r="H86" i="28"/>
  <c r="H85" i="28"/>
  <c r="H84" i="28"/>
  <c r="H83" i="28"/>
  <c r="H80" i="28"/>
  <c r="H79" i="28"/>
  <c r="H78" i="28"/>
  <c r="H77" i="28"/>
  <c r="H76" i="28"/>
  <c r="H75" i="28"/>
  <c r="H74" i="28"/>
  <c r="H72" i="28"/>
  <c r="H71" i="28"/>
  <c r="H69" i="28"/>
  <c r="H68" i="28"/>
  <c r="H67" i="28"/>
  <c r="H66" i="28"/>
  <c r="H63" i="28"/>
  <c r="H62" i="28"/>
  <c r="H61" i="28"/>
  <c r="D61" i="28"/>
  <c r="H60" i="28"/>
  <c r="D60" i="28"/>
  <c r="H59" i="28"/>
  <c r="H58" i="28"/>
  <c r="H56" i="28"/>
  <c r="H55" i="28"/>
  <c r="H52" i="28"/>
  <c r="H51" i="28"/>
  <c r="H47" i="28"/>
  <c r="H46" i="28"/>
  <c r="H45" i="28"/>
  <c r="H44" i="28"/>
  <c r="H43" i="28"/>
  <c r="H40" i="28"/>
  <c r="H39" i="28"/>
  <c r="H41" i="28" s="1"/>
  <c r="H37" i="28"/>
  <c r="H36" i="28"/>
  <c r="H33" i="28"/>
  <c r="H32" i="28"/>
  <c r="H31" i="28"/>
  <c r="H30" i="28"/>
  <c r="H29" i="28"/>
  <c r="D29" i="28"/>
  <c r="H28" i="28"/>
  <c r="D28" i="28"/>
  <c r="H27" i="28"/>
  <c r="H26" i="28"/>
  <c r="H25" i="28"/>
  <c r="H24" i="28"/>
  <c r="H23" i="28"/>
  <c r="H22" i="28"/>
  <c r="H21" i="28"/>
  <c r="H20" i="28"/>
  <c r="H18" i="28"/>
  <c r="H17" i="28"/>
  <c r="H15" i="28"/>
  <c r="H14" i="28"/>
  <c r="H13" i="28"/>
  <c r="H12" i="28"/>
  <c r="H11" i="28"/>
  <c r="H10" i="28"/>
  <c r="H8" i="28"/>
  <c r="H7" i="28"/>
  <c r="H5" i="28"/>
  <c r="H4" i="28"/>
  <c r="H6" i="28" s="1"/>
  <c r="I9" i="29" l="1"/>
  <c r="J9" i="29" s="1"/>
  <c r="I19" i="29"/>
  <c r="J19" i="29" s="1"/>
  <c r="I6" i="29"/>
  <c r="J6" i="29" s="1"/>
  <c r="I90" i="29"/>
  <c r="J90" i="29" s="1"/>
  <c r="I41" i="29"/>
  <c r="J41" i="29" s="1"/>
  <c r="I87" i="29"/>
  <c r="J87" i="29" s="1"/>
  <c r="H90" i="28"/>
  <c r="H70" i="28"/>
  <c r="H73" i="28"/>
  <c r="I70" i="28" s="1"/>
  <c r="J70" i="28" s="1"/>
  <c r="H54" i="28"/>
  <c r="H9" i="28"/>
  <c r="H19" i="28"/>
  <c r="I6" i="28" s="1"/>
  <c r="J6" i="28" s="1"/>
  <c r="H16" i="28"/>
  <c r="H34" i="28"/>
  <c r="H49" i="28"/>
  <c r="H57" i="28"/>
  <c r="H64" i="28"/>
  <c r="H87" i="28"/>
  <c r="I87" i="28" s="1"/>
  <c r="J87" i="28" s="1"/>
  <c r="H98" i="28"/>
  <c r="I90" i="28" s="1"/>
  <c r="J90" i="28" s="1"/>
  <c r="H81" i="28"/>
  <c r="I73" i="28" s="1"/>
  <c r="J73" i="28" s="1"/>
  <c r="I41" i="28"/>
  <c r="J41" i="28" s="1"/>
  <c r="H99" i="27"/>
  <c r="H97" i="27"/>
  <c r="H96" i="27"/>
  <c r="H95" i="27"/>
  <c r="H94" i="27"/>
  <c r="H93" i="27"/>
  <c r="H92" i="27"/>
  <c r="H91" i="27"/>
  <c r="H89" i="27"/>
  <c r="H88" i="27"/>
  <c r="H86" i="27"/>
  <c r="H85" i="27"/>
  <c r="H84" i="27"/>
  <c r="H83" i="27"/>
  <c r="H80" i="27"/>
  <c r="H79" i="27"/>
  <c r="H78" i="27"/>
  <c r="H77" i="27"/>
  <c r="H76" i="27"/>
  <c r="H75" i="27"/>
  <c r="H74" i="27"/>
  <c r="H72" i="27"/>
  <c r="H71" i="27"/>
  <c r="H69" i="27"/>
  <c r="H68" i="27"/>
  <c r="H67" i="27"/>
  <c r="H66" i="27"/>
  <c r="H63" i="27"/>
  <c r="H62" i="27"/>
  <c r="H61" i="27"/>
  <c r="D61" i="27"/>
  <c r="H60" i="27"/>
  <c r="D60" i="27"/>
  <c r="H59" i="27"/>
  <c r="H58" i="27"/>
  <c r="H56" i="27"/>
  <c r="H55" i="27"/>
  <c r="H52" i="27"/>
  <c r="H51" i="27"/>
  <c r="H47" i="27"/>
  <c r="H46" i="27"/>
  <c r="H45" i="27"/>
  <c r="H44" i="27"/>
  <c r="H43" i="27"/>
  <c r="H40" i="27"/>
  <c r="H39" i="27"/>
  <c r="H37" i="27"/>
  <c r="H36" i="27"/>
  <c r="H33" i="27"/>
  <c r="H32" i="27"/>
  <c r="H31" i="27"/>
  <c r="H30" i="27"/>
  <c r="H29" i="27"/>
  <c r="D29" i="27"/>
  <c r="H28" i="27"/>
  <c r="D28" i="27"/>
  <c r="H27" i="27"/>
  <c r="H26" i="27"/>
  <c r="H25" i="27"/>
  <c r="H24" i="27"/>
  <c r="H23" i="27"/>
  <c r="H22" i="27"/>
  <c r="H21" i="27"/>
  <c r="H20" i="27"/>
  <c r="H18" i="27"/>
  <c r="H17" i="27"/>
  <c r="H15" i="27"/>
  <c r="H14" i="27"/>
  <c r="H13" i="27"/>
  <c r="H12" i="27"/>
  <c r="H11" i="27"/>
  <c r="H10" i="27"/>
  <c r="H8" i="27"/>
  <c r="H7" i="27"/>
  <c r="H5" i="27"/>
  <c r="H4" i="27"/>
  <c r="I57" i="28" l="1"/>
  <c r="J57" i="28"/>
  <c r="I19" i="28"/>
  <c r="J19" i="28" s="1"/>
  <c r="I9" i="28"/>
  <c r="J9" i="28" s="1"/>
  <c r="H73" i="27"/>
  <c r="H54" i="27"/>
  <c r="H41" i="27"/>
  <c r="H64" i="27"/>
  <c r="I57" i="27" s="1"/>
  <c r="J57" i="27" s="1"/>
  <c r="H6" i="27"/>
  <c r="H90" i="27"/>
  <c r="H98" i="27"/>
  <c r="I90" i="27" s="1"/>
  <c r="J90" i="27" s="1"/>
  <c r="H16" i="27"/>
  <c r="H34" i="27"/>
  <c r="I19" i="27" s="1"/>
  <c r="J19" i="27" s="1"/>
  <c r="H49" i="27"/>
  <c r="H57" i="27"/>
  <c r="H87" i="27"/>
  <c r="H81" i="27"/>
  <c r="I73" i="27" s="1"/>
  <c r="J73" i="27" s="1"/>
  <c r="H9" i="27"/>
  <c r="H19" i="27"/>
  <c r="H70" i="27"/>
  <c r="H99" i="26"/>
  <c r="H97" i="26"/>
  <c r="H96" i="26"/>
  <c r="H95" i="26"/>
  <c r="H94" i="26"/>
  <c r="H93" i="26"/>
  <c r="H92" i="26"/>
  <c r="H91" i="26"/>
  <c r="H89" i="26"/>
  <c r="H88" i="26"/>
  <c r="H86" i="26"/>
  <c r="H85" i="26"/>
  <c r="H84" i="26"/>
  <c r="H83" i="26"/>
  <c r="H87" i="26" s="1"/>
  <c r="H80" i="26"/>
  <c r="H79" i="26"/>
  <c r="H78" i="26"/>
  <c r="H77" i="26"/>
  <c r="H76" i="26"/>
  <c r="H75" i="26"/>
  <c r="H74" i="26"/>
  <c r="H72" i="26"/>
  <c r="H71" i="26"/>
  <c r="H69" i="26"/>
  <c r="H68" i="26"/>
  <c r="H67" i="26"/>
  <c r="H66" i="26"/>
  <c r="H63" i="26"/>
  <c r="H62" i="26"/>
  <c r="H61" i="26"/>
  <c r="D61" i="26"/>
  <c r="H60" i="26"/>
  <c r="D60" i="26"/>
  <c r="H59" i="26"/>
  <c r="H58" i="26"/>
  <c r="H56" i="26"/>
  <c r="H55" i="26"/>
  <c r="H52" i="26"/>
  <c r="H51" i="26"/>
  <c r="H47" i="26"/>
  <c r="H46" i="26"/>
  <c r="H45" i="26"/>
  <c r="H44" i="26"/>
  <c r="H43" i="26"/>
  <c r="H40" i="26"/>
  <c r="H39" i="26"/>
  <c r="H41" i="26" s="1"/>
  <c r="H37" i="26"/>
  <c r="H36" i="26"/>
  <c r="H33" i="26"/>
  <c r="H32" i="26"/>
  <c r="H31" i="26"/>
  <c r="H30" i="26"/>
  <c r="H29" i="26"/>
  <c r="D29" i="26"/>
  <c r="H28" i="26"/>
  <c r="D28" i="26"/>
  <c r="H27" i="26"/>
  <c r="H26" i="26"/>
  <c r="H25" i="26"/>
  <c r="H24" i="26"/>
  <c r="H23" i="26"/>
  <c r="H22" i="26"/>
  <c r="H21" i="26"/>
  <c r="H20" i="26"/>
  <c r="H18" i="26"/>
  <c r="H17" i="26"/>
  <c r="H15" i="26"/>
  <c r="H14" i="26"/>
  <c r="H13" i="26"/>
  <c r="H12" i="26"/>
  <c r="H11" i="26"/>
  <c r="H10" i="26"/>
  <c r="H8" i="26"/>
  <c r="H7" i="26"/>
  <c r="H9" i="26" s="1"/>
  <c r="H5" i="26"/>
  <c r="H4" i="26"/>
  <c r="I70" i="27" l="1"/>
  <c r="J70" i="27" s="1"/>
  <c r="I6" i="27"/>
  <c r="J6" i="27" s="1"/>
  <c r="I41" i="27"/>
  <c r="J41" i="27" s="1"/>
  <c r="I87" i="27"/>
  <c r="J87" i="27" s="1"/>
  <c r="I9" i="27"/>
  <c r="J9" i="27" s="1"/>
  <c r="H49" i="26"/>
  <c r="H54" i="26"/>
  <c r="H70" i="26"/>
  <c r="H73" i="26"/>
  <c r="I70" i="26" s="1"/>
  <c r="J70" i="26" s="1"/>
  <c r="I41" i="26"/>
  <c r="J41" i="26" s="1"/>
  <c r="H6" i="26"/>
  <c r="H19" i="26"/>
  <c r="I6" i="26" s="1"/>
  <c r="J6" i="26" s="1"/>
  <c r="H57" i="26"/>
  <c r="H98" i="26"/>
  <c r="H64" i="26"/>
  <c r="I57" i="26" s="1"/>
  <c r="H16" i="26"/>
  <c r="H34" i="26"/>
  <c r="H81" i="26"/>
  <c r="I73" i="26" s="1"/>
  <c r="J73" i="26" s="1"/>
  <c r="H90" i="26"/>
  <c r="I9" i="26"/>
  <c r="J9" i="26" s="1"/>
  <c r="H99" i="25"/>
  <c r="H97" i="25"/>
  <c r="H96" i="25"/>
  <c r="H95" i="25"/>
  <c r="H94" i="25"/>
  <c r="H93" i="25"/>
  <c r="H92" i="25"/>
  <c r="H91" i="25"/>
  <c r="H89" i="25"/>
  <c r="H88" i="25"/>
  <c r="H86" i="25"/>
  <c r="H85" i="25"/>
  <c r="H84" i="25"/>
  <c r="H83" i="25"/>
  <c r="H80" i="25"/>
  <c r="H79" i="25"/>
  <c r="H78" i="25"/>
  <c r="H77" i="25"/>
  <c r="H76" i="25"/>
  <c r="H75" i="25"/>
  <c r="H74" i="25"/>
  <c r="H72" i="25"/>
  <c r="H71" i="25"/>
  <c r="H69" i="25"/>
  <c r="H68" i="25"/>
  <c r="H67" i="25"/>
  <c r="H66" i="25"/>
  <c r="H63" i="25"/>
  <c r="H62" i="25"/>
  <c r="H61" i="25"/>
  <c r="D61" i="25"/>
  <c r="H60" i="25"/>
  <c r="D60" i="25"/>
  <c r="H59" i="25"/>
  <c r="H58" i="25"/>
  <c r="H56" i="25"/>
  <c r="H55" i="25"/>
  <c r="H52" i="25"/>
  <c r="H51" i="25"/>
  <c r="H47" i="25"/>
  <c r="H46" i="25"/>
  <c r="H45" i="25"/>
  <c r="H44" i="25"/>
  <c r="H43" i="25"/>
  <c r="H40" i="25"/>
  <c r="H39" i="25"/>
  <c r="H37" i="25"/>
  <c r="H36" i="25"/>
  <c r="H33" i="25"/>
  <c r="H32" i="25"/>
  <c r="H31" i="25"/>
  <c r="H30" i="25"/>
  <c r="H29" i="25"/>
  <c r="D29" i="25"/>
  <c r="H28" i="25"/>
  <c r="D28" i="25"/>
  <c r="H27" i="25"/>
  <c r="H26" i="25"/>
  <c r="H25" i="25"/>
  <c r="H24" i="25"/>
  <c r="H23" i="25"/>
  <c r="H22" i="25"/>
  <c r="H21" i="25"/>
  <c r="H20" i="25"/>
  <c r="H18" i="25"/>
  <c r="H17" i="25"/>
  <c r="H19" i="25" s="1"/>
  <c r="H15" i="25"/>
  <c r="H14" i="25"/>
  <c r="H13" i="25"/>
  <c r="H12" i="25"/>
  <c r="H11" i="25"/>
  <c r="H10" i="25"/>
  <c r="H8" i="25"/>
  <c r="H7" i="25"/>
  <c r="H9" i="25" s="1"/>
  <c r="H5" i="25"/>
  <c r="H4" i="25"/>
  <c r="H6" i="25" s="1"/>
  <c r="I90" i="26" l="1"/>
  <c r="J90" i="26" s="1"/>
  <c r="I19" i="26"/>
  <c r="J19" i="26" s="1"/>
  <c r="J57" i="26"/>
  <c r="I87" i="26"/>
  <c r="J87" i="26" s="1"/>
  <c r="H57" i="25"/>
  <c r="H41" i="25"/>
  <c r="I6" i="25"/>
  <c r="J6" i="25" s="1"/>
  <c r="H34" i="25"/>
  <c r="I19" i="25" s="1"/>
  <c r="J19" i="25" s="1"/>
  <c r="H49" i="25"/>
  <c r="H54" i="25"/>
  <c r="H70" i="25"/>
  <c r="H73" i="25"/>
  <c r="H81" i="25"/>
  <c r="I73" i="25" s="1"/>
  <c r="J73" i="25" s="1"/>
  <c r="H98" i="25"/>
  <c r="H16" i="25"/>
  <c r="I9" i="25" s="1"/>
  <c r="J9" i="25" s="1"/>
  <c r="H64" i="25"/>
  <c r="I57" i="25" s="1"/>
  <c r="J57" i="25" s="1"/>
  <c r="H87" i="25"/>
  <c r="I87" i="25" s="1"/>
  <c r="J87" i="25" s="1"/>
  <c r="H90" i="25"/>
  <c r="H80" i="24"/>
  <c r="H99" i="24"/>
  <c r="H97" i="24"/>
  <c r="H96" i="24"/>
  <c r="H95" i="24"/>
  <c r="H94" i="24"/>
  <c r="H93" i="24"/>
  <c r="H92" i="24"/>
  <c r="H91" i="24"/>
  <c r="H89" i="24"/>
  <c r="H88" i="24"/>
  <c r="H86" i="24"/>
  <c r="H85" i="24"/>
  <c r="H84" i="24"/>
  <c r="H83" i="24"/>
  <c r="H87" i="24" s="1"/>
  <c r="H79" i="24"/>
  <c r="H78" i="24"/>
  <c r="H77" i="24"/>
  <c r="H76" i="24"/>
  <c r="H75" i="24"/>
  <c r="H74" i="24"/>
  <c r="H72" i="24"/>
  <c r="H71" i="24"/>
  <c r="H69" i="24"/>
  <c r="H68" i="24"/>
  <c r="H67" i="24"/>
  <c r="H66" i="24"/>
  <c r="H63" i="24"/>
  <c r="H62" i="24"/>
  <c r="H61" i="24"/>
  <c r="D61" i="24"/>
  <c r="H60" i="24"/>
  <c r="D60" i="24"/>
  <c r="H59" i="24"/>
  <c r="H58" i="24"/>
  <c r="H56" i="24"/>
  <c r="H55" i="24"/>
  <c r="H52" i="24"/>
  <c r="H51" i="24"/>
  <c r="H54" i="24" s="1"/>
  <c r="H47" i="24"/>
  <c r="H46" i="24"/>
  <c r="H45" i="24"/>
  <c r="H44" i="24"/>
  <c r="H43" i="24"/>
  <c r="H40" i="24"/>
  <c r="H39" i="24"/>
  <c r="H37" i="24"/>
  <c r="H36" i="24"/>
  <c r="H33" i="24"/>
  <c r="H32" i="24"/>
  <c r="H31" i="24"/>
  <c r="H30" i="24"/>
  <c r="H29" i="24"/>
  <c r="D29" i="24"/>
  <c r="H28" i="24"/>
  <c r="D28" i="24"/>
  <c r="H27" i="24"/>
  <c r="H26" i="24"/>
  <c r="H25" i="24"/>
  <c r="H24" i="24"/>
  <c r="H23" i="24"/>
  <c r="H22" i="24"/>
  <c r="H21" i="24"/>
  <c r="H20" i="24"/>
  <c r="H18" i="24"/>
  <c r="H17" i="24"/>
  <c r="H15" i="24"/>
  <c r="H14" i="24"/>
  <c r="H13" i="24"/>
  <c r="H12" i="24"/>
  <c r="H11" i="24"/>
  <c r="H10" i="24"/>
  <c r="H8" i="24"/>
  <c r="H7" i="24"/>
  <c r="H5" i="24"/>
  <c r="H4" i="24"/>
  <c r="I70" i="25" l="1"/>
  <c r="J70" i="25" s="1"/>
  <c r="I41" i="25"/>
  <c r="J41" i="25" s="1"/>
  <c r="I90" i="25"/>
  <c r="J90" i="25" s="1"/>
  <c r="H90" i="24"/>
  <c r="I87" i="24" s="1"/>
  <c r="J87" i="24" s="1"/>
  <c r="H9" i="24"/>
  <c r="H19" i="24"/>
  <c r="H41" i="24"/>
  <c r="H73" i="24"/>
  <c r="H6" i="24"/>
  <c r="H57" i="24"/>
  <c r="H16" i="24"/>
  <c r="I9" i="24" s="1"/>
  <c r="J9" i="24" s="1"/>
  <c r="H34" i="24"/>
  <c r="I19" i="24" s="1"/>
  <c r="J19" i="24" s="1"/>
  <c r="H49" i="24"/>
  <c r="I41" i="24" s="1"/>
  <c r="J41" i="24" s="1"/>
  <c r="H98" i="24"/>
  <c r="H64" i="24"/>
  <c r="I57" i="24" s="1"/>
  <c r="J57" i="24" s="1"/>
  <c r="H70" i="24"/>
  <c r="H81" i="24"/>
  <c r="H99" i="23"/>
  <c r="H97" i="23"/>
  <c r="H96" i="23"/>
  <c r="H95" i="23"/>
  <c r="H94" i="23"/>
  <c r="H93" i="23"/>
  <c r="H92" i="23"/>
  <c r="H91" i="23"/>
  <c r="H89" i="23"/>
  <c r="H88" i="23"/>
  <c r="H86" i="23"/>
  <c r="H85" i="23"/>
  <c r="H84" i="23"/>
  <c r="H83" i="23"/>
  <c r="H87" i="23" s="1"/>
  <c r="H80" i="23"/>
  <c r="H79" i="23"/>
  <c r="H78" i="23"/>
  <c r="H77" i="23"/>
  <c r="H76" i="23"/>
  <c r="H75" i="23"/>
  <c r="H74" i="23"/>
  <c r="H72" i="23"/>
  <c r="H71" i="23"/>
  <c r="H69" i="23"/>
  <c r="H68" i="23"/>
  <c r="H67" i="23"/>
  <c r="H66" i="23"/>
  <c r="H63" i="23"/>
  <c r="H62" i="23"/>
  <c r="H61" i="23"/>
  <c r="D61" i="23"/>
  <c r="H60" i="23"/>
  <c r="D60" i="23"/>
  <c r="H59" i="23"/>
  <c r="H58" i="23"/>
  <c r="H56" i="23"/>
  <c r="H55" i="23"/>
  <c r="H52" i="23"/>
  <c r="H51" i="23"/>
  <c r="H47" i="23"/>
  <c r="H46" i="23"/>
  <c r="H45" i="23"/>
  <c r="H44" i="23"/>
  <c r="H43" i="23"/>
  <c r="H40" i="23"/>
  <c r="H39" i="23"/>
  <c r="H37" i="23"/>
  <c r="H36" i="23"/>
  <c r="H33" i="23"/>
  <c r="H32" i="23"/>
  <c r="H31" i="23"/>
  <c r="H30" i="23"/>
  <c r="H29" i="23"/>
  <c r="D29" i="23"/>
  <c r="H28" i="23"/>
  <c r="D28" i="23"/>
  <c r="H27" i="23"/>
  <c r="H26" i="23"/>
  <c r="H25" i="23"/>
  <c r="H24" i="23"/>
  <c r="H23" i="23"/>
  <c r="H22" i="23"/>
  <c r="H21" i="23"/>
  <c r="H20" i="23"/>
  <c r="H18" i="23"/>
  <c r="H17" i="23"/>
  <c r="H19" i="23" s="1"/>
  <c r="H15" i="23"/>
  <c r="H14" i="23"/>
  <c r="H13" i="23"/>
  <c r="H12" i="23"/>
  <c r="H11" i="23"/>
  <c r="H10" i="23"/>
  <c r="H8" i="23"/>
  <c r="H7" i="23"/>
  <c r="H5" i="23"/>
  <c r="H4" i="23"/>
  <c r="I90" i="24" l="1"/>
  <c r="J90" i="24" s="1"/>
  <c r="I73" i="24"/>
  <c r="J73" i="24" s="1"/>
  <c r="I6" i="24"/>
  <c r="J6" i="24" s="1"/>
  <c r="I70" i="24"/>
  <c r="J70" i="24" s="1"/>
  <c r="H90" i="23"/>
  <c r="H9" i="23"/>
  <c r="H98" i="23"/>
  <c r="I90" i="23" s="1"/>
  <c r="J90" i="23" s="1"/>
  <c r="H54" i="23"/>
  <c r="H64" i="23"/>
  <c r="H70" i="23"/>
  <c r="I70" i="23" s="1"/>
  <c r="J70" i="23" s="1"/>
  <c r="H73" i="23"/>
  <c r="I87" i="23"/>
  <c r="J87" i="23" s="1"/>
  <c r="H41" i="23"/>
  <c r="H57" i="23"/>
  <c r="H6" i="23"/>
  <c r="I6" i="23" s="1"/>
  <c r="J6" i="23" s="1"/>
  <c r="H16" i="23"/>
  <c r="I9" i="23" s="1"/>
  <c r="J9" i="23" s="1"/>
  <c r="H34" i="23"/>
  <c r="I19" i="23" s="1"/>
  <c r="J19" i="23" s="1"/>
  <c r="H49" i="23"/>
  <c r="I41" i="23" s="1"/>
  <c r="J41" i="23" s="1"/>
  <c r="H81" i="23"/>
  <c r="I73" i="23" s="1"/>
  <c r="J73" i="23" s="1"/>
  <c r="H99" i="22"/>
  <c r="H97" i="22"/>
  <c r="H96" i="22"/>
  <c r="H95" i="22"/>
  <c r="H94" i="22"/>
  <c r="H93" i="22"/>
  <c r="H92" i="22"/>
  <c r="H91" i="22"/>
  <c r="H89" i="22"/>
  <c r="H88" i="22"/>
  <c r="H90" i="22" s="1"/>
  <c r="H86" i="22"/>
  <c r="H85" i="22"/>
  <c r="H84" i="22"/>
  <c r="H83" i="22"/>
  <c r="H80" i="22"/>
  <c r="H79" i="22"/>
  <c r="H78" i="22"/>
  <c r="H77" i="22"/>
  <c r="H76" i="22"/>
  <c r="H75" i="22"/>
  <c r="H74" i="22"/>
  <c r="H72" i="22"/>
  <c r="H71" i="22"/>
  <c r="H69" i="22"/>
  <c r="H68" i="22"/>
  <c r="H67" i="22"/>
  <c r="H66" i="22"/>
  <c r="H63" i="22"/>
  <c r="H62" i="22"/>
  <c r="H61" i="22"/>
  <c r="D61" i="22"/>
  <c r="H60" i="22"/>
  <c r="D60" i="22"/>
  <c r="H59" i="22"/>
  <c r="H58" i="22"/>
  <c r="H56" i="22"/>
  <c r="H55" i="22"/>
  <c r="H57" i="22" s="1"/>
  <c r="H52" i="22"/>
  <c r="H51" i="22"/>
  <c r="H47" i="22"/>
  <c r="H46" i="22"/>
  <c r="H45" i="22"/>
  <c r="H44" i="22"/>
  <c r="H43" i="22"/>
  <c r="H40" i="22"/>
  <c r="H39" i="22"/>
  <c r="H37" i="22"/>
  <c r="H36" i="22"/>
  <c r="H33" i="22"/>
  <c r="H32" i="22"/>
  <c r="H31" i="22"/>
  <c r="H30" i="22"/>
  <c r="H29" i="22"/>
  <c r="D29" i="22"/>
  <c r="H28" i="22"/>
  <c r="D28" i="22"/>
  <c r="H27" i="22"/>
  <c r="H26" i="22"/>
  <c r="H25" i="22"/>
  <c r="H24" i="22"/>
  <c r="H23" i="22"/>
  <c r="H22" i="22"/>
  <c r="H21" i="22"/>
  <c r="H20" i="22"/>
  <c r="H18" i="22"/>
  <c r="H19" i="22" s="1"/>
  <c r="H17" i="22"/>
  <c r="H15" i="22"/>
  <c r="H14" i="22"/>
  <c r="H13" i="22"/>
  <c r="H12" i="22"/>
  <c r="H11" i="22"/>
  <c r="H10" i="22"/>
  <c r="H8" i="22"/>
  <c r="H7" i="22"/>
  <c r="H5" i="22"/>
  <c r="H4" i="22"/>
  <c r="I57" i="23" l="1"/>
  <c r="J57" i="23" s="1"/>
  <c r="H87" i="22"/>
  <c r="I87" i="22" s="1"/>
  <c r="J87" i="22" s="1"/>
  <c r="H41" i="22"/>
  <c r="H6" i="22"/>
  <c r="H9" i="22"/>
  <c r="I6" i="22" s="1"/>
  <c r="J6" i="22" s="1"/>
  <c r="H16" i="22"/>
  <c r="I9" i="22" s="1"/>
  <c r="J9" i="22" s="1"/>
  <c r="H34" i="22"/>
  <c r="I19" i="22" s="1"/>
  <c r="J19" i="22" s="1"/>
  <c r="H64" i="22"/>
  <c r="H98" i="22"/>
  <c r="I90" i="22" s="1"/>
  <c r="J90" i="22" s="1"/>
  <c r="H49" i="22"/>
  <c r="H54" i="22"/>
  <c r="H70" i="22"/>
  <c r="H73" i="22"/>
  <c r="H81" i="22"/>
  <c r="I57" i="22"/>
  <c r="J57" i="22" s="1"/>
  <c r="H99" i="21"/>
  <c r="H97" i="21"/>
  <c r="H96" i="21"/>
  <c r="H95" i="21"/>
  <c r="H94" i="21"/>
  <c r="H93" i="21"/>
  <c r="H92" i="21"/>
  <c r="H91" i="21"/>
  <c r="H89" i="21"/>
  <c r="H88" i="21"/>
  <c r="H90" i="21" s="1"/>
  <c r="H86" i="21"/>
  <c r="H85" i="21"/>
  <c r="H84" i="21"/>
  <c r="H83" i="21"/>
  <c r="H87" i="21" s="1"/>
  <c r="H80" i="21"/>
  <c r="H79" i="21"/>
  <c r="H78" i="21"/>
  <c r="H77" i="21"/>
  <c r="H76" i="21"/>
  <c r="H75" i="21"/>
  <c r="H74" i="21"/>
  <c r="H72" i="21"/>
  <c r="H71" i="21"/>
  <c r="H69" i="21"/>
  <c r="H68" i="21"/>
  <c r="H67" i="21"/>
  <c r="H66" i="21"/>
  <c r="H63" i="21"/>
  <c r="H62" i="21"/>
  <c r="H61" i="21"/>
  <c r="D61" i="21"/>
  <c r="H60" i="21"/>
  <c r="D60" i="21"/>
  <c r="H59" i="21"/>
  <c r="H58" i="21"/>
  <c r="H56" i="21"/>
  <c r="H55" i="21"/>
  <c r="H52" i="21"/>
  <c r="H51" i="21"/>
  <c r="H47" i="21"/>
  <c r="H46" i="21"/>
  <c r="H45" i="21"/>
  <c r="H44" i="21"/>
  <c r="H43" i="21"/>
  <c r="H40" i="21"/>
  <c r="H39" i="21"/>
  <c r="H37" i="21"/>
  <c r="H36" i="21"/>
  <c r="H33" i="21"/>
  <c r="H32" i="21"/>
  <c r="H31" i="21"/>
  <c r="H30" i="21"/>
  <c r="H29" i="21"/>
  <c r="D29" i="21"/>
  <c r="H28" i="21"/>
  <c r="D28" i="21"/>
  <c r="H27" i="21"/>
  <c r="H26" i="21"/>
  <c r="H25" i="21"/>
  <c r="H24" i="21"/>
  <c r="H23" i="21"/>
  <c r="H22" i="21"/>
  <c r="H21" i="21"/>
  <c r="H20" i="21"/>
  <c r="H18" i="21"/>
  <c r="H17" i="21"/>
  <c r="H15" i="21"/>
  <c r="H14" i="21"/>
  <c r="H13" i="21"/>
  <c r="H12" i="21"/>
  <c r="H11" i="21"/>
  <c r="H10" i="21"/>
  <c r="H8" i="21"/>
  <c r="H7" i="21"/>
  <c r="H5" i="21"/>
  <c r="H4" i="21"/>
  <c r="I41" i="22" l="1"/>
  <c r="J41" i="22" s="1"/>
  <c r="I73" i="22"/>
  <c r="J73" i="22" s="1"/>
  <c r="I70" i="22"/>
  <c r="J70" i="22" s="1"/>
  <c r="H54" i="21"/>
  <c r="I57" i="21" s="1"/>
  <c r="H19" i="21"/>
  <c r="H41" i="21"/>
  <c r="H73" i="21"/>
  <c r="H9" i="21"/>
  <c r="I9" i="21" s="1"/>
  <c r="J9" i="21" s="1"/>
  <c r="H6" i="21"/>
  <c r="H57" i="21"/>
  <c r="H16" i="21"/>
  <c r="H34" i="21"/>
  <c r="H49" i="21"/>
  <c r="I87" i="21"/>
  <c r="J87" i="21" s="1"/>
  <c r="H98" i="21"/>
  <c r="I90" i="21" s="1"/>
  <c r="J90" i="21" s="1"/>
  <c r="H64" i="21"/>
  <c r="H70" i="21"/>
  <c r="H81" i="21"/>
  <c r="H99" i="20"/>
  <c r="H97" i="20"/>
  <c r="H96" i="20"/>
  <c r="H95" i="20"/>
  <c r="H94" i="20"/>
  <c r="H93" i="20"/>
  <c r="H92" i="20"/>
  <c r="H91" i="20"/>
  <c r="H89" i="20"/>
  <c r="H88" i="20"/>
  <c r="H86" i="20"/>
  <c r="H85" i="20"/>
  <c r="H84" i="20"/>
  <c r="H83" i="20"/>
  <c r="H80" i="20"/>
  <c r="H79" i="20"/>
  <c r="H78" i="20"/>
  <c r="H77" i="20"/>
  <c r="H76" i="20"/>
  <c r="H75" i="20"/>
  <c r="H74" i="20"/>
  <c r="H72" i="20"/>
  <c r="H73" i="20" s="1"/>
  <c r="H71" i="20"/>
  <c r="H69" i="20"/>
  <c r="H68" i="20"/>
  <c r="H67" i="20"/>
  <c r="H66" i="20"/>
  <c r="H63" i="20"/>
  <c r="H62" i="20"/>
  <c r="H61" i="20"/>
  <c r="D61" i="20"/>
  <c r="H60" i="20"/>
  <c r="D60" i="20"/>
  <c r="H59" i="20"/>
  <c r="H58" i="20"/>
  <c r="H56" i="20"/>
  <c r="H55" i="20"/>
  <c r="H57" i="20" s="1"/>
  <c r="H52" i="20"/>
  <c r="H51" i="20"/>
  <c r="H47" i="20"/>
  <c r="H46" i="20"/>
  <c r="H45" i="20"/>
  <c r="H44" i="20"/>
  <c r="H43" i="20"/>
  <c r="H40" i="20"/>
  <c r="H39" i="20"/>
  <c r="H37" i="20"/>
  <c r="H36" i="20"/>
  <c r="H33" i="20"/>
  <c r="H32" i="20"/>
  <c r="H31" i="20"/>
  <c r="H30" i="20"/>
  <c r="H29" i="20"/>
  <c r="D29" i="20"/>
  <c r="H28" i="20"/>
  <c r="D28" i="20"/>
  <c r="H27" i="20"/>
  <c r="H26" i="20"/>
  <c r="H25" i="20"/>
  <c r="H24" i="20"/>
  <c r="H23" i="20"/>
  <c r="H22" i="20"/>
  <c r="H21" i="20"/>
  <c r="H20" i="20"/>
  <c r="H18" i="20"/>
  <c r="H17" i="20"/>
  <c r="H15" i="20"/>
  <c r="H14" i="20"/>
  <c r="H13" i="20"/>
  <c r="H12" i="20"/>
  <c r="H11" i="20"/>
  <c r="H10" i="20"/>
  <c r="H8" i="20"/>
  <c r="H7" i="20"/>
  <c r="H5" i="20"/>
  <c r="H4" i="20"/>
  <c r="J57" i="21" l="1"/>
  <c r="I41" i="21"/>
  <c r="J41" i="21" s="1"/>
  <c r="I19" i="21"/>
  <c r="J19" i="21" s="1"/>
  <c r="I6" i="21"/>
  <c r="J6" i="21" s="1"/>
  <c r="I73" i="21"/>
  <c r="J73" i="21" s="1"/>
  <c r="I70" i="21"/>
  <c r="J70" i="21" s="1"/>
  <c r="H87" i="20"/>
  <c r="H64" i="20"/>
  <c r="H16" i="20"/>
  <c r="H6" i="20"/>
  <c r="H98" i="20"/>
  <c r="H9" i="20"/>
  <c r="H19" i="20"/>
  <c r="H41" i="20"/>
  <c r="H54" i="20"/>
  <c r="H70" i="20"/>
  <c r="I70" i="20" s="1"/>
  <c r="J70" i="20" s="1"/>
  <c r="H34" i="20"/>
  <c r="I19" i="20" s="1"/>
  <c r="J19" i="20" s="1"/>
  <c r="H49" i="20"/>
  <c r="H81" i="20"/>
  <c r="I73" i="20" s="1"/>
  <c r="J73" i="20" s="1"/>
  <c r="H90" i="20"/>
  <c r="H99" i="19"/>
  <c r="H97" i="19"/>
  <c r="H96" i="19"/>
  <c r="H95" i="19"/>
  <c r="H94" i="19"/>
  <c r="H93" i="19"/>
  <c r="H92" i="19"/>
  <c r="H91" i="19"/>
  <c r="H89" i="19"/>
  <c r="H88" i="19"/>
  <c r="H86" i="19"/>
  <c r="H85" i="19"/>
  <c r="H84" i="19"/>
  <c r="H83" i="19"/>
  <c r="H80" i="19"/>
  <c r="H79" i="19"/>
  <c r="H78" i="19"/>
  <c r="H77" i="19"/>
  <c r="H76" i="19"/>
  <c r="H75" i="19"/>
  <c r="H74" i="19"/>
  <c r="H72" i="19"/>
  <c r="H71" i="19"/>
  <c r="H69" i="19"/>
  <c r="H68" i="19"/>
  <c r="H67" i="19"/>
  <c r="H66" i="19"/>
  <c r="H63" i="19"/>
  <c r="H62" i="19"/>
  <c r="H61" i="19"/>
  <c r="D61" i="19"/>
  <c r="H60" i="19"/>
  <c r="D60" i="19"/>
  <c r="H59" i="19"/>
  <c r="H58" i="19"/>
  <c r="H56" i="19"/>
  <c r="H55" i="19"/>
  <c r="H57" i="19" s="1"/>
  <c r="H52" i="19"/>
  <c r="H51" i="19"/>
  <c r="H47" i="19"/>
  <c r="H46" i="19"/>
  <c r="H45" i="19"/>
  <c r="H44" i="19"/>
  <c r="H43" i="19"/>
  <c r="H40" i="19"/>
  <c r="H39" i="19"/>
  <c r="H37" i="19"/>
  <c r="H36" i="19"/>
  <c r="H33" i="19"/>
  <c r="H32" i="19"/>
  <c r="H31" i="19"/>
  <c r="H30" i="19"/>
  <c r="H29" i="19"/>
  <c r="D29" i="19"/>
  <c r="H28" i="19"/>
  <c r="D28" i="19"/>
  <c r="H27" i="19"/>
  <c r="H26" i="19"/>
  <c r="H25" i="19"/>
  <c r="H24" i="19"/>
  <c r="H23" i="19"/>
  <c r="H22" i="19"/>
  <c r="H21" i="19"/>
  <c r="H20" i="19"/>
  <c r="H18" i="19"/>
  <c r="H17" i="19"/>
  <c r="H15" i="19"/>
  <c r="H14" i="19"/>
  <c r="H13" i="19"/>
  <c r="H12" i="19"/>
  <c r="H11" i="19"/>
  <c r="H10" i="19"/>
  <c r="H8" i="19"/>
  <c r="H7" i="19"/>
  <c r="H5" i="19"/>
  <c r="H4" i="19"/>
  <c r="H6" i="19" s="1"/>
  <c r="I90" i="20" l="1"/>
  <c r="J90" i="20" s="1"/>
  <c r="I41" i="20"/>
  <c r="J41" i="20" s="1"/>
  <c r="I9" i="20"/>
  <c r="J9" i="20" s="1"/>
  <c r="I57" i="20"/>
  <c r="J57" i="20" s="1"/>
  <c r="I6" i="20"/>
  <c r="J6" i="20" s="1"/>
  <c r="I87" i="20"/>
  <c r="J87" i="20" s="1"/>
  <c r="H73" i="19"/>
  <c r="H54" i="19"/>
  <c r="H41" i="19"/>
  <c r="H9" i="19"/>
  <c r="H19" i="19"/>
  <c r="H98" i="19"/>
  <c r="H64" i="19"/>
  <c r="H87" i="19"/>
  <c r="H90" i="19"/>
  <c r="H34" i="19"/>
  <c r="H49" i="19"/>
  <c r="H81" i="19"/>
  <c r="H16" i="19"/>
  <c r="H70" i="19"/>
  <c r="H99" i="18"/>
  <c r="H97" i="18"/>
  <c r="H96" i="18"/>
  <c r="H95" i="18"/>
  <c r="H94" i="18"/>
  <c r="H93" i="18"/>
  <c r="H92" i="18"/>
  <c r="H91" i="18"/>
  <c r="H89" i="18"/>
  <c r="H88" i="18"/>
  <c r="H90" i="18" s="1"/>
  <c r="H86" i="18"/>
  <c r="H85" i="18"/>
  <c r="H84" i="18"/>
  <c r="H83" i="18"/>
  <c r="H87" i="18" s="1"/>
  <c r="H80" i="18"/>
  <c r="H79" i="18"/>
  <c r="H78" i="18"/>
  <c r="H77" i="18"/>
  <c r="H76" i="18"/>
  <c r="H75" i="18"/>
  <c r="H74" i="18"/>
  <c r="H72" i="18"/>
  <c r="H71" i="18"/>
  <c r="H69" i="18"/>
  <c r="H68" i="18"/>
  <c r="H67" i="18"/>
  <c r="H66" i="18"/>
  <c r="H63" i="18"/>
  <c r="H62" i="18"/>
  <c r="H61" i="18"/>
  <c r="D61" i="18"/>
  <c r="H60" i="18"/>
  <c r="D60" i="18"/>
  <c r="H59" i="18"/>
  <c r="H58" i="18"/>
  <c r="H56" i="18"/>
  <c r="H55" i="18"/>
  <c r="H52" i="18"/>
  <c r="H51" i="18"/>
  <c r="H47" i="18"/>
  <c r="H46" i="18"/>
  <c r="H45" i="18"/>
  <c r="H44" i="18"/>
  <c r="H43" i="18"/>
  <c r="H40" i="18"/>
  <c r="H39" i="18"/>
  <c r="H37" i="18"/>
  <c r="H36" i="18"/>
  <c r="H33" i="18"/>
  <c r="H32" i="18"/>
  <c r="H31" i="18"/>
  <c r="H30" i="18"/>
  <c r="H29" i="18"/>
  <c r="D29" i="18"/>
  <c r="H28" i="18"/>
  <c r="D28" i="18"/>
  <c r="H27" i="18"/>
  <c r="H26" i="18"/>
  <c r="H25" i="18"/>
  <c r="H24" i="18"/>
  <c r="H23" i="18"/>
  <c r="H22" i="18"/>
  <c r="H21" i="18"/>
  <c r="H20" i="18"/>
  <c r="H18" i="18"/>
  <c r="H17" i="18"/>
  <c r="H15" i="18"/>
  <c r="H14" i="18"/>
  <c r="H13" i="18"/>
  <c r="H12" i="18"/>
  <c r="H11" i="18"/>
  <c r="H10" i="18"/>
  <c r="H8" i="18"/>
  <c r="H7" i="18"/>
  <c r="H5" i="18"/>
  <c r="H4" i="18"/>
  <c r="I87" i="19" l="1"/>
  <c r="J87" i="19" s="1"/>
  <c r="I73" i="19"/>
  <c r="J73" i="19" s="1"/>
  <c r="I70" i="19"/>
  <c r="J70" i="19" s="1"/>
  <c r="I57" i="19"/>
  <c r="J57" i="19" s="1"/>
  <c r="I41" i="19"/>
  <c r="J41" i="19" s="1"/>
  <c r="I9" i="19"/>
  <c r="J9" i="19" s="1"/>
  <c r="I6" i="19"/>
  <c r="J6" i="19" s="1"/>
  <c r="I19" i="19"/>
  <c r="J19" i="19" s="1"/>
  <c r="I90" i="19"/>
  <c r="J90" i="19" s="1"/>
  <c r="H70" i="18"/>
  <c r="H73" i="18"/>
  <c r="H54" i="18"/>
  <c r="I57" i="18" s="1"/>
  <c r="H6" i="18"/>
  <c r="H81" i="18"/>
  <c r="H41" i="18"/>
  <c r="H16" i="18"/>
  <c r="H34" i="18"/>
  <c r="H49" i="18"/>
  <c r="H57" i="18"/>
  <c r="I87" i="18"/>
  <c r="J87" i="18" s="1"/>
  <c r="H98" i="18"/>
  <c r="I90" i="18" s="1"/>
  <c r="J90" i="18" s="1"/>
  <c r="H9" i="18"/>
  <c r="H19" i="18"/>
  <c r="H64" i="18"/>
  <c r="H99" i="17"/>
  <c r="H97" i="17"/>
  <c r="H96" i="17"/>
  <c r="H95" i="17"/>
  <c r="H94" i="17"/>
  <c r="H93" i="17"/>
  <c r="H92" i="17"/>
  <c r="H91" i="17"/>
  <c r="H89" i="17"/>
  <c r="H88" i="17"/>
  <c r="H90" i="17" s="1"/>
  <c r="H86" i="17"/>
  <c r="H85" i="17"/>
  <c r="H84" i="17"/>
  <c r="H83" i="17"/>
  <c r="H87" i="17" s="1"/>
  <c r="H80" i="17"/>
  <c r="H79" i="17"/>
  <c r="H78" i="17"/>
  <c r="H77" i="17"/>
  <c r="H76" i="17"/>
  <c r="H75" i="17"/>
  <c r="H74" i="17"/>
  <c r="H72" i="17"/>
  <c r="H71" i="17"/>
  <c r="H69" i="17"/>
  <c r="H68" i="17"/>
  <c r="H67" i="17"/>
  <c r="H66" i="17"/>
  <c r="H63" i="17"/>
  <c r="H62" i="17"/>
  <c r="H61" i="17"/>
  <c r="D61" i="17"/>
  <c r="H60" i="17"/>
  <c r="D60" i="17"/>
  <c r="H59" i="17"/>
  <c r="H64" i="17" s="1"/>
  <c r="H58" i="17"/>
  <c r="H56" i="17"/>
  <c r="H55" i="17"/>
  <c r="H57" i="17" s="1"/>
  <c r="H54" i="17"/>
  <c r="H52" i="17"/>
  <c r="H51" i="17"/>
  <c r="H47" i="17"/>
  <c r="H46" i="17"/>
  <c r="H45" i="17"/>
  <c r="H44" i="17"/>
  <c r="H43" i="17"/>
  <c r="H40" i="17"/>
  <c r="H39" i="17"/>
  <c r="H37" i="17"/>
  <c r="H36" i="17"/>
  <c r="H33" i="17"/>
  <c r="H32" i="17"/>
  <c r="H31" i="17"/>
  <c r="H30" i="17"/>
  <c r="H29" i="17"/>
  <c r="D29" i="17"/>
  <c r="H28" i="17"/>
  <c r="D28" i="17"/>
  <c r="H27" i="17"/>
  <c r="H26" i="17"/>
  <c r="H25" i="17"/>
  <c r="H24" i="17"/>
  <c r="H23" i="17"/>
  <c r="H22" i="17"/>
  <c r="H21" i="17"/>
  <c r="H20" i="17"/>
  <c r="H18" i="17"/>
  <c r="H17" i="17"/>
  <c r="H15" i="17"/>
  <c r="H14" i="17"/>
  <c r="H13" i="17"/>
  <c r="H12" i="17"/>
  <c r="H11" i="17"/>
  <c r="H10" i="17"/>
  <c r="H8" i="17"/>
  <c r="H7" i="17"/>
  <c r="H5" i="17"/>
  <c r="H4" i="17"/>
  <c r="H6" i="17" s="1"/>
  <c r="I70" i="18" l="1"/>
  <c r="J70" i="18" s="1"/>
  <c r="I73" i="18"/>
  <c r="J73" i="18" s="1"/>
  <c r="J57" i="18"/>
  <c r="I19" i="18"/>
  <c r="J19" i="18" s="1"/>
  <c r="I6" i="18"/>
  <c r="J6" i="18" s="1"/>
  <c r="I9" i="18"/>
  <c r="J9" i="18" s="1"/>
  <c r="I41" i="18"/>
  <c r="J41" i="18" s="1"/>
  <c r="H73" i="17"/>
  <c r="H41" i="17"/>
  <c r="H9" i="17"/>
  <c r="H19" i="17"/>
  <c r="I6" i="17" s="1"/>
  <c r="J6" i="17" s="1"/>
  <c r="H98" i="17"/>
  <c r="I90" i="17" s="1"/>
  <c r="J90" i="17" s="1"/>
  <c r="I57" i="17"/>
  <c r="J57" i="17" s="1"/>
  <c r="H16" i="17"/>
  <c r="I9" i="17" s="1"/>
  <c r="J9" i="17" s="1"/>
  <c r="H49" i="17"/>
  <c r="I87" i="17"/>
  <c r="J87" i="17" s="1"/>
  <c r="H34" i="17"/>
  <c r="H70" i="17"/>
  <c r="H81" i="17"/>
  <c r="H99" i="16"/>
  <c r="H97" i="16"/>
  <c r="H96" i="16"/>
  <c r="H95" i="16"/>
  <c r="H94" i="16"/>
  <c r="H93" i="16"/>
  <c r="H92" i="16"/>
  <c r="H91" i="16"/>
  <c r="H89" i="16"/>
  <c r="H88" i="16"/>
  <c r="H86" i="16"/>
  <c r="H85" i="16"/>
  <c r="H84" i="16"/>
  <c r="H83" i="16"/>
  <c r="H80" i="16"/>
  <c r="H79" i="16"/>
  <c r="H78" i="16"/>
  <c r="H77" i="16"/>
  <c r="H76" i="16"/>
  <c r="H75" i="16"/>
  <c r="H74" i="16"/>
  <c r="H72" i="16"/>
  <c r="H71" i="16"/>
  <c r="H69" i="16"/>
  <c r="H68" i="16"/>
  <c r="H67" i="16"/>
  <c r="H66" i="16"/>
  <c r="H63" i="16"/>
  <c r="H62" i="16"/>
  <c r="H61" i="16"/>
  <c r="D61" i="16"/>
  <c r="H60" i="16"/>
  <c r="D60" i="16"/>
  <c r="H59" i="16"/>
  <c r="H58" i="16"/>
  <c r="H56" i="16"/>
  <c r="H55" i="16"/>
  <c r="H52" i="16"/>
  <c r="H51" i="16"/>
  <c r="H47" i="16"/>
  <c r="H46" i="16"/>
  <c r="H45" i="16"/>
  <c r="H44" i="16"/>
  <c r="H43" i="16"/>
  <c r="H40" i="16"/>
  <c r="H39" i="16"/>
  <c r="H37" i="16"/>
  <c r="H36" i="16"/>
  <c r="H33" i="16"/>
  <c r="H32" i="16"/>
  <c r="H31" i="16"/>
  <c r="H30" i="16"/>
  <c r="H29" i="16"/>
  <c r="D29" i="16"/>
  <c r="H28" i="16"/>
  <c r="D28" i="16"/>
  <c r="H27" i="16"/>
  <c r="H26" i="16"/>
  <c r="H25" i="16"/>
  <c r="H24" i="16"/>
  <c r="H23" i="16"/>
  <c r="H22" i="16"/>
  <c r="H21" i="16"/>
  <c r="H20" i="16"/>
  <c r="H18" i="16"/>
  <c r="H17" i="16"/>
  <c r="H15" i="16"/>
  <c r="H14" i="16"/>
  <c r="H13" i="16"/>
  <c r="H12" i="16"/>
  <c r="H11" i="16"/>
  <c r="H10" i="16"/>
  <c r="H8" i="16"/>
  <c r="H7" i="16"/>
  <c r="H5" i="16"/>
  <c r="H4" i="16"/>
  <c r="H6" i="16" s="1"/>
  <c r="I73" i="17" l="1"/>
  <c r="J73" i="17" s="1"/>
  <c r="I70" i="17"/>
  <c r="J70" i="17" s="1"/>
  <c r="I41" i="17"/>
  <c r="J41" i="17" s="1"/>
  <c r="I19" i="17"/>
  <c r="J19" i="17" s="1"/>
  <c r="H9" i="16"/>
  <c r="I6" i="16" s="1"/>
  <c r="J6" i="16" s="1"/>
  <c r="H19" i="16"/>
  <c r="H54" i="16"/>
  <c r="H73" i="16"/>
  <c r="I73" i="16" s="1"/>
  <c r="J73" i="16" s="1"/>
  <c r="H41" i="16"/>
  <c r="H81" i="16"/>
  <c r="H90" i="16"/>
  <c r="H64" i="16"/>
  <c r="I57" i="16" s="1"/>
  <c r="H98" i="16"/>
  <c r="H16" i="16"/>
  <c r="H34" i="16"/>
  <c r="I19" i="16" s="1"/>
  <c r="J19" i="16" s="1"/>
  <c r="H49" i="16"/>
  <c r="H57" i="16"/>
  <c r="H87" i="16"/>
  <c r="H70" i="16"/>
  <c r="H99" i="15"/>
  <c r="H97" i="15"/>
  <c r="H96" i="15"/>
  <c r="H95" i="15"/>
  <c r="H94" i="15"/>
  <c r="H93" i="15"/>
  <c r="H92" i="15"/>
  <c r="H91" i="15"/>
  <c r="H89" i="15"/>
  <c r="H88" i="15"/>
  <c r="H90" i="15" s="1"/>
  <c r="H86" i="15"/>
  <c r="H85" i="15"/>
  <c r="H84" i="15"/>
  <c r="H83" i="15"/>
  <c r="H87" i="15" s="1"/>
  <c r="I87" i="15" s="1"/>
  <c r="J87" i="15" s="1"/>
  <c r="H80" i="15"/>
  <c r="H79" i="15"/>
  <c r="H78" i="15"/>
  <c r="H77" i="15"/>
  <c r="H76" i="15"/>
  <c r="H75" i="15"/>
  <c r="H74" i="15"/>
  <c r="H72" i="15"/>
  <c r="H71" i="15"/>
  <c r="H69" i="15"/>
  <c r="H68" i="15"/>
  <c r="H67" i="15"/>
  <c r="H66" i="15"/>
  <c r="H63" i="15"/>
  <c r="H62" i="15"/>
  <c r="H61" i="15"/>
  <c r="D61" i="15"/>
  <c r="H60" i="15"/>
  <c r="D60" i="15"/>
  <c r="H59" i="15"/>
  <c r="H58" i="15"/>
  <c r="H56" i="15"/>
  <c r="H55" i="15"/>
  <c r="H52" i="15"/>
  <c r="H51" i="15"/>
  <c r="H47" i="15"/>
  <c r="H46" i="15"/>
  <c r="H45" i="15"/>
  <c r="H44" i="15"/>
  <c r="H43" i="15"/>
  <c r="H40" i="15"/>
  <c r="H39" i="15"/>
  <c r="H37" i="15"/>
  <c r="H36" i="15"/>
  <c r="H33" i="15"/>
  <c r="H32" i="15"/>
  <c r="H31" i="15"/>
  <c r="H30" i="15"/>
  <c r="H29" i="15"/>
  <c r="D29" i="15"/>
  <c r="H28" i="15"/>
  <c r="D28" i="15"/>
  <c r="H27" i="15"/>
  <c r="H26" i="15"/>
  <c r="H25" i="15"/>
  <c r="H24" i="15"/>
  <c r="H23" i="15"/>
  <c r="H22" i="15"/>
  <c r="H21" i="15"/>
  <c r="H20" i="15"/>
  <c r="H18" i="15"/>
  <c r="H17" i="15"/>
  <c r="H15" i="15"/>
  <c r="H14" i="15"/>
  <c r="H13" i="15"/>
  <c r="H12" i="15"/>
  <c r="H11" i="15"/>
  <c r="H10" i="15"/>
  <c r="H8" i="15"/>
  <c r="H7" i="15"/>
  <c r="H5" i="15"/>
  <c r="H4" i="15"/>
  <c r="I90" i="16" l="1"/>
  <c r="J90" i="16" s="1"/>
  <c r="I70" i="16"/>
  <c r="J70" i="16" s="1"/>
  <c r="J57" i="16"/>
  <c r="I41" i="16"/>
  <c r="J41" i="16" s="1"/>
  <c r="I9" i="16"/>
  <c r="J9" i="16" s="1"/>
  <c r="I87" i="16"/>
  <c r="J87" i="16" s="1"/>
  <c r="H19" i="15"/>
  <c r="H98" i="15"/>
  <c r="I90" i="15" s="1"/>
  <c r="J90" i="15" s="1"/>
  <c r="H9" i="15"/>
  <c r="H41" i="15"/>
  <c r="H64" i="15"/>
  <c r="H6" i="15"/>
  <c r="H49" i="15"/>
  <c r="H54" i="15"/>
  <c r="H70" i="15"/>
  <c r="H73" i="15"/>
  <c r="H81" i="15"/>
  <c r="H16" i="15"/>
  <c r="H34" i="15"/>
  <c r="I19" i="15" s="1"/>
  <c r="J19" i="15" s="1"/>
  <c r="H57" i="15"/>
  <c r="H99" i="14"/>
  <c r="H97" i="14"/>
  <c r="H96" i="14"/>
  <c r="H95" i="14"/>
  <c r="H94" i="14"/>
  <c r="H93" i="14"/>
  <c r="H92" i="14"/>
  <c r="H91" i="14"/>
  <c r="H89" i="14"/>
  <c r="H88" i="14"/>
  <c r="H86" i="14"/>
  <c r="H85" i="14"/>
  <c r="H84" i="14"/>
  <c r="H83" i="14"/>
  <c r="H80" i="14"/>
  <c r="H79" i="14"/>
  <c r="H78" i="14"/>
  <c r="H77" i="14"/>
  <c r="H76" i="14"/>
  <c r="H75" i="14"/>
  <c r="H74" i="14"/>
  <c r="H72" i="14"/>
  <c r="H71" i="14"/>
  <c r="H73" i="14" s="1"/>
  <c r="H69" i="14"/>
  <c r="H68" i="14"/>
  <c r="H67" i="14"/>
  <c r="H66" i="14"/>
  <c r="H63" i="14"/>
  <c r="H62" i="14"/>
  <c r="H61" i="14"/>
  <c r="D61" i="14"/>
  <c r="H60" i="14"/>
  <c r="D60" i="14"/>
  <c r="H59" i="14"/>
  <c r="H58" i="14"/>
  <c r="H56" i="14"/>
  <c r="H55" i="14"/>
  <c r="H52" i="14"/>
  <c r="H51" i="14"/>
  <c r="H54" i="14" s="1"/>
  <c r="H47" i="14"/>
  <c r="H46" i="14"/>
  <c r="H45" i="14"/>
  <c r="H44" i="14"/>
  <c r="H43" i="14"/>
  <c r="H40" i="14"/>
  <c r="H39" i="14"/>
  <c r="H41" i="14" s="1"/>
  <c r="H37" i="14"/>
  <c r="H36" i="14"/>
  <c r="H33" i="14"/>
  <c r="H32" i="14"/>
  <c r="H31" i="14"/>
  <c r="H30" i="14"/>
  <c r="H29" i="14"/>
  <c r="D29" i="14"/>
  <c r="H28" i="14"/>
  <c r="D28" i="14"/>
  <c r="H27" i="14"/>
  <c r="H26" i="14"/>
  <c r="H25" i="14"/>
  <c r="H24" i="14"/>
  <c r="H23" i="14"/>
  <c r="H22" i="14"/>
  <c r="H21" i="14"/>
  <c r="H20" i="14"/>
  <c r="H18" i="14"/>
  <c r="H17" i="14"/>
  <c r="H15" i="14"/>
  <c r="H14" i="14"/>
  <c r="H13" i="14"/>
  <c r="H12" i="14"/>
  <c r="H11" i="14"/>
  <c r="H10" i="14"/>
  <c r="H8" i="14"/>
  <c r="H7" i="14"/>
  <c r="H9" i="14" s="1"/>
  <c r="H5" i="14"/>
  <c r="H4" i="14"/>
  <c r="I57" i="15" l="1"/>
  <c r="I9" i="15"/>
  <c r="J9" i="15" s="1"/>
  <c r="I41" i="15"/>
  <c r="J41" i="15" s="1"/>
  <c r="I6" i="15"/>
  <c r="J6" i="15" s="1"/>
  <c r="I73" i="15"/>
  <c r="J73" i="15" s="1"/>
  <c r="J57" i="15"/>
  <c r="I70" i="15"/>
  <c r="J70" i="15" s="1"/>
  <c r="H70" i="14"/>
  <c r="I70" i="14" s="1"/>
  <c r="J70" i="14" s="1"/>
  <c r="H64" i="14"/>
  <c r="I57" i="14" s="1"/>
  <c r="J57" i="14" s="1"/>
  <c r="H57" i="14"/>
  <c r="H49" i="14"/>
  <c r="I41" i="14" s="1"/>
  <c r="J41" i="14" s="1"/>
  <c r="H19" i="14"/>
  <c r="H34" i="14"/>
  <c r="I19" i="14" s="1"/>
  <c r="J19" i="14" s="1"/>
  <c r="H16" i="14"/>
  <c r="I9" i="14" s="1"/>
  <c r="J9" i="14" s="1"/>
  <c r="H81" i="14"/>
  <c r="I73" i="14" s="1"/>
  <c r="J73" i="14" s="1"/>
  <c r="H87" i="14"/>
  <c r="H90" i="14"/>
  <c r="H6" i="14"/>
  <c r="I6" i="14" s="1"/>
  <c r="J6" i="14" s="1"/>
  <c r="H98" i="14"/>
  <c r="H99" i="13"/>
  <c r="H97" i="13"/>
  <c r="H96" i="13"/>
  <c r="H95" i="13"/>
  <c r="H94" i="13"/>
  <c r="H93" i="13"/>
  <c r="H92" i="13"/>
  <c r="H91" i="13"/>
  <c r="H89" i="13"/>
  <c r="H88" i="13"/>
  <c r="H86" i="13"/>
  <c r="H85" i="13"/>
  <c r="H84" i="13"/>
  <c r="H83" i="13"/>
  <c r="H80" i="13"/>
  <c r="H79" i="13"/>
  <c r="H78" i="13"/>
  <c r="H77" i="13"/>
  <c r="H76" i="13"/>
  <c r="H75" i="13"/>
  <c r="H74" i="13"/>
  <c r="H72" i="13"/>
  <c r="H71" i="13"/>
  <c r="H69" i="13"/>
  <c r="H68" i="13"/>
  <c r="H67" i="13"/>
  <c r="H66" i="13"/>
  <c r="H63" i="13"/>
  <c r="H62" i="13"/>
  <c r="H61" i="13"/>
  <c r="D61" i="13"/>
  <c r="H60" i="13"/>
  <c r="D60" i="13"/>
  <c r="H59" i="13"/>
  <c r="H58" i="13"/>
  <c r="H56" i="13"/>
  <c r="H55" i="13"/>
  <c r="H52" i="13"/>
  <c r="H51" i="13"/>
  <c r="H47" i="13"/>
  <c r="H46" i="13"/>
  <c r="H45" i="13"/>
  <c r="H44" i="13"/>
  <c r="H43" i="13"/>
  <c r="H40" i="13"/>
  <c r="H39" i="13"/>
  <c r="H41" i="13" s="1"/>
  <c r="H37" i="13"/>
  <c r="H36" i="13"/>
  <c r="H33" i="13"/>
  <c r="H32" i="13"/>
  <c r="H31" i="13"/>
  <c r="H30" i="13"/>
  <c r="H29" i="13"/>
  <c r="D29" i="13"/>
  <c r="H28" i="13"/>
  <c r="D28" i="13"/>
  <c r="H27" i="13"/>
  <c r="H26" i="13"/>
  <c r="H25" i="13"/>
  <c r="H24" i="13"/>
  <c r="H23" i="13"/>
  <c r="H22" i="13"/>
  <c r="H21" i="13"/>
  <c r="H20" i="13"/>
  <c r="H18" i="13"/>
  <c r="H17" i="13"/>
  <c r="H15" i="13"/>
  <c r="H14" i="13"/>
  <c r="H13" i="13"/>
  <c r="H12" i="13"/>
  <c r="H11" i="13"/>
  <c r="H10" i="13"/>
  <c r="H8" i="13"/>
  <c r="H7" i="13"/>
  <c r="H9" i="13" s="1"/>
  <c r="H5" i="13"/>
  <c r="H4" i="13"/>
  <c r="I90" i="14" l="1"/>
  <c r="J90" i="14" s="1"/>
  <c r="I87" i="14"/>
  <c r="J87" i="14" s="1"/>
  <c r="H19" i="13"/>
  <c r="H16" i="13"/>
  <c r="I9" i="13" s="1"/>
  <c r="J9" i="13" s="1"/>
  <c r="H34" i="13"/>
  <c r="H49" i="13"/>
  <c r="I41" i="13" s="1"/>
  <c r="J41" i="13" s="1"/>
  <c r="H57" i="13"/>
  <c r="H70" i="13"/>
  <c r="H81" i="13"/>
  <c r="H90" i="13"/>
  <c r="I90" i="13" s="1"/>
  <c r="J90" i="13" s="1"/>
  <c r="I19" i="13"/>
  <c r="J19" i="13" s="1"/>
  <c r="H54" i="13"/>
  <c r="H98" i="13"/>
  <c r="H64" i="13"/>
  <c r="H73" i="13"/>
  <c r="H87" i="13"/>
  <c r="H6" i="13"/>
  <c r="I6" i="13"/>
  <c r="J6" i="13" s="1"/>
  <c r="H99" i="12"/>
  <c r="H97" i="12"/>
  <c r="H96" i="12"/>
  <c r="H95" i="12"/>
  <c r="H94" i="12"/>
  <c r="H93" i="12"/>
  <c r="H92" i="12"/>
  <c r="H91" i="12"/>
  <c r="H89" i="12"/>
  <c r="H88" i="12"/>
  <c r="H86" i="12"/>
  <c r="H85" i="12"/>
  <c r="H84" i="12"/>
  <c r="H83" i="12"/>
  <c r="H80" i="12"/>
  <c r="H79" i="12"/>
  <c r="H78" i="12"/>
  <c r="H77" i="12"/>
  <c r="H76" i="12"/>
  <c r="H75" i="12"/>
  <c r="H74" i="12"/>
  <c r="H72" i="12"/>
  <c r="H73" i="12" s="1"/>
  <c r="H71" i="12"/>
  <c r="H69" i="12"/>
  <c r="H68" i="12"/>
  <c r="H67" i="12"/>
  <c r="H66" i="12"/>
  <c r="H63" i="12"/>
  <c r="H62" i="12"/>
  <c r="H61" i="12"/>
  <c r="D61" i="12"/>
  <c r="H60" i="12"/>
  <c r="D60" i="12"/>
  <c r="H59" i="12"/>
  <c r="H58" i="12"/>
  <c r="H56" i="12"/>
  <c r="H55" i="12"/>
  <c r="H52" i="12"/>
  <c r="H51" i="12"/>
  <c r="H47" i="12"/>
  <c r="H46" i="12"/>
  <c r="H45" i="12"/>
  <c r="H44" i="12"/>
  <c r="H43" i="12"/>
  <c r="H40" i="12"/>
  <c r="H39" i="12"/>
  <c r="H37" i="12"/>
  <c r="H36" i="12"/>
  <c r="H33" i="12"/>
  <c r="H32" i="12"/>
  <c r="H31" i="12"/>
  <c r="H30" i="12"/>
  <c r="H29" i="12"/>
  <c r="D29" i="12"/>
  <c r="H28" i="12"/>
  <c r="D28" i="12"/>
  <c r="H27" i="12"/>
  <c r="H26" i="12"/>
  <c r="H25" i="12"/>
  <c r="H24" i="12"/>
  <c r="H23" i="12"/>
  <c r="H22" i="12"/>
  <c r="H21" i="12"/>
  <c r="H20" i="12"/>
  <c r="H18" i="12"/>
  <c r="H17" i="12"/>
  <c r="H15" i="12"/>
  <c r="H14" i="12"/>
  <c r="H13" i="12"/>
  <c r="H12" i="12"/>
  <c r="H11" i="12"/>
  <c r="H10" i="12"/>
  <c r="H8" i="12"/>
  <c r="H7" i="12"/>
  <c r="H5" i="12"/>
  <c r="H4" i="12"/>
  <c r="H6" i="12" s="1"/>
  <c r="I87" i="13" l="1"/>
  <c r="J87" i="13" s="1"/>
  <c r="I73" i="13"/>
  <c r="J73" i="13" s="1"/>
  <c r="I57" i="13"/>
  <c r="J57" i="13" s="1"/>
  <c r="I70" i="13"/>
  <c r="J70" i="13" s="1"/>
  <c r="H57" i="12"/>
  <c r="H9" i="12"/>
  <c r="H98" i="12"/>
  <c r="H41" i="12"/>
  <c r="H64" i="12"/>
  <c r="H87" i="12"/>
  <c r="H90" i="12"/>
  <c r="H19" i="12"/>
  <c r="H16" i="12"/>
  <c r="I9" i="12" s="1"/>
  <c r="J9" i="12" s="1"/>
  <c r="H34" i="12"/>
  <c r="H49" i="12"/>
  <c r="H81" i="12"/>
  <c r="I73" i="12" s="1"/>
  <c r="J73" i="12" s="1"/>
  <c r="H54" i="12"/>
  <c r="H70" i="12"/>
  <c r="I70" i="12" s="1"/>
  <c r="J70" i="12" s="1"/>
  <c r="H99" i="11"/>
  <c r="H97" i="11"/>
  <c r="H96" i="11"/>
  <c r="H95" i="11"/>
  <c r="H94" i="11"/>
  <c r="H93" i="11"/>
  <c r="H92" i="11"/>
  <c r="H91" i="11"/>
  <c r="H98" i="11" s="1"/>
  <c r="H90" i="11"/>
  <c r="H89" i="11"/>
  <c r="H88" i="11"/>
  <c r="H86" i="11"/>
  <c r="H85" i="11"/>
  <c r="H84" i="11"/>
  <c r="H83" i="11"/>
  <c r="H87" i="11" s="1"/>
  <c r="I87" i="11" s="1"/>
  <c r="J87" i="11" s="1"/>
  <c r="H81" i="11"/>
  <c r="H80" i="11"/>
  <c r="H79" i="11"/>
  <c r="H78" i="11"/>
  <c r="H77" i="11"/>
  <c r="H76" i="11"/>
  <c r="H75" i="11"/>
  <c r="H74" i="11"/>
  <c r="H73" i="11"/>
  <c r="I73" i="11" s="1"/>
  <c r="J73" i="11" s="1"/>
  <c r="H72" i="11"/>
  <c r="H71" i="11"/>
  <c r="H69" i="11"/>
  <c r="H68" i="11"/>
  <c r="H67" i="11"/>
  <c r="H66" i="11"/>
  <c r="H70" i="11" s="1"/>
  <c r="I70" i="11" s="1"/>
  <c r="J70" i="11" s="1"/>
  <c r="H63" i="11"/>
  <c r="H62" i="11"/>
  <c r="H64" i="11" s="1"/>
  <c r="H61" i="11"/>
  <c r="D61" i="11"/>
  <c r="H60" i="11"/>
  <c r="D60" i="11"/>
  <c r="H59" i="11"/>
  <c r="H58" i="11"/>
  <c r="H56" i="11"/>
  <c r="H55" i="11"/>
  <c r="H57" i="11" s="1"/>
  <c r="H54" i="11"/>
  <c r="H52" i="11"/>
  <c r="H51" i="11"/>
  <c r="H47" i="11"/>
  <c r="H46" i="11"/>
  <c r="H45" i="11"/>
  <c r="H44" i="11"/>
  <c r="H43" i="11"/>
  <c r="H49" i="11" s="1"/>
  <c r="H40" i="11"/>
  <c r="H41" i="11" s="1"/>
  <c r="H39" i="11"/>
  <c r="H37" i="11"/>
  <c r="H36" i="11"/>
  <c r="H33" i="11"/>
  <c r="H32" i="11"/>
  <c r="H31" i="11"/>
  <c r="H30" i="11"/>
  <c r="H29" i="11"/>
  <c r="D29" i="11"/>
  <c r="H28" i="11"/>
  <c r="D28" i="11"/>
  <c r="H27" i="11"/>
  <c r="H26" i="11"/>
  <c r="H25" i="11"/>
  <c r="H24" i="11"/>
  <c r="H23" i="11"/>
  <c r="H22" i="11"/>
  <c r="H21" i="11"/>
  <c r="H20" i="11"/>
  <c r="H34" i="11" s="1"/>
  <c r="H18" i="11"/>
  <c r="H19" i="11" s="1"/>
  <c r="H17" i="11"/>
  <c r="H15" i="11"/>
  <c r="H14" i="11"/>
  <c r="H13" i="11"/>
  <c r="H12" i="11"/>
  <c r="H11" i="11"/>
  <c r="H10" i="11"/>
  <c r="H16" i="11" s="1"/>
  <c r="H8" i="11"/>
  <c r="H7" i="11"/>
  <c r="H9" i="11" s="1"/>
  <c r="H6" i="11"/>
  <c r="I6" i="11" s="1"/>
  <c r="J6" i="11" s="1"/>
  <c r="H5" i="11"/>
  <c r="H4" i="11"/>
  <c r="I87" i="12" l="1"/>
  <c r="J87" i="12" s="1"/>
  <c r="I90" i="12"/>
  <c r="J90" i="12" s="1"/>
  <c r="I57" i="12"/>
  <c r="J57" i="12" s="1"/>
  <c r="I41" i="12"/>
  <c r="J41" i="12" s="1"/>
  <c r="I19" i="12"/>
  <c r="J19" i="12" s="1"/>
  <c r="I6" i="12"/>
  <c r="J6" i="12" s="1"/>
  <c r="I9" i="11"/>
  <c r="J9" i="11" s="1"/>
  <c r="I19" i="11"/>
  <c r="J19" i="11" s="1"/>
  <c r="I41" i="11"/>
  <c r="J41" i="11" s="1"/>
  <c r="I57" i="11"/>
  <c r="J57" i="11" s="1"/>
  <c r="I90" i="11"/>
  <c r="J90" i="11" s="1"/>
  <c r="H99" i="10" l="1"/>
  <c r="H97" i="10"/>
  <c r="H96" i="10"/>
  <c r="H95" i="10"/>
  <c r="H94" i="10"/>
  <c r="H93" i="10"/>
  <c r="H92" i="10"/>
  <c r="H91" i="10"/>
  <c r="H89" i="10"/>
  <c r="H88" i="10"/>
  <c r="H86" i="10"/>
  <c r="H85" i="10"/>
  <c r="H84" i="10"/>
  <c r="H83" i="10"/>
  <c r="H87" i="10" s="1"/>
  <c r="H80" i="10"/>
  <c r="H79" i="10"/>
  <c r="H78" i="10"/>
  <c r="H77" i="10"/>
  <c r="H76" i="10"/>
  <c r="H75" i="10"/>
  <c r="H74" i="10"/>
  <c r="H72" i="10"/>
  <c r="H71" i="10"/>
  <c r="H69" i="10"/>
  <c r="H68" i="10"/>
  <c r="H67" i="10"/>
  <c r="H66" i="10"/>
  <c r="H63" i="10"/>
  <c r="H62" i="10"/>
  <c r="H61" i="10"/>
  <c r="D61" i="10"/>
  <c r="H60" i="10"/>
  <c r="D60" i="10"/>
  <c r="H59" i="10"/>
  <c r="H58" i="10"/>
  <c r="H56" i="10"/>
  <c r="H55" i="10"/>
  <c r="H52" i="10"/>
  <c r="H51" i="10"/>
  <c r="H47" i="10"/>
  <c r="H46" i="10"/>
  <c r="H45" i="10"/>
  <c r="H44" i="10"/>
  <c r="H43" i="10"/>
  <c r="H40" i="10"/>
  <c r="H39" i="10"/>
  <c r="H37" i="10"/>
  <c r="H36" i="10"/>
  <c r="H33" i="10"/>
  <c r="H32" i="10"/>
  <c r="H31" i="10"/>
  <c r="H30" i="10"/>
  <c r="H29" i="10"/>
  <c r="D29" i="10"/>
  <c r="H28" i="10"/>
  <c r="D28" i="10"/>
  <c r="H27" i="10"/>
  <c r="H26" i="10"/>
  <c r="H25" i="10"/>
  <c r="H24" i="10"/>
  <c r="H23" i="10"/>
  <c r="H22" i="10"/>
  <c r="H21" i="10"/>
  <c r="H20" i="10"/>
  <c r="H18" i="10"/>
  <c r="H17" i="10"/>
  <c r="H15" i="10"/>
  <c r="H14" i="10"/>
  <c r="H13" i="10"/>
  <c r="H12" i="10"/>
  <c r="H11" i="10"/>
  <c r="H10" i="10"/>
  <c r="H8" i="10"/>
  <c r="H7" i="10"/>
  <c r="H5" i="10"/>
  <c r="H4" i="10"/>
  <c r="H90" i="10" l="1"/>
  <c r="H73" i="10"/>
  <c r="H54" i="10"/>
  <c r="H64" i="10"/>
  <c r="I57" i="10" s="1"/>
  <c r="H6" i="10"/>
  <c r="H57" i="10"/>
  <c r="H98" i="10"/>
  <c r="I90" i="10" s="1"/>
  <c r="J90" i="10" s="1"/>
  <c r="H34" i="10"/>
  <c r="H49" i="10"/>
  <c r="I87" i="10"/>
  <c r="J87" i="10" s="1"/>
  <c r="H81" i="10"/>
  <c r="H16" i="10"/>
  <c r="H9" i="10"/>
  <c r="H19" i="10"/>
  <c r="H41" i="10"/>
  <c r="H70" i="10"/>
  <c r="H99" i="9"/>
  <c r="H97" i="9"/>
  <c r="H96" i="9"/>
  <c r="H95" i="9"/>
  <c r="H94" i="9"/>
  <c r="H93" i="9"/>
  <c r="H92" i="9"/>
  <c r="H91" i="9"/>
  <c r="H89" i="9"/>
  <c r="H88" i="9"/>
  <c r="H90" i="9" s="1"/>
  <c r="H86" i="9"/>
  <c r="H85" i="9"/>
  <c r="H84" i="9"/>
  <c r="H83" i="9"/>
  <c r="H87" i="9" s="1"/>
  <c r="H80" i="9"/>
  <c r="H79" i="9"/>
  <c r="H78" i="9"/>
  <c r="H77" i="9"/>
  <c r="H76" i="9"/>
  <c r="H75" i="9"/>
  <c r="H74" i="9"/>
  <c r="H72" i="9"/>
  <c r="H71" i="9"/>
  <c r="H69" i="9"/>
  <c r="H68" i="9"/>
  <c r="H67" i="9"/>
  <c r="H66" i="9"/>
  <c r="H63" i="9"/>
  <c r="H62" i="9"/>
  <c r="H61" i="9"/>
  <c r="D61" i="9"/>
  <c r="H60" i="9"/>
  <c r="D60" i="9"/>
  <c r="H59" i="9"/>
  <c r="H58" i="9"/>
  <c r="H56" i="9"/>
  <c r="H55" i="9"/>
  <c r="H52" i="9"/>
  <c r="H51" i="9"/>
  <c r="H47" i="9"/>
  <c r="H46" i="9"/>
  <c r="H45" i="9"/>
  <c r="H44" i="9"/>
  <c r="H43" i="9"/>
  <c r="H40" i="9"/>
  <c r="H39" i="9"/>
  <c r="H37" i="9"/>
  <c r="H36" i="9"/>
  <c r="H33" i="9"/>
  <c r="H32" i="9"/>
  <c r="H31" i="9"/>
  <c r="H30" i="9"/>
  <c r="H29" i="9"/>
  <c r="D29" i="9"/>
  <c r="H28" i="9"/>
  <c r="D28" i="9"/>
  <c r="H27" i="9"/>
  <c r="H26" i="9"/>
  <c r="H25" i="9"/>
  <c r="H24" i="9"/>
  <c r="H23" i="9"/>
  <c r="H22" i="9"/>
  <c r="H21" i="9"/>
  <c r="H20" i="9"/>
  <c r="H18" i="9"/>
  <c r="H17" i="9"/>
  <c r="H15" i="9"/>
  <c r="H14" i="9"/>
  <c r="H13" i="9"/>
  <c r="H12" i="9"/>
  <c r="H11" i="9"/>
  <c r="H10" i="9"/>
  <c r="H8" i="9"/>
  <c r="H7" i="9"/>
  <c r="H5" i="9"/>
  <c r="H4" i="9"/>
  <c r="I70" i="10" l="1"/>
  <c r="J70" i="10" s="1"/>
  <c r="I73" i="10"/>
  <c r="J73" i="10" s="1"/>
  <c r="J57" i="10"/>
  <c r="I41" i="10"/>
  <c r="J41" i="10" s="1"/>
  <c r="I9" i="10"/>
  <c r="J9" i="10" s="1"/>
  <c r="I19" i="10"/>
  <c r="J19" i="10" s="1"/>
  <c r="I6" i="10"/>
  <c r="J6" i="10" s="1"/>
  <c r="H54" i="9"/>
  <c r="H98" i="9"/>
  <c r="H41" i="9"/>
  <c r="H64" i="9"/>
  <c r="H73" i="9"/>
  <c r="H57" i="9"/>
  <c r="H16" i="9"/>
  <c r="H34" i="9"/>
  <c r="H49" i="9"/>
  <c r="I41" i="9" s="1"/>
  <c r="J41" i="9" s="1"/>
  <c r="I87" i="9"/>
  <c r="J87" i="9" s="1"/>
  <c r="H6" i="9"/>
  <c r="H81" i="9"/>
  <c r="H9" i="9"/>
  <c r="H19" i="9"/>
  <c r="H70" i="9"/>
  <c r="I90" i="9"/>
  <c r="J90" i="9" s="1"/>
  <c r="H99" i="8"/>
  <c r="H97" i="8"/>
  <c r="H96" i="8"/>
  <c r="H95" i="8"/>
  <c r="H94" i="8"/>
  <c r="H93" i="8"/>
  <c r="H92" i="8"/>
  <c r="H91" i="8"/>
  <c r="H89" i="8"/>
  <c r="H88" i="8"/>
  <c r="H86" i="8"/>
  <c r="H85" i="8"/>
  <c r="H84" i="8"/>
  <c r="H83" i="8"/>
  <c r="H80" i="8"/>
  <c r="H79" i="8"/>
  <c r="H78" i="8"/>
  <c r="H77" i="8"/>
  <c r="H76" i="8"/>
  <c r="H75" i="8"/>
  <c r="H74" i="8"/>
  <c r="H72" i="8"/>
  <c r="H71" i="8"/>
  <c r="H73" i="8" s="1"/>
  <c r="H69" i="8"/>
  <c r="H68" i="8"/>
  <c r="H67" i="8"/>
  <c r="H66" i="8"/>
  <c r="H63" i="8"/>
  <c r="H62" i="8"/>
  <c r="H61" i="8"/>
  <c r="D61" i="8"/>
  <c r="H60" i="8"/>
  <c r="D60" i="8"/>
  <c r="H59" i="8"/>
  <c r="H58" i="8"/>
  <c r="H56" i="8"/>
  <c r="H55" i="8"/>
  <c r="H52" i="8"/>
  <c r="H51" i="8"/>
  <c r="H47" i="8"/>
  <c r="H46" i="8"/>
  <c r="H45" i="8"/>
  <c r="H44" i="8"/>
  <c r="H43" i="8"/>
  <c r="H40" i="8"/>
  <c r="H39" i="8"/>
  <c r="H41" i="8" s="1"/>
  <c r="H37" i="8"/>
  <c r="H36" i="8"/>
  <c r="H33" i="8"/>
  <c r="H32" i="8"/>
  <c r="H31" i="8"/>
  <c r="H30" i="8"/>
  <c r="H29" i="8"/>
  <c r="D29" i="8"/>
  <c r="H28" i="8"/>
  <c r="D28" i="8"/>
  <c r="H27" i="8"/>
  <c r="H26" i="8"/>
  <c r="H25" i="8"/>
  <c r="H24" i="8"/>
  <c r="H23" i="8"/>
  <c r="H22" i="8"/>
  <c r="H21" i="8"/>
  <c r="H20" i="8"/>
  <c r="H18" i="8"/>
  <c r="H17" i="8"/>
  <c r="H19" i="8" s="1"/>
  <c r="H15" i="8"/>
  <c r="H14" i="8"/>
  <c r="H13" i="8"/>
  <c r="H12" i="8"/>
  <c r="H11" i="8"/>
  <c r="H10" i="8"/>
  <c r="H8" i="8"/>
  <c r="H7" i="8"/>
  <c r="H9" i="8" s="1"/>
  <c r="H5" i="8"/>
  <c r="H4" i="8"/>
  <c r="I57" i="9" l="1"/>
  <c r="J57" i="9" s="1"/>
  <c r="I70" i="9"/>
  <c r="J70" i="9" s="1"/>
  <c r="I73" i="9"/>
  <c r="J73" i="9" s="1"/>
  <c r="I19" i="9"/>
  <c r="J19" i="9" s="1"/>
  <c r="I9" i="9"/>
  <c r="J9" i="9" s="1"/>
  <c r="I6" i="9"/>
  <c r="J6" i="9" s="1"/>
  <c r="H54" i="8"/>
  <c r="H57" i="8"/>
  <c r="H70" i="8"/>
  <c r="H64" i="8"/>
  <c r="I57" i="8"/>
  <c r="H16" i="8"/>
  <c r="I9" i="8" s="1"/>
  <c r="J9" i="8" s="1"/>
  <c r="I70" i="8"/>
  <c r="J70" i="8" s="1"/>
  <c r="H81" i="8"/>
  <c r="I73" i="8" s="1"/>
  <c r="J73" i="8" s="1"/>
  <c r="H87" i="8"/>
  <c r="H90" i="8"/>
  <c r="H6" i="8"/>
  <c r="I6" i="8" s="1"/>
  <c r="J6" i="8" s="1"/>
  <c r="H34" i="8"/>
  <c r="I19" i="8" s="1"/>
  <c r="J19" i="8" s="1"/>
  <c r="H49" i="8"/>
  <c r="I41" i="8" s="1"/>
  <c r="J41" i="8" s="1"/>
  <c r="H98" i="8"/>
  <c r="I90" i="8" s="1"/>
  <c r="J90" i="8" s="1"/>
  <c r="H99" i="7"/>
  <c r="H97" i="7"/>
  <c r="H96" i="7"/>
  <c r="H95" i="7"/>
  <c r="H94" i="7"/>
  <c r="H93" i="7"/>
  <c r="H92" i="7"/>
  <c r="H91" i="7"/>
  <c r="H89" i="7"/>
  <c r="H88" i="7"/>
  <c r="H90" i="7" s="1"/>
  <c r="H86" i="7"/>
  <c r="H85" i="7"/>
  <c r="H84" i="7"/>
  <c r="H83" i="7"/>
  <c r="H87" i="7" s="1"/>
  <c r="H98" i="6"/>
  <c r="J57" i="8" l="1"/>
  <c r="I87" i="8"/>
  <c r="J87" i="8" s="1"/>
  <c r="H98" i="7"/>
  <c r="I90" i="7" s="1"/>
  <c r="J90" i="7" s="1"/>
  <c r="I87" i="7"/>
  <c r="J87" i="7" s="1"/>
  <c r="H80" i="7"/>
  <c r="H79" i="7"/>
  <c r="H78" i="7"/>
  <c r="H77" i="7"/>
  <c r="H76" i="7"/>
  <c r="H75" i="7"/>
  <c r="H74" i="7"/>
  <c r="H72" i="7"/>
  <c r="H71" i="7"/>
  <c r="H69" i="7"/>
  <c r="H68" i="7"/>
  <c r="H67" i="7"/>
  <c r="H66" i="7"/>
  <c r="H63" i="7"/>
  <c r="H62" i="7"/>
  <c r="H61" i="7"/>
  <c r="D61" i="7"/>
  <c r="H60" i="7"/>
  <c r="D60" i="7"/>
  <c r="H59" i="7"/>
  <c r="H58" i="7"/>
  <c r="H56" i="7"/>
  <c r="H55" i="7"/>
  <c r="H52" i="7"/>
  <c r="H51" i="7"/>
  <c r="H47" i="7"/>
  <c r="H46" i="7"/>
  <c r="H45" i="7"/>
  <c r="H44" i="7"/>
  <c r="H43" i="7"/>
  <c r="H40" i="7"/>
  <c r="H39" i="7"/>
  <c r="H37" i="7"/>
  <c r="H36" i="7"/>
  <c r="H33" i="7"/>
  <c r="H32" i="7"/>
  <c r="H31" i="7"/>
  <c r="H30" i="7"/>
  <c r="H29" i="7"/>
  <c r="D29" i="7"/>
  <c r="H28" i="7"/>
  <c r="D28" i="7"/>
  <c r="H27" i="7"/>
  <c r="H26" i="7"/>
  <c r="H25" i="7"/>
  <c r="H24" i="7"/>
  <c r="H23" i="7"/>
  <c r="H22" i="7"/>
  <c r="H21" i="7"/>
  <c r="H20" i="7"/>
  <c r="H18" i="7"/>
  <c r="H17" i="7"/>
  <c r="H15" i="7"/>
  <c r="H14" i="7"/>
  <c r="H13" i="7"/>
  <c r="H12" i="7"/>
  <c r="H11" i="7"/>
  <c r="H10" i="7"/>
  <c r="H8" i="7"/>
  <c r="H7" i="7"/>
  <c r="H5" i="7"/>
  <c r="H4" i="7"/>
  <c r="H64" i="7" l="1"/>
  <c r="H73" i="7"/>
  <c r="H57" i="7"/>
  <c r="H16" i="7"/>
  <c r="H34" i="7"/>
  <c r="H49" i="7"/>
  <c r="H6" i="7"/>
  <c r="H9" i="7"/>
  <c r="I9" i="7" s="1"/>
  <c r="J9" i="7" s="1"/>
  <c r="H19" i="7"/>
  <c r="H41" i="7"/>
  <c r="H54" i="7"/>
  <c r="H70" i="7"/>
  <c r="H81" i="7"/>
  <c r="I73" i="7" s="1"/>
  <c r="J73" i="7" s="1"/>
  <c r="H99" i="6"/>
  <c r="H97" i="6"/>
  <c r="H96" i="6"/>
  <c r="H95" i="6"/>
  <c r="H94" i="6"/>
  <c r="H93" i="6"/>
  <c r="H92" i="6"/>
  <c r="H91" i="6"/>
  <c r="H89" i="6"/>
  <c r="H88" i="6"/>
  <c r="H86" i="6"/>
  <c r="H85" i="6"/>
  <c r="H84" i="6"/>
  <c r="H83" i="6"/>
  <c r="H80" i="6"/>
  <c r="H79" i="6"/>
  <c r="H78" i="6"/>
  <c r="H77" i="6"/>
  <c r="H76" i="6"/>
  <c r="H75" i="6"/>
  <c r="H74" i="6"/>
  <c r="H72" i="6"/>
  <c r="H71" i="6"/>
  <c r="H69" i="6"/>
  <c r="H68" i="6"/>
  <c r="H67" i="6"/>
  <c r="H66" i="6"/>
  <c r="H63" i="6"/>
  <c r="H62" i="6"/>
  <c r="H61" i="6"/>
  <c r="D61" i="6"/>
  <c r="H60" i="6"/>
  <c r="D60" i="6"/>
  <c r="H59" i="6"/>
  <c r="H58" i="6"/>
  <c r="H56" i="6"/>
  <c r="H55" i="6"/>
  <c r="H52" i="6"/>
  <c r="H51" i="6"/>
  <c r="H47" i="6"/>
  <c r="H46" i="6"/>
  <c r="H45" i="6"/>
  <c r="H44" i="6"/>
  <c r="H43" i="6"/>
  <c r="H40" i="6"/>
  <c r="H41" i="6" s="1"/>
  <c r="H39" i="6"/>
  <c r="H37" i="6"/>
  <c r="H36" i="6"/>
  <c r="H33" i="6"/>
  <c r="H32" i="6"/>
  <c r="H31" i="6"/>
  <c r="H30" i="6"/>
  <c r="H29" i="6"/>
  <c r="D29" i="6"/>
  <c r="H28" i="6"/>
  <c r="D28" i="6"/>
  <c r="H27" i="6"/>
  <c r="H26" i="6"/>
  <c r="H25" i="6"/>
  <c r="H24" i="6"/>
  <c r="H23" i="6"/>
  <c r="H22" i="6"/>
  <c r="H21" i="6"/>
  <c r="H20" i="6"/>
  <c r="H18" i="6"/>
  <c r="H17" i="6"/>
  <c r="H19" i="6" s="1"/>
  <c r="H15" i="6"/>
  <c r="H14" i="6"/>
  <c r="H13" i="6"/>
  <c r="H12" i="6"/>
  <c r="H11" i="6"/>
  <c r="H10" i="6"/>
  <c r="H8" i="6"/>
  <c r="H7" i="6"/>
  <c r="H5" i="6"/>
  <c r="H4" i="6"/>
  <c r="H6" i="6" s="1"/>
  <c r="H99" i="5"/>
  <c r="H97" i="5"/>
  <c r="H96" i="5"/>
  <c r="H95" i="5"/>
  <c r="H94" i="5"/>
  <c r="H93" i="5"/>
  <c r="H92" i="5"/>
  <c r="H91" i="5"/>
  <c r="H89" i="5"/>
  <c r="H88" i="5"/>
  <c r="H86" i="5"/>
  <c r="H85" i="5"/>
  <c r="H84" i="5"/>
  <c r="H83" i="5"/>
  <c r="H80" i="5"/>
  <c r="H79" i="5"/>
  <c r="H78" i="5"/>
  <c r="H77" i="5"/>
  <c r="H76" i="5"/>
  <c r="H75" i="5"/>
  <c r="H74" i="5"/>
  <c r="H72" i="5"/>
  <c r="H71" i="5"/>
  <c r="H69" i="5"/>
  <c r="H68" i="5"/>
  <c r="H67" i="5"/>
  <c r="H66" i="5"/>
  <c r="H63" i="5"/>
  <c r="H62" i="5"/>
  <c r="H61" i="5"/>
  <c r="D61" i="5"/>
  <c r="H60" i="5"/>
  <c r="D60" i="5"/>
  <c r="H59" i="5"/>
  <c r="H58" i="5"/>
  <c r="H56" i="5"/>
  <c r="H55" i="5"/>
  <c r="H57" i="5" s="1"/>
  <c r="H52" i="5"/>
  <c r="H54" i="5" s="1"/>
  <c r="H51" i="5"/>
  <c r="H47" i="5"/>
  <c r="H46" i="5"/>
  <c r="H45" i="5"/>
  <c r="H44" i="5"/>
  <c r="H43" i="5"/>
  <c r="H40" i="5"/>
  <c r="H39" i="5"/>
  <c r="H41" i="5" s="1"/>
  <c r="H37" i="5"/>
  <c r="H36" i="5"/>
  <c r="H33" i="5"/>
  <c r="H32" i="5"/>
  <c r="H31" i="5"/>
  <c r="H30" i="5"/>
  <c r="H29" i="5"/>
  <c r="D29" i="5"/>
  <c r="H28" i="5"/>
  <c r="D28" i="5"/>
  <c r="H27" i="5"/>
  <c r="H26" i="5"/>
  <c r="H25" i="5"/>
  <c r="H24" i="5"/>
  <c r="H23" i="5"/>
  <c r="H22" i="5"/>
  <c r="H21" i="5"/>
  <c r="H20" i="5"/>
  <c r="H18" i="5"/>
  <c r="H17" i="5"/>
  <c r="H19" i="5" s="1"/>
  <c r="H15" i="5"/>
  <c r="H14" i="5"/>
  <c r="H13" i="5"/>
  <c r="H12" i="5"/>
  <c r="H11" i="5"/>
  <c r="H10" i="5"/>
  <c r="H8" i="5"/>
  <c r="H7" i="5"/>
  <c r="H5" i="5"/>
  <c r="H4" i="5"/>
  <c r="I70" i="7" l="1"/>
  <c r="J70" i="7" s="1"/>
  <c r="I57" i="7"/>
  <c r="J57" i="7" s="1"/>
  <c r="I41" i="7"/>
  <c r="J41" i="7" s="1"/>
  <c r="I19" i="7"/>
  <c r="J19" i="7" s="1"/>
  <c r="I6" i="7"/>
  <c r="J6" i="7" s="1"/>
  <c r="H9" i="6"/>
  <c r="I6" i="6" s="1"/>
  <c r="J6" i="6" s="1"/>
  <c r="H54" i="6"/>
  <c r="H73" i="6"/>
  <c r="H70" i="6"/>
  <c r="H16" i="6"/>
  <c r="H64" i="6"/>
  <c r="H49" i="6"/>
  <c r="I57" i="6"/>
  <c r="H87" i="6"/>
  <c r="H90" i="6"/>
  <c r="H34" i="6"/>
  <c r="I19" i="6" s="1"/>
  <c r="J19" i="6" s="1"/>
  <c r="I41" i="6"/>
  <c r="J41" i="6" s="1"/>
  <c r="H57" i="6"/>
  <c r="H81" i="6"/>
  <c r="H16" i="5"/>
  <c r="I9" i="5" s="1"/>
  <c r="J9" i="5" s="1"/>
  <c r="H34" i="5"/>
  <c r="H49" i="5"/>
  <c r="H6" i="5"/>
  <c r="H70" i="5"/>
  <c r="H81" i="5"/>
  <c r="H90" i="5"/>
  <c r="I6" i="5"/>
  <c r="J6" i="5" s="1"/>
  <c r="H98" i="5"/>
  <c r="I90" i="5" s="1"/>
  <c r="J90" i="5" s="1"/>
  <c r="H9" i="5"/>
  <c r="H64" i="5"/>
  <c r="I57" i="5" s="1"/>
  <c r="J57" i="5" s="1"/>
  <c r="H73" i="5"/>
  <c r="I73" i="5" s="1"/>
  <c r="J73" i="5" s="1"/>
  <c r="H87" i="5"/>
  <c r="I87" i="5" s="1"/>
  <c r="J87" i="5" s="1"/>
  <c r="I19" i="5"/>
  <c r="J19" i="5" s="1"/>
  <c r="I41" i="5"/>
  <c r="J41" i="5" s="1"/>
  <c r="H99" i="4"/>
  <c r="H97" i="4"/>
  <c r="H96" i="4"/>
  <c r="H95" i="4"/>
  <c r="H94" i="4"/>
  <c r="H93" i="4"/>
  <c r="H92" i="4"/>
  <c r="H91" i="4"/>
  <c r="H89" i="4"/>
  <c r="H88" i="4"/>
  <c r="H86" i="4"/>
  <c r="H85" i="4"/>
  <c r="H84" i="4"/>
  <c r="H83" i="4"/>
  <c r="H80" i="4"/>
  <c r="H79" i="4"/>
  <c r="H78" i="4"/>
  <c r="H77" i="4"/>
  <c r="H76" i="4"/>
  <c r="H75" i="4"/>
  <c r="H74" i="4"/>
  <c r="H72" i="4"/>
  <c r="H71" i="4"/>
  <c r="H69" i="4"/>
  <c r="H68" i="4"/>
  <c r="H67" i="4"/>
  <c r="H66" i="4"/>
  <c r="H63" i="4"/>
  <c r="H62" i="4"/>
  <c r="H61" i="4"/>
  <c r="D61" i="4"/>
  <c r="H60" i="4"/>
  <c r="D60" i="4"/>
  <c r="H59" i="4"/>
  <c r="H58" i="4"/>
  <c r="H56" i="4"/>
  <c r="H55" i="4"/>
  <c r="H52" i="4"/>
  <c r="H51" i="4"/>
  <c r="H47" i="4"/>
  <c r="H46" i="4"/>
  <c r="H45" i="4"/>
  <c r="H44" i="4"/>
  <c r="H43" i="4"/>
  <c r="H40" i="4"/>
  <c r="H39" i="4"/>
  <c r="H37" i="4"/>
  <c r="H36" i="4"/>
  <c r="H33" i="4"/>
  <c r="H32" i="4"/>
  <c r="H31" i="4"/>
  <c r="H30" i="4"/>
  <c r="H29" i="4"/>
  <c r="D29" i="4"/>
  <c r="H28" i="4"/>
  <c r="D28" i="4"/>
  <c r="H27" i="4"/>
  <c r="H26" i="4"/>
  <c r="H25" i="4"/>
  <c r="H24" i="4"/>
  <c r="H23" i="4"/>
  <c r="H22" i="4"/>
  <c r="H21" i="4"/>
  <c r="H20" i="4"/>
  <c r="H18" i="4"/>
  <c r="H17" i="4"/>
  <c r="H15" i="4"/>
  <c r="H14" i="4"/>
  <c r="H13" i="4"/>
  <c r="H12" i="4"/>
  <c r="H11" i="4"/>
  <c r="H10" i="4"/>
  <c r="H8" i="4"/>
  <c r="H7" i="4"/>
  <c r="H5" i="4"/>
  <c r="H4" i="4"/>
  <c r="I9" i="6" l="1"/>
  <c r="J9" i="6" s="1"/>
  <c r="J57" i="6"/>
  <c r="I73" i="6"/>
  <c r="J73" i="6" s="1"/>
  <c r="I70" i="6"/>
  <c r="J70" i="6" s="1"/>
  <c r="I87" i="6"/>
  <c r="J87" i="6" s="1"/>
  <c r="I90" i="6"/>
  <c r="J90" i="6" s="1"/>
  <c r="I70" i="5"/>
  <c r="J70" i="5" s="1"/>
  <c r="H54" i="4"/>
  <c r="H70" i="4"/>
  <c r="H73" i="4"/>
  <c r="I70" i="4" s="1"/>
  <c r="J70" i="4" s="1"/>
  <c r="H98" i="4"/>
  <c r="I57" i="4"/>
  <c r="H64" i="4"/>
  <c r="H9" i="4"/>
  <c r="H16" i="4"/>
  <c r="I9" i="4" s="1"/>
  <c r="J9" i="4" s="1"/>
  <c r="H19" i="4"/>
  <c r="H41" i="4"/>
  <c r="H81" i="4"/>
  <c r="I73" i="4" s="1"/>
  <c r="J73" i="4" s="1"/>
  <c r="H87" i="4"/>
  <c r="H90" i="4"/>
  <c r="H6" i="4"/>
  <c r="H34" i="4"/>
  <c r="H49" i="4"/>
  <c r="I41" i="4" s="1"/>
  <c r="J41" i="4" s="1"/>
  <c r="H57" i="4"/>
  <c r="H99" i="3"/>
  <c r="H97" i="3"/>
  <c r="H96" i="3"/>
  <c r="H95" i="3"/>
  <c r="H94" i="3"/>
  <c r="H93" i="3"/>
  <c r="H92" i="3"/>
  <c r="H91" i="3"/>
  <c r="H89" i="3"/>
  <c r="H88" i="3"/>
  <c r="H90" i="3" s="1"/>
  <c r="H86" i="3"/>
  <c r="H85" i="3"/>
  <c r="H84" i="3"/>
  <c r="H83" i="3"/>
  <c r="H87" i="3" s="1"/>
  <c r="H80" i="3"/>
  <c r="H79" i="3"/>
  <c r="H78" i="3"/>
  <c r="H77" i="3"/>
  <c r="H76" i="3"/>
  <c r="H75" i="3"/>
  <c r="H74" i="3"/>
  <c r="H72" i="3"/>
  <c r="H71" i="3"/>
  <c r="H69" i="3"/>
  <c r="H68" i="3"/>
  <c r="H67" i="3"/>
  <c r="H66" i="3"/>
  <c r="H63" i="3"/>
  <c r="H62" i="3"/>
  <c r="H61" i="3"/>
  <c r="D61" i="3"/>
  <c r="H60" i="3"/>
  <c r="D60" i="3"/>
  <c r="H59" i="3"/>
  <c r="H58" i="3"/>
  <c r="H56" i="3"/>
  <c r="H55" i="3"/>
  <c r="H52" i="3"/>
  <c r="H51" i="3"/>
  <c r="H47" i="3"/>
  <c r="H46" i="3"/>
  <c r="H45" i="3"/>
  <c r="H44" i="3"/>
  <c r="H43" i="3"/>
  <c r="H40" i="3"/>
  <c r="H39" i="3"/>
  <c r="H37" i="3"/>
  <c r="H36" i="3"/>
  <c r="H33" i="3"/>
  <c r="H32" i="3"/>
  <c r="H31" i="3"/>
  <c r="H30" i="3"/>
  <c r="H29" i="3"/>
  <c r="D29" i="3"/>
  <c r="H28" i="3"/>
  <c r="D28" i="3"/>
  <c r="H27" i="3"/>
  <c r="H26" i="3"/>
  <c r="H25" i="3"/>
  <c r="H24" i="3"/>
  <c r="H23" i="3"/>
  <c r="H22" i="3"/>
  <c r="H21" i="3"/>
  <c r="H20" i="3"/>
  <c r="H18" i="3"/>
  <c r="H17" i="3"/>
  <c r="H15" i="3"/>
  <c r="H14" i="3"/>
  <c r="H13" i="3"/>
  <c r="H12" i="3"/>
  <c r="H11" i="3"/>
  <c r="H10" i="3"/>
  <c r="H8" i="3"/>
  <c r="H7" i="3"/>
  <c r="H5" i="3"/>
  <c r="H4" i="3"/>
  <c r="I19" i="4" l="1"/>
  <c r="J19" i="4" s="1"/>
  <c r="I90" i="4"/>
  <c r="J90" i="4" s="1"/>
  <c r="J57" i="4"/>
  <c r="I87" i="4"/>
  <c r="J87" i="4" s="1"/>
  <c r="I6" i="4"/>
  <c r="J6" i="4" s="1"/>
  <c r="I87" i="3"/>
  <c r="J87" i="3" s="1"/>
  <c r="H54" i="3"/>
  <c r="H70" i="3"/>
  <c r="H73" i="3"/>
  <c r="H81" i="3"/>
  <c r="H64" i="3"/>
  <c r="H9" i="3"/>
  <c r="H16" i="3"/>
  <c r="H19" i="3"/>
  <c r="H41" i="3"/>
  <c r="H6" i="3"/>
  <c r="H34" i="3"/>
  <c r="H49" i="3"/>
  <c r="H57" i="3"/>
  <c r="H98" i="3"/>
  <c r="I90" i="3" s="1"/>
  <c r="J90" i="3" s="1"/>
  <c r="H26" i="2"/>
  <c r="H27" i="2"/>
  <c r="H28" i="2"/>
  <c r="H29" i="2"/>
  <c r="H30" i="2"/>
  <c r="H4" i="2"/>
  <c r="H6" i="2" s="1"/>
  <c r="H5" i="2"/>
  <c r="H7" i="2"/>
  <c r="H8" i="2"/>
  <c r="H85" i="2"/>
  <c r="H86" i="2"/>
  <c r="H88" i="2"/>
  <c r="H89" i="2"/>
  <c r="H99" i="2"/>
  <c r="H97" i="2"/>
  <c r="H96" i="2"/>
  <c r="H95" i="2"/>
  <c r="H94" i="2"/>
  <c r="H93" i="2"/>
  <c r="H92" i="2"/>
  <c r="H91" i="2"/>
  <c r="H84" i="2"/>
  <c r="H83" i="2"/>
  <c r="H80" i="2"/>
  <c r="H79" i="2"/>
  <c r="H78" i="2"/>
  <c r="H77" i="2"/>
  <c r="H76" i="2"/>
  <c r="H75" i="2"/>
  <c r="H74" i="2"/>
  <c r="H72" i="2"/>
  <c r="H71" i="2"/>
  <c r="H69" i="2"/>
  <c r="H68" i="2"/>
  <c r="H67" i="2"/>
  <c r="H66" i="2"/>
  <c r="H63" i="2"/>
  <c r="H62" i="2"/>
  <c r="H61" i="2"/>
  <c r="D61" i="2"/>
  <c r="H60" i="2"/>
  <c r="D60" i="2"/>
  <c r="H59" i="2"/>
  <c r="H58" i="2"/>
  <c r="H56" i="2"/>
  <c r="H55" i="2"/>
  <c r="H52" i="2"/>
  <c r="H51" i="2"/>
  <c r="H54" i="2" s="1"/>
  <c r="H47" i="2"/>
  <c r="H46" i="2"/>
  <c r="H45" i="2"/>
  <c r="H44" i="2"/>
  <c r="H43" i="2"/>
  <c r="H40" i="2"/>
  <c r="H39" i="2"/>
  <c r="H37" i="2"/>
  <c r="H36" i="2"/>
  <c r="H33" i="2"/>
  <c r="H32" i="2"/>
  <c r="H31" i="2"/>
  <c r="D29" i="2"/>
  <c r="D28" i="2"/>
  <c r="H25" i="2"/>
  <c r="H24" i="2"/>
  <c r="H23" i="2"/>
  <c r="H22" i="2"/>
  <c r="H21" i="2"/>
  <c r="H20" i="2"/>
  <c r="H18" i="2"/>
  <c r="H17" i="2"/>
  <c r="H15" i="2"/>
  <c r="H14" i="2"/>
  <c r="H13" i="2"/>
  <c r="H12" i="2"/>
  <c r="H11" i="2"/>
  <c r="H10" i="2"/>
  <c r="I19" i="3" l="1"/>
  <c r="J19" i="3" s="1"/>
  <c r="I73" i="3"/>
  <c r="J73" i="3" s="1"/>
  <c r="I41" i="3"/>
  <c r="J41" i="3" s="1"/>
  <c r="I70" i="3"/>
  <c r="J70" i="3" s="1"/>
  <c r="I57" i="3"/>
  <c r="J57" i="3" s="1"/>
  <c r="I9" i="3"/>
  <c r="J9" i="3" s="1"/>
  <c r="I6" i="3"/>
  <c r="J6" i="3" s="1"/>
  <c r="H87" i="2"/>
  <c r="H90" i="2"/>
  <c r="H73" i="2"/>
  <c r="H9" i="2"/>
  <c r="H19" i="2"/>
  <c r="H41" i="2"/>
  <c r="H64" i="2"/>
  <c r="I57" i="2" s="1"/>
  <c r="H98" i="2"/>
  <c r="H16" i="2"/>
  <c r="H34" i="2"/>
  <c r="I19" i="2" s="1"/>
  <c r="J19" i="2" s="1"/>
  <c r="H49" i="2"/>
  <c r="H57" i="2"/>
  <c r="H81" i="2"/>
  <c r="I73" i="2" s="1"/>
  <c r="J73" i="2" s="1"/>
  <c r="H70" i="2"/>
  <c r="H99" i="1"/>
  <c r="H97" i="1"/>
  <c r="H96" i="1"/>
  <c r="H95" i="1"/>
  <c r="H94" i="1"/>
  <c r="H93" i="1"/>
  <c r="H92" i="1"/>
  <c r="H91" i="1"/>
  <c r="H89" i="1"/>
  <c r="H88" i="1"/>
  <c r="H90" i="1" s="1"/>
  <c r="H86" i="1"/>
  <c r="H85" i="1"/>
  <c r="H84" i="1"/>
  <c r="H83" i="1"/>
  <c r="H87" i="1" s="1"/>
  <c r="H80" i="1"/>
  <c r="H79" i="1"/>
  <c r="H78" i="1"/>
  <c r="H77" i="1"/>
  <c r="H76" i="1"/>
  <c r="H75" i="1"/>
  <c r="H74" i="1"/>
  <c r="H72" i="1"/>
  <c r="H71" i="1"/>
  <c r="H69" i="1"/>
  <c r="H68" i="1"/>
  <c r="H67" i="1"/>
  <c r="H66" i="1"/>
  <c r="H63" i="1"/>
  <c r="H62" i="1"/>
  <c r="H61" i="1"/>
  <c r="D61" i="1"/>
  <c r="H60" i="1"/>
  <c r="D60" i="1"/>
  <c r="H59" i="1"/>
  <c r="H58" i="1"/>
  <c r="H56" i="1"/>
  <c r="H55" i="1"/>
  <c r="H52" i="1"/>
  <c r="H51" i="1"/>
  <c r="H47" i="1"/>
  <c r="H46" i="1"/>
  <c r="H45" i="1"/>
  <c r="H44" i="1"/>
  <c r="H43" i="1"/>
  <c r="H40" i="1"/>
  <c r="H39" i="1"/>
  <c r="H37" i="1"/>
  <c r="H36" i="1"/>
  <c r="H33" i="1"/>
  <c r="H32" i="1"/>
  <c r="H31" i="1"/>
  <c r="H30" i="1"/>
  <c r="H29" i="1"/>
  <c r="D29" i="1"/>
  <c r="H28" i="1"/>
  <c r="D28" i="1"/>
  <c r="H27" i="1"/>
  <c r="H26" i="1"/>
  <c r="H25" i="1"/>
  <c r="H24" i="1"/>
  <c r="H23" i="1"/>
  <c r="H22" i="1"/>
  <c r="H21" i="1"/>
  <c r="H20" i="1"/>
  <c r="H18" i="1"/>
  <c r="H17" i="1"/>
  <c r="H15" i="1"/>
  <c r="H14" i="1"/>
  <c r="H13" i="1"/>
  <c r="H12" i="1"/>
  <c r="H11" i="1"/>
  <c r="H10" i="1"/>
  <c r="H8" i="1"/>
  <c r="H7" i="1"/>
  <c r="H5" i="1"/>
  <c r="H4" i="1"/>
  <c r="I41" i="2" l="1"/>
  <c r="J41" i="2" s="1"/>
  <c r="I9" i="2"/>
  <c r="J9" i="2" s="1"/>
  <c r="I6" i="2"/>
  <c r="J6" i="2" s="1"/>
  <c r="I90" i="2"/>
  <c r="J90" i="2" s="1"/>
  <c r="I87" i="2"/>
  <c r="J87" i="2" s="1"/>
  <c r="I70" i="2"/>
  <c r="J70" i="2" s="1"/>
  <c r="J57" i="2"/>
  <c r="H19" i="1"/>
  <c r="H54" i="1"/>
  <c r="H41" i="1"/>
  <c r="H64" i="1"/>
  <c r="H73" i="1"/>
  <c r="H6" i="1"/>
  <c r="H57" i="1"/>
  <c r="H98" i="1"/>
  <c r="I90" i="1" s="1"/>
  <c r="J90" i="1" s="1"/>
  <c r="H16" i="1"/>
  <c r="I9" i="1" s="1"/>
  <c r="J9" i="1" s="1"/>
  <c r="H34" i="1"/>
  <c r="H49" i="1"/>
  <c r="I41" i="1" s="1"/>
  <c r="J41" i="1" s="1"/>
  <c r="I87" i="1"/>
  <c r="J87" i="1" s="1"/>
  <c r="H81" i="1"/>
  <c r="I73" i="1" s="1"/>
  <c r="J73" i="1" s="1"/>
  <c r="H9" i="1"/>
  <c r="H70" i="1"/>
  <c r="I6" i="1" l="1"/>
  <c r="J6" i="1" s="1"/>
  <c r="I19" i="1"/>
  <c r="J19" i="1" s="1"/>
  <c r="I57" i="1"/>
  <c r="J57" i="1" s="1"/>
  <c r="I70" i="1"/>
  <c r="J70" i="1" s="1"/>
</calcChain>
</file>

<file path=xl/sharedStrings.xml><?xml version="1.0" encoding="utf-8"?>
<sst xmlns="http://schemas.openxmlformats.org/spreadsheetml/2006/main" count="8153" uniqueCount="146">
  <si>
    <t>Наименование</t>
  </si>
  <si>
    <t>Тип ПУ</t>
  </si>
  <si>
    <t>№ ПУ</t>
  </si>
  <si>
    <t>Тр-р</t>
  </si>
  <si>
    <t>Коэф.</t>
  </si>
  <si>
    <t>Показания</t>
  </si>
  <si>
    <t>Расход</t>
  </si>
  <si>
    <t>Небаланс</t>
  </si>
  <si>
    <t>28.02.2026</t>
  </si>
  <si>
    <t>в кВтч</t>
  </si>
  <si>
    <t>в %</t>
  </si>
  <si>
    <t>ПС-110/35/6кВ</t>
  </si>
  <si>
    <t>Ввод 110кВ от ПС-110/10кВ "Эмба"</t>
  </si>
  <si>
    <t>ARTM2-00 PBR.R</t>
  </si>
  <si>
    <t>600/5</t>
  </si>
  <si>
    <t>Ввод 110кВ от ПС-110/35/6кВ "Кенкияк"</t>
  </si>
  <si>
    <t>Итого по вводам 110 кВ</t>
  </si>
  <si>
    <t xml:space="preserve">Ввод №1 35 кВ </t>
  </si>
  <si>
    <t xml:space="preserve">Ввод №2 35 кВ </t>
  </si>
  <si>
    <t>Итого по вводам 35 кВ</t>
  </si>
  <si>
    <t xml:space="preserve">ВЛ 35 кВ Север </t>
  </si>
  <si>
    <t>300/5</t>
  </si>
  <si>
    <t>ВЛ 35 кВ Южная</t>
  </si>
  <si>
    <t xml:space="preserve">ВЛ 35 кВ Кожасай  №1 </t>
  </si>
  <si>
    <t xml:space="preserve">ВЛ 35 кВ Кожасай  №2 </t>
  </si>
  <si>
    <t>ВЛ 35 кВ УКПГ  № 1</t>
  </si>
  <si>
    <t>ВЛ 35 кВ УКПГ  № 2</t>
  </si>
  <si>
    <t xml:space="preserve"> </t>
  </si>
  <si>
    <t>Итого по отходящим линиям 35 кВ</t>
  </si>
  <si>
    <t>Ввод №1 6кВ яч. 109 Т-1</t>
  </si>
  <si>
    <t>1500/5</t>
  </si>
  <si>
    <t>Ввод №2 6кВ яч. 204 Т-2</t>
  </si>
  <si>
    <t>Итого по вводам 6 кВ</t>
  </si>
  <si>
    <t>Яч. 111 БКНС ввод 1 6 кВ</t>
  </si>
  <si>
    <t>400/5</t>
  </si>
  <si>
    <t>Яч. 213 БКНС ввод 2 6 кВ</t>
  </si>
  <si>
    <t>Яч.107 ввод  ТСН1 6 кВ</t>
  </si>
  <si>
    <t>50/5</t>
  </si>
  <si>
    <t>Яч. 206 ввод ТСН2 6 кВ</t>
  </si>
  <si>
    <t>Яч.114 КТПГ №1 ввод 1 6 кВ</t>
  </si>
  <si>
    <t>Яч. 214 КТПГ №2 ввод 1 6 кВ</t>
  </si>
  <si>
    <t>Яч. 115 УДГР№1   6 кВ</t>
  </si>
  <si>
    <t>Яч. 215 УДГР№2  6 кВ</t>
  </si>
  <si>
    <t xml:space="preserve">Яч.113 "Каспий нефть-1" </t>
  </si>
  <si>
    <t xml:space="preserve">Яч.212 "Каспий нефть-2" </t>
  </si>
  <si>
    <t>Яч.104 "РП-1-1"</t>
  </si>
  <si>
    <t>Яч.211 "РП-1-2"</t>
  </si>
  <si>
    <t>Яч.207 "СУПС"</t>
  </si>
  <si>
    <t>Яч.210 "ГПЭС"</t>
  </si>
  <si>
    <t>Итого по отходящим линиям 6 кВ</t>
  </si>
  <si>
    <t xml:space="preserve">             ПС 35/6 "Северная"</t>
  </si>
  <si>
    <t>ПС Север ВВ35 Сагабулак актив</t>
  </si>
  <si>
    <t xml:space="preserve"> ARTM2-00 PBR.R</t>
  </si>
  <si>
    <t>100/5</t>
  </si>
  <si>
    <t>ПС Север ВВ35 реактив</t>
  </si>
  <si>
    <t>ПС Север ввода 6кВ</t>
  </si>
  <si>
    <t>яч. 2   Ввод 6 кВ № 1</t>
  </si>
  <si>
    <t>яч.15  Ввод 6 кВ № 2</t>
  </si>
  <si>
    <t>Итого по Вводам 6кВ.</t>
  </si>
  <si>
    <t>Отхдящие линии 6 кВ</t>
  </si>
  <si>
    <t>яч.№6 II-водоподьём</t>
  </si>
  <si>
    <t>яч. №7 АГЗУ</t>
  </si>
  <si>
    <t>яч. №10 2-водоподъём</t>
  </si>
  <si>
    <t>200/5</t>
  </si>
  <si>
    <t>яч. №11 Тех.вода</t>
  </si>
  <si>
    <t>яч. №13  I-водоподьём</t>
  </si>
  <si>
    <t xml:space="preserve"> ТСН 2 по 6 кВ</t>
  </si>
  <si>
    <t>СА4-5001Д</t>
  </si>
  <si>
    <t>Итого по отходящим. линиям 6 кВ</t>
  </si>
  <si>
    <t xml:space="preserve">                                                                       </t>
  </si>
  <si>
    <t>ПС 35/6 кВ "ЮЖНАЯ"</t>
  </si>
  <si>
    <t>Юг. Ввод 35 кВ 1Т</t>
  </si>
  <si>
    <t>Юг. Ввод 35 кВ 2Т</t>
  </si>
  <si>
    <t>Итого:по Вводам 35 кВ приём</t>
  </si>
  <si>
    <t>яч. №2 Ввод 6кВ № 1</t>
  </si>
  <si>
    <t>1000/5</t>
  </si>
  <si>
    <t>яч. №13 Ввод 6кВ № 2</t>
  </si>
  <si>
    <t>Итого по Вводам 6 кВ.</t>
  </si>
  <si>
    <t>яч. №4 "Пл.№ 22" 6 кВ</t>
  </si>
  <si>
    <t>яч. №5 "АГЗУ"  6 кВ .</t>
  </si>
  <si>
    <t>яч .№6 "Казтрансойл"  6 кВ</t>
  </si>
  <si>
    <t>яч. №11 "Казтрансойл"  6 кВ</t>
  </si>
  <si>
    <t>яч. №9 "СУПС"  6 кВ</t>
  </si>
  <si>
    <t>яч. №10 ТБО 6 кВ .</t>
  </si>
  <si>
    <t xml:space="preserve">                                                                                            П/С  35/6 "Кожасай"</t>
  </si>
  <si>
    <t>Ввод 35 кВ Т-1</t>
  </si>
  <si>
    <t>Ввод 35 кВ Т-2</t>
  </si>
  <si>
    <t xml:space="preserve">ТСН-1 </t>
  </si>
  <si>
    <t>ARTMX2-03 PBR.R</t>
  </si>
  <si>
    <t>ТСН-2</t>
  </si>
  <si>
    <t xml:space="preserve">Итого получено по вводам 35 кВ </t>
  </si>
  <si>
    <t>Ввод -1 6 кВ ячейка №4</t>
  </si>
  <si>
    <t>Ввод -2 6 кВ ячейка №13</t>
  </si>
  <si>
    <t xml:space="preserve"> Итого по вводам  6 кВ </t>
  </si>
  <si>
    <t xml:space="preserve">Яч № 2 В/городок </t>
  </si>
  <si>
    <t xml:space="preserve">Яч №11 Месторождение </t>
  </si>
  <si>
    <t>Яч №16 ЭХЗ</t>
  </si>
  <si>
    <t xml:space="preserve">Яч №7 РП-6     Нас.перекачки-1 </t>
  </si>
  <si>
    <t xml:space="preserve">Яч №15 РП-6   Нас.перекачки-2 </t>
  </si>
  <si>
    <t>Яч №3 ККУ 1</t>
  </si>
  <si>
    <t>Яч №12 ККУ 2</t>
  </si>
  <si>
    <t xml:space="preserve">                                      Итого по яч 6кВ.</t>
  </si>
  <si>
    <t xml:space="preserve">                                             П/С  35/6 "БКНС Кожасай"</t>
  </si>
  <si>
    <t>СА4У-И672М</t>
  </si>
  <si>
    <t>яч. № 13   Ввод 6 кВ №1</t>
  </si>
  <si>
    <t>яч. № 4     Ввод 6 кВ №2</t>
  </si>
  <si>
    <t>ИТОГО:</t>
  </si>
  <si>
    <t>яч. № 2  АД 3</t>
  </si>
  <si>
    <t>яч. № 1  АД 1</t>
  </si>
  <si>
    <t>яч. № 14  КТПН 2</t>
  </si>
  <si>
    <t>яч. № 8  К002</t>
  </si>
  <si>
    <t>яч. № 7  АД 2</t>
  </si>
  <si>
    <t>яч. № 3  КТПН 1</t>
  </si>
  <si>
    <t>яч. № 11 К001</t>
  </si>
  <si>
    <t>Ввод-35кВ "Южный Жанажол"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</si>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</sst>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,##0.0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0">
    <xf numFmtId="0" fontId="0" fillId="0" borderId="0" xfId="0"/>
    <xf numFmtId="4" fontId="1" fillId="2" borderId="4" xfId="0" applyNumberFormat="1" applyFont="1" applyFill="1" applyBorder="1" applyAlignment="1">
      <alignment horizontal="center"/>
    </xf>
    <xf numFmtId="165" fontId="1" fillId="2" borderId="4" xfId="0" applyNumberFormat="1" applyFont="1" applyFill="1" applyBorder="1" applyAlignment="1">
      <alignment horizontal="center"/>
    </xf>
    <xf numFmtId="2" fontId="1" fillId="2" borderId="5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4" fontId="1" fillId="2" borderId="6" xfId="0" applyNumberFormat="1" applyFont="1" applyFill="1" applyBorder="1" applyAlignment="1">
      <alignment horizontal="center"/>
    </xf>
    <xf numFmtId="165" fontId="1" fillId="2" borderId="7" xfId="0" applyNumberFormat="1" applyFont="1" applyFill="1" applyBorder="1" applyAlignment="1">
      <alignment horizontal="center"/>
    </xf>
    <xf numFmtId="2" fontId="1" fillId="2" borderId="8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6" fontId="1" fillId="2" borderId="11" xfId="0" applyNumberFormat="1" applyFont="1" applyFill="1" applyBorder="1" applyAlignment="1">
      <alignment horizontal="right"/>
    </xf>
    <xf numFmtId="4" fontId="1" fillId="2" borderId="10" xfId="0" applyNumberFormat="1" applyFont="1" applyFill="1" applyBorder="1" applyAlignment="1">
      <alignment horizontal="center"/>
    </xf>
    <xf numFmtId="165" fontId="1" fillId="2" borderId="12" xfId="0" applyNumberFormat="1" applyFont="1" applyFill="1" applyBorder="1" applyAlignment="1">
      <alignment horizontal="center"/>
    </xf>
    <xf numFmtId="2" fontId="1" fillId="2" borderId="13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66" fontId="1" fillId="2" borderId="10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right"/>
    </xf>
    <xf numFmtId="165" fontId="1" fillId="2" borderId="15" xfId="0" applyNumberFormat="1" applyFont="1" applyFill="1" applyBorder="1" applyAlignment="1">
      <alignment horizontal="center"/>
    </xf>
    <xf numFmtId="2" fontId="1" fillId="2" borderId="16" xfId="0" applyNumberFormat="1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/>
    <xf numFmtId="165" fontId="2" fillId="2" borderId="15" xfId="0" applyNumberFormat="1" applyFont="1" applyFill="1" applyBorder="1" applyAlignment="1">
      <alignment horizontal="center"/>
    </xf>
    <xf numFmtId="10" fontId="2" fillId="2" borderId="16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4" xfId="0" applyFont="1" applyFill="1" applyBorder="1"/>
    <xf numFmtId="2" fontId="1" fillId="2" borderId="1" xfId="0" applyNumberFormat="1" applyFont="1" applyFill="1" applyBorder="1" applyAlignment="1">
      <alignment horizontal="center"/>
    </xf>
    <xf numFmtId="166" fontId="1" fillId="0" borderId="1" xfId="0" applyNumberFormat="1" applyFont="1" applyFill="1" applyBorder="1" applyAlignment="1">
      <alignment horizontal="center"/>
    </xf>
    <xf numFmtId="166" fontId="1" fillId="2" borderId="17" xfId="0" applyNumberFormat="1" applyFont="1" applyFill="1" applyBorder="1" applyAlignment="1">
      <alignment horizontal="center"/>
    </xf>
    <xf numFmtId="166" fontId="1" fillId="2" borderId="18" xfId="0" applyNumberFormat="1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4" fontId="1" fillId="2" borderId="18" xfId="0" applyNumberFormat="1" applyFont="1" applyFill="1" applyBorder="1" applyAlignment="1">
      <alignment horizontal="right"/>
    </xf>
    <xf numFmtId="165" fontId="1" fillId="2" borderId="19" xfId="0" applyNumberFormat="1" applyFont="1" applyFill="1" applyBorder="1" applyAlignment="1">
      <alignment horizontal="center"/>
    </xf>
    <xf numFmtId="2" fontId="1" fillId="2" borderId="20" xfId="0" applyNumberFormat="1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right"/>
    </xf>
    <xf numFmtId="165" fontId="1" fillId="2" borderId="21" xfId="0" applyNumberFormat="1" applyFont="1" applyFill="1" applyBorder="1" applyAlignment="1">
      <alignment horizontal="center"/>
    </xf>
    <xf numFmtId="165" fontId="2" fillId="2" borderId="21" xfId="0" applyNumberFormat="1" applyFont="1" applyFill="1" applyBorder="1" applyAlignment="1">
      <alignment horizontal="center"/>
    </xf>
    <xf numFmtId="165" fontId="1" fillId="2" borderId="22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" fontId="1" fillId="2" borderId="23" xfId="0" applyNumberFormat="1" applyFont="1" applyFill="1" applyBorder="1" applyAlignment="1">
      <alignment horizontal="right"/>
    </xf>
    <xf numFmtId="165" fontId="1" fillId="2" borderId="12" xfId="0" applyNumberFormat="1" applyFont="1" applyFill="1" applyBorder="1" applyAlignment="1">
      <alignment horizontal="right"/>
    </xf>
    <xf numFmtId="165" fontId="1" fillId="2" borderId="15" xfId="0" applyNumberFormat="1" applyFont="1" applyFill="1" applyBorder="1" applyAlignment="1">
      <alignment horizontal="right"/>
    </xf>
    <xf numFmtId="0" fontId="2" fillId="2" borderId="14" xfId="0" applyFont="1" applyFill="1" applyBorder="1"/>
    <xf numFmtId="0" fontId="1" fillId="2" borderId="1" xfId="0" applyFont="1" applyFill="1" applyBorder="1"/>
    <xf numFmtId="4" fontId="1" fillId="2" borderId="1" xfId="0" applyNumberFormat="1" applyFont="1" applyFill="1" applyBorder="1"/>
    <xf numFmtId="165" fontId="1" fillId="2" borderId="15" xfId="0" applyNumberFormat="1" applyFont="1" applyFill="1" applyBorder="1"/>
    <xf numFmtId="4" fontId="2" fillId="2" borderId="1" xfId="0" applyNumberFormat="1" applyFont="1" applyFill="1" applyBorder="1" applyAlignment="1">
      <alignment horizontal="right"/>
    </xf>
    <xf numFmtId="166" fontId="1" fillId="2" borderId="1" xfId="0" applyNumberFormat="1" applyFont="1" applyFill="1" applyBorder="1"/>
    <xf numFmtId="4" fontId="2" fillId="2" borderId="1" xfId="0" applyNumberFormat="1" applyFont="1" applyFill="1" applyBorder="1"/>
    <xf numFmtId="165" fontId="1" fillId="2" borderId="1" xfId="0" applyNumberFormat="1" applyFont="1" applyFill="1" applyBorder="1" applyAlignment="1">
      <alignment horizontal="right"/>
    </xf>
    <xf numFmtId="2" fontId="1" fillId="2" borderId="16" xfId="0" applyNumberFormat="1" applyFont="1" applyFill="1" applyBorder="1"/>
    <xf numFmtId="0" fontId="1" fillId="2" borderId="24" xfId="0" applyFont="1" applyFill="1" applyBorder="1"/>
    <xf numFmtId="0" fontId="2" fillId="2" borderId="25" xfId="0" applyFont="1" applyFill="1" applyBorder="1" applyAlignment="1"/>
    <xf numFmtId="4" fontId="1" fillId="2" borderId="25" xfId="0" applyNumberFormat="1" applyFont="1" applyFill="1" applyBorder="1"/>
    <xf numFmtId="165" fontId="1" fillId="2" borderId="25" xfId="0" applyNumberFormat="1" applyFont="1" applyFill="1" applyBorder="1"/>
    <xf numFmtId="10" fontId="1" fillId="2" borderId="26" xfId="0" applyNumberFormat="1" applyFont="1" applyFill="1" applyBorder="1" applyAlignment="1">
      <alignment horizontal="center"/>
    </xf>
    <xf numFmtId="10" fontId="1" fillId="2" borderId="16" xfId="0" applyNumberFormat="1" applyFont="1" applyFill="1" applyBorder="1" applyAlignment="1">
      <alignment horizontal="center"/>
    </xf>
    <xf numFmtId="0" fontId="1" fillId="2" borderId="16" xfId="0" applyFont="1" applyFill="1" applyBorder="1"/>
    <xf numFmtId="0" fontId="2" fillId="2" borderId="14" xfId="0" applyFont="1" applyFill="1" applyBorder="1" applyAlignment="1">
      <alignment horizontal="center"/>
    </xf>
    <xf numFmtId="165" fontId="2" fillId="2" borderId="15" xfId="0" applyNumberFormat="1" applyFont="1" applyFill="1" applyBorder="1"/>
    <xf numFmtId="165" fontId="1" fillId="2" borderId="27" xfId="0" applyNumberFormat="1" applyFont="1" applyFill="1" applyBorder="1"/>
    <xf numFmtId="166" fontId="3" fillId="2" borderId="1" xfId="0" applyNumberFormat="1" applyFont="1" applyFill="1" applyBorder="1" applyAlignment="1">
      <alignment horizontal="center"/>
    </xf>
    <xf numFmtId="0" fontId="1" fillId="2" borderId="13" xfId="0" applyFont="1" applyFill="1" applyBorder="1"/>
    <xf numFmtId="165" fontId="1" fillId="2" borderId="21" xfId="0" applyNumberFormat="1" applyFont="1" applyFill="1" applyBorder="1"/>
    <xf numFmtId="0" fontId="1" fillId="2" borderId="2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166" fontId="1" fillId="2" borderId="2" xfId="0" applyNumberFormat="1" applyFont="1" applyFill="1" applyBorder="1"/>
    <xf numFmtId="4" fontId="2" fillId="2" borderId="29" xfId="0" applyNumberFormat="1" applyFont="1" applyFill="1" applyBorder="1" applyAlignment="1">
      <alignment horizontal="right"/>
    </xf>
    <xf numFmtId="165" fontId="1" fillId="2" borderId="29" xfId="0" applyNumberFormat="1" applyFont="1" applyFill="1" applyBorder="1" applyAlignment="1">
      <alignment horizontal="right"/>
    </xf>
    <xf numFmtId="10" fontId="1" fillId="2" borderId="30" xfId="0" applyNumberFormat="1" applyFont="1" applyFill="1" applyBorder="1" applyAlignment="1">
      <alignment horizontal="center"/>
    </xf>
    <xf numFmtId="0" fontId="1" fillId="2" borderId="9" xfId="0" applyFont="1" applyFill="1" applyBorder="1"/>
    <xf numFmtId="0" fontId="1" fillId="2" borderId="10" xfId="0" applyNumberFormat="1" applyFont="1" applyFill="1" applyBorder="1" applyAlignment="1">
      <alignment horizontal="center"/>
    </xf>
    <xf numFmtId="166" fontId="1" fillId="2" borderId="11" xfId="0" applyNumberFormat="1" applyFont="1" applyFill="1" applyBorder="1" applyAlignment="1">
      <alignment horizontal="center"/>
    </xf>
    <xf numFmtId="4" fontId="1" fillId="2" borderId="10" xfId="0" applyNumberFormat="1" applyFont="1" applyFill="1" applyBorder="1" applyAlignment="1">
      <alignment horizontal="right"/>
    </xf>
    <xf numFmtId="165" fontId="1" fillId="2" borderId="10" xfId="0" applyNumberFormat="1" applyFont="1" applyFill="1" applyBorder="1" applyAlignment="1">
      <alignment horizontal="right"/>
    </xf>
    <xf numFmtId="10" fontId="1" fillId="2" borderId="13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left"/>
    </xf>
    <xf numFmtId="164" fontId="1" fillId="2" borderId="18" xfId="0" applyNumberFormat="1" applyFont="1" applyFill="1" applyBorder="1" applyAlignment="1">
      <alignment horizontal="center"/>
    </xf>
    <xf numFmtId="2" fontId="4" fillId="2" borderId="18" xfId="0" applyNumberFormat="1" applyFont="1" applyFill="1" applyBorder="1" applyAlignment="1">
      <alignment horizontal="center"/>
    </xf>
    <xf numFmtId="4" fontId="2" fillId="2" borderId="18" xfId="0" applyNumberFormat="1" applyFont="1" applyFill="1" applyBorder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2" fillId="2" borderId="14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Fill="1" applyBorder="1" applyAlignment="1">
      <alignment horizontal="center"/>
    </xf>
    <xf numFmtId="165" fontId="1" fillId="2" borderId="18" xfId="0" applyNumberFormat="1" applyFont="1" applyFill="1" applyBorder="1" applyAlignment="1">
      <alignment horizontal="right"/>
    </xf>
    <xf numFmtId="2" fontId="1" fillId="2" borderId="20" xfId="0" applyNumberFormat="1" applyFont="1" applyFill="1" applyBorder="1"/>
    <xf numFmtId="0" fontId="2" fillId="2" borderId="32" xfId="0" applyFont="1" applyFill="1" applyBorder="1"/>
    <xf numFmtId="0" fontId="1" fillId="2" borderId="18" xfId="0" applyNumberFormat="1" applyFont="1" applyFill="1" applyBorder="1" applyAlignment="1">
      <alignment horizontal="center"/>
    </xf>
    <xf numFmtId="166" fontId="1" fillId="2" borderId="18" xfId="0" applyNumberFormat="1" applyFont="1" applyFill="1" applyBorder="1"/>
    <xf numFmtId="10" fontId="1" fillId="2" borderId="20" xfId="0" applyNumberFormat="1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6" fontId="1" fillId="2" borderId="21" xfId="0" applyNumberFormat="1" applyFont="1" applyFill="1" applyBorder="1"/>
    <xf numFmtId="4" fontId="2" fillId="2" borderId="21" xfId="0" applyNumberFormat="1" applyFont="1" applyFill="1" applyBorder="1" applyAlignment="1">
      <alignment horizontal="right"/>
    </xf>
    <xf numFmtId="165" fontId="1" fillId="2" borderId="21" xfId="0" applyNumberFormat="1" applyFont="1" applyFill="1" applyBorder="1" applyAlignment="1">
      <alignment horizontal="right"/>
    </xf>
    <xf numFmtId="10" fontId="1" fillId="2" borderId="22" xfId="0" applyNumberFormat="1" applyFont="1" applyFill="1" applyBorder="1" applyAlignment="1">
      <alignment horizontal="center"/>
    </xf>
    <xf numFmtId="0" fontId="1" fillId="2" borderId="31" xfId="0" applyFont="1" applyFill="1" applyBorder="1"/>
    <xf numFmtId="0" fontId="1" fillId="0" borderId="1" xfId="0" applyFont="1" applyBorder="1" applyAlignment="1">
      <alignment horizontal="center"/>
    </xf>
    <xf numFmtId="165" fontId="1" fillId="2" borderId="0" xfId="0" applyNumberFormat="1" applyFont="1" applyFill="1"/>
    <xf numFmtId="166" fontId="1" fillId="2" borderId="16" xfId="0" applyNumberFormat="1" applyFont="1" applyFill="1" applyBorder="1"/>
    <xf numFmtId="0" fontId="1" fillId="2" borderId="21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49" fontId="1" fillId="2" borderId="21" xfId="0" applyNumberFormat="1" applyFont="1" applyFill="1" applyBorder="1" applyAlignment="1">
      <alignment horizontal="center"/>
    </xf>
    <xf numFmtId="0" fontId="1" fillId="0" borderId="14" xfId="0" applyFont="1" applyFill="1" applyBorder="1"/>
    <xf numFmtId="0" fontId="1" fillId="0" borderId="1" xfId="0" applyFont="1" applyFill="1" applyBorder="1" applyAlignment="1">
      <alignment horizontal="center"/>
    </xf>
    <xf numFmtId="4" fontId="1" fillId="0" borderId="1" xfId="0" applyNumberFormat="1" applyFont="1" applyFill="1" applyBorder="1" applyAlignment="1">
      <alignment horizontal="right"/>
    </xf>
    <xf numFmtId="165" fontId="1" fillId="0" borderId="1" xfId="0" applyNumberFormat="1" applyFont="1" applyFill="1" applyBorder="1" applyAlignment="1">
      <alignment horizontal="right"/>
    </xf>
    <xf numFmtId="2" fontId="1" fillId="0" borderId="16" xfId="0" applyNumberFormat="1" applyFont="1" applyFill="1" applyBorder="1"/>
    <xf numFmtId="2" fontId="1" fillId="2" borderId="17" xfId="0" applyNumberFormat="1" applyFont="1" applyFill="1" applyBorder="1" applyAlignment="1">
      <alignment horizontal="center"/>
    </xf>
    <xf numFmtId="4" fontId="2" fillId="2" borderId="17" xfId="0" applyNumberFormat="1" applyFont="1" applyFill="1" applyBorder="1" applyAlignment="1">
      <alignment horizontal="right"/>
    </xf>
    <xf numFmtId="0" fontId="1" fillId="2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right"/>
    </xf>
    <xf numFmtId="2" fontId="1" fillId="2" borderId="1" xfId="0" applyNumberFormat="1" applyFont="1" applyFill="1" applyBorder="1"/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opLeftCell="B73" workbookViewId="0">
      <selection activeCell="G85" sqref="G85:G8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8</v>
      </c>
      <c r="G2" s="4" t="s">
        <v>115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6" t="s">
        <v>13</v>
      </c>
      <c r="C4" s="16">
        <v>51555166</v>
      </c>
      <c r="D4" s="16" t="s">
        <v>14</v>
      </c>
      <c r="E4" s="16">
        <v>132000</v>
      </c>
      <c r="F4" s="17">
        <v>3.5710000000000002</v>
      </c>
      <c r="G4" s="17">
        <v>3.5779999999999998</v>
      </c>
      <c r="H4" s="18">
        <f>(G4-F4)*E4</f>
        <v>923.9999999999568</v>
      </c>
      <c r="I4" s="19"/>
      <c r="J4" s="20"/>
    </row>
    <row r="5" spans="1:10" ht="15.75" x14ac:dyDescent="0.25">
      <c r="A5" s="15" t="s">
        <v>15</v>
      </c>
      <c r="B5" s="16" t="s">
        <v>13</v>
      </c>
      <c r="C5" s="16">
        <v>51555191</v>
      </c>
      <c r="D5" s="16" t="s">
        <v>14</v>
      </c>
      <c r="E5" s="16">
        <v>132000</v>
      </c>
      <c r="F5" s="21">
        <v>370.23399999999998</v>
      </c>
      <c r="G5" s="21">
        <v>372.041</v>
      </c>
      <c r="H5" s="18">
        <f>(G5-F5)*E5</f>
        <v>238524.00000000215</v>
      </c>
      <c r="I5" s="19"/>
      <c r="J5" s="20"/>
    </row>
    <row r="6" spans="1:10" ht="15.75" x14ac:dyDescent="0.25">
      <c r="A6" s="218" t="s">
        <v>16</v>
      </c>
      <c r="B6" s="219"/>
      <c r="C6" s="16"/>
      <c r="D6" s="22"/>
      <c r="E6" s="16"/>
      <c r="H6" s="23">
        <f>H4+H5</f>
        <v>239448.00000000212</v>
      </c>
      <c r="I6" s="24">
        <f>H6-H9-H19</f>
        <v>1812.0000000058644</v>
      </c>
      <c r="J6" s="25">
        <f>I6/H6</f>
        <v>7.5674050315970411E-3</v>
      </c>
    </row>
    <row r="7" spans="1:10" ht="15.75" x14ac:dyDescent="0.25">
      <c r="A7" s="26" t="s">
        <v>17</v>
      </c>
      <c r="B7" s="16" t="s">
        <v>13</v>
      </c>
      <c r="C7" s="16">
        <v>51097629</v>
      </c>
      <c r="D7" s="22" t="s">
        <v>14</v>
      </c>
      <c r="E7" s="16">
        <v>42000</v>
      </c>
      <c r="F7" s="21">
        <v>1101.2760000000001</v>
      </c>
      <c r="G7" s="21">
        <v>1105.367</v>
      </c>
      <c r="H7" s="18">
        <f>(G7-F7)*E7</f>
        <v>171821.99999999558</v>
      </c>
      <c r="I7" s="19"/>
      <c r="J7" s="20"/>
    </row>
    <row r="8" spans="1:10" ht="15.75" x14ac:dyDescent="0.25">
      <c r="A8" s="26" t="s">
        <v>18</v>
      </c>
      <c r="B8" s="16" t="s">
        <v>13</v>
      </c>
      <c r="C8" s="16">
        <v>51616820</v>
      </c>
      <c r="D8" s="22" t="s">
        <v>14</v>
      </c>
      <c r="E8" s="16">
        <v>42000</v>
      </c>
      <c r="F8" s="21">
        <v>6.3090000000000002</v>
      </c>
      <c r="G8" s="21">
        <v>6.319</v>
      </c>
      <c r="H8" s="18">
        <f>(G8-F8)*E8</f>
        <v>419.99999999999102</v>
      </c>
      <c r="I8" s="19"/>
      <c r="J8" s="20"/>
    </row>
    <row r="9" spans="1:10" ht="15.75" x14ac:dyDescent="0.25">
      <c r="A9" s="218" t="s">
        <v>19</v>
      </c>
      <c r="B9" s="219"/>
      <c r="C9" s="16"/>
      <c r="D9" s="22"/>
      <c r="E9" s="16"/>
      <c r="F9" s="21"/>
      <c r="G9" s="21"/>
      <c r="H9" s="23">
        <f>H7+H8</f>
        <v>172241.99999999558</v>
      </c>
      <c r="I9" s="24">
        <f>H9-H16</f>
        <v>83.999999995750841</v>
      </c>
      <c r="J9" s="25">
        <f>I9/H9</f>
        <v>4.876859302362548E-4</v>
      </c>
    </row>
    <row r="10" spans="1:10" ht="15.75" x14ac:dyDescent="0.25">
      <c r="A10" s="27" t="s">
        <v>20</v>
      </c>
      <c r="B10" s="16" t="s">
        <v>13</v>
      </c>
      <c r="C10" s="16">
        <v>51217286</v>
      </c>
      <c r="D10" s="22" t="s">
        <v>21</v>
      </c>
      <c r="E10" s="16">
        <v>21000</v>
      </c>
      <c r="F10" s="21">
        <v>867.97400000000005</v>
      </c>
      <c r="G10" s="21">
        <v>870.73800000000006</v>
      </c>
      <c r="H10" s="18">
        <f t="shared" ref="H10:H15" si="0">(G10-F10)*E10</f>
        <v>58044.000000000211</v>
      </c>
      <c r="I10" s="19"/>
      <c r="J10" s="20"/>
    </row>
    <row r="11" spans="1:10" ht="15.75" x14ac:dyDescent="0.25">
      <c r="A11" s="27" t="s">
        <v>22</v>
      </c>
      <c r="B11" s="16" t="s">
        <v>13</v>
      </c>
      <c r="C11" s="16">
        <v>51217292</v>
      </c>
      <c r="D11" s="22" t="s">
        <v>21</v>
      </c>
      <c r="E11" s="16">
        <v>21000</v>
      </c>
      <c r="F11" s="28">
        <v>3.8780000000000001</v>
      </c>
      <c r="G11" s="28">
        <v>3.8820000000000001</v>
      </c>
      <c r="H11" s="18">
        <f>(G11-F11)*E11</f>
        <v>84.000000000000071</v>
      </c>
      <c r="I11" s="19"/>
      <c r="J11" s="20"/>
    </row>
    <row r="12" spans="1:10" ht="15.75" x14ac:dyDescent="0.25">
      <c r="A12" s="27" t="s">
        <v>23</v>
      </c>
      <c r="B12" s="16" t="s">
        <v>13</v>
      </c>
      <c r="C12" s="16">
        <v>51217271</v>
      </c>
      <c r="D12" s="22" t="s">
        <v>21</v>
      </c>
      <c r="E12" s="16">
        <v>21000</v>
      </c>
      <c r="F12" s="21">
        <v>642.98199999999997</v>
      </c>
      <c r="G12" s="21">
        <v>645.82100000000003</v>
      </c>
      <c r="H12" s="18">
        <f t="shared" si="0"/>
        <v>59619.000000001164</v>
      </c>
      <c r="I12" s="19"/>
      <c r="J12" s="20"/>
    </row>
    <row r="13" spans="1:10" ht="15.75" x14ac:dyDescent="0.25">
      <c r="A13" s="27" t="s">
        <v>24</v>
      </c>
      <c r="B13" s="16" t="s">
        <v>13</v>
      </c>
      <c r="C13" s="16">
        <v>51217276</v>
      </c>
      <c r="D13" s="22" t="s">
        <v>21</v>
      </c>
      <c r="E13" s="16">
        <v>21000</v>
      </c>
      <c r="F13" s="28">
        <v>0.56499999999999995</v>
      </c>
      <c r="G13" s="28">
        <v>0.56599999999999995</v>
      </c>
      <c r="H13" s="18">
        <f>(G13-F13)*E13</f>
        <v>21.000000000000018</v>
      </c>
      <c r="I13" s="19"/>
      <c r="J13" s="20"/>
    </row>
    <row r="14" spans="1:10" ht="15.75" x14ac:dyDescent="0.25">
      <c r="A14" s="27" t="s">
        <v>25</v>
      </c>
      <c r="B14" s="16" t="s">
        <v>13</v>
      </c>
      <c r="C14" s="16">
        <v>51100990</v>
      </c>
      <c r="D14" s="22" t="s">
        <v>21</v>
      </c>
      <c r="E14" s="16">
        <v>21000</v>
      </c>
      <c r="F14" s="29">
        <v>698.62900000000002</v>
      </c>
      <c r="G14" s="29">
        <v>701.20899999999995</v>
      </c>
      <c r="H14" s="18">
        <f t="shared" si="0"/>
        <v>54179.999999998472</v>
      </c>
      <c r="I14" s="19"/>
      <c r="J14" s="20"/>
    </row>
    <row r="15" spans="1:10" ht="15.75" x14ac:dyDescent="0.25">
      <c r="A15" s="27" t="s">
        <v>26</v>
      </c>
      <c r="B15" s="16" t="s">
        <v>13</v>
      </c>
      <c r="C15" s="16">
        <v>51097622</v>
      </c>
      <c r="D15" s="22" t="s">
        <v>21</v>
      </c>
      <c r="E15" s="16">
        <v>21000</v>
      </c>
      <c r="F15" s="21">
        <v>3.6749999999999998</v>
      </c>
      <c r="G15" s="21">
        <v>3.6850000000000001</v>
      </c>
      <c r="H15" s="18">
        <f t="shared" si="0"/>
        <v>210.00000000000486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6"/>
      <c r="D16" s="22"/>
      <c r="E16" s="16"/>
      <c r="F16" s="21"/>
      <c r="G16" s="21"/>
      <c r="H16" s="23">
        <f>H10+H11+H12+H13+H14+H15</f>
        <v>172157.99999999983</v>
      </c>
      <c r="I16" s="19"/>
      <c r="J16" s="20"/>
    </row>
    <row r="17" spans="1:10" ht="15.75" x14ac:dyDescent="0.25">
      <c r="A17" s="26" t="s">
        <v>29</v>
      </c>
      <c r="B17" s="16" t="s">
        <v>13</v>
      </c>
      <c r="C17" s="16">
        <v>51097617</v>
      </c>
      <c r="D17" s="22" t="s">
        <v>30</v>
      </c>
      <c r="E17" s="16">
        <v>18000</v>
      </c>
      <c r="F17" s="30">
        <v>848.90599999999995</v>
      </c>
      <c r="G17" s="30">
        <v>852.53899999999999</v>
      </c>
      <c r="H17" s="18">
        <f>(G17-F17)*E17</f>
        <v>65394.000000000684</v>
      </c>
      <c r="I17" s="19"/>
      <c r="J17" s="20"/>
    </row>
    <row r="18" spans="1:10" ht="15.75" x14ac:dyDescent="0.25">
      <c r="A18" s="26" t="s">
        <v>31</v>
      </c>
      <c r="B18" s="16" t="s">
        <v>13</v>
      </c>
      <c r="C18" s="16">
        <v>51097655</v>
      </c>
      <c r="D18" s="22" t="s">
        <v>30</v>
      </c>
      <c r="E18" s="16">
        <v>18000</v>
      </c>
      <c r="F18" s="30">
        <v>8.2070000000000007</v>
      </c>
      <c r="G18" s="30">
        <v>8.2070000000000007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6"/>
      <c r="D19" s="22"/>
      <c r="E19" s="16"/>
      <c r="F19" s="30"/>
      <c r="G19" s="30"/>
      <c r="H19" s="23">
        <f>H17+H18</f>
        <v>65394.000000000684</v>
      </c>
      <c r="I19" s="24">
        <f>H19-H34</f>
        <v>1517.40000000078</v>
      </c>
      <c r="J19" s="25">
        <f>I19/H19</f>
        <v>2.3203963666403097E-2</v>
      </c>
    </row>
    <row r="20" spans="1:10" ht="15.75" x14ac:dyDescent="0.25">
      <c r="A20" s="15" t="s">
        <v>33</v>
      </c>
      <c r="B20" s="16" t="s">
        <v>13</v>
      </c>
      <c r="C20" s="16">
        <v>51217282</v>
      </c>
      <c r="D20" s="22" t="s">
        <v>34</v>
      </c>
      <c r="E20" s="16">
        <v>4800</v>
      </c>
      <c r="F20" s="21">
        <v>382.24200000000002</v>
      </c>
      <c r="G20" s="21">
        <v>382.29899999999998</v>
      </c>
      <c r="H20" s="18">
        <f t="shared" ref="H20:H33" si="1">(G20-F20)*E20</f>
        <v>273.59999999980573</v>
      </c>
      <c r="I20" s="19" t="s">
        <v>27</v>
      </c>
      <c r="J20" s="20"/>
    </row>
    <row r="21" spans="1:10" ht="15.75" x14ac:dyDescent="0.25">
      <c r="A21" s="15" t="s">
        <v>35</v>
      </c>
      <c r="B21" s="16" t="s">
        <v>13</v>
      </c>
      <c r="C21" s="16">
        <v>51217274</v>
      </c>
      <c r="D21" s="22" t="s">
        <v>34</v>
      </c>
      <c r="E21" s="16">
        <v>4800</v>
      </c>
      <c r="F21" s="21">
        <v>1327.1369999999999</v>
      </c>
      <c r="G21" s="21">
        <v>1332.3489999999999</v>
      </c>
      <c r="H21" s="18">
        <f t="shared" si="1"/>
        <v>25017.599999999948</v>
      </c>
      <c r="I21" s="19"/>
      <c r="J21" s="20"/>
    </row>
    <row r="22" spans="1:10" ht="15.75" x14ac:dyDescent="0.25">
      <c r="A22" s="15" t="s">
        <v>36</v>
      </c>
      <c r="B22" s="16" t="s">
        <v>13</v>
      </c>
      <c r="C22" s="16">
        <v>51097664</v>
      </c>
      <c r="D22" s="22" t="s">
        <v>37</v>
      </c>
      <c r="E22" s="16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6" t="s">
        <v>13</v>
      </c>
      <c r="C23" s="16">
        <v>51097615</v>
      </c>
      <c r="D23" s="22" t="s">
        <v>37</v>
      </c>
      <c r="E23" s="16">
        <v>600</v>
      </c>
      <c r="F23" s="21">
        <v>43.192</v>
      </c>
      <c r="G23" s="21">
        <v>43.448</v>
      </c>
      <c r="H23" s="18">
        <f t="shared" si="1"/>
        <v>153.60000000000014</v>
      </c>
      <c r="I23" s="19"/>
      <c r="J23" s="20"/>
    </row>
    <row r="24" spans="1:10" ht="15.75" x14ac:dyDescent="0.25">
      <c r="A24" s="15" t="s">
        <v>39</v>
      </c>
      <c r="B24" s="16" t="s">
        <v>13</v>
      </c>
      <c r="C24" s="16">
        <v>51217264</v>
      </c>
      <c r="D24" s="22" t="s">
        <v>37</v>
      </c>
      <c r="E24" s="16">
        <v>600</v>
      </c>
      <c r="F24" s="21">
        <v>101.654</v>
      </c>
      <c r="G24" s="21">
        <v>102.27</v>
      </c>
      <c r="H24" s="18">
        <f t="shared" si="1"/>
        <v>369.5999999999998</v>
      </c>
      <c r="I24" s="19"/>
      <c r="J24" s="20"/>
    </row>
    <row r="25" spans="1:10" ht="15.75" x14ac:dyDescent="0.25">
      <c r="A25" s="15" t="s">
        <v>40</v>
      </c>
      <c r="B25" s="16" t="s">
        <v>13</v>
      </c>
      <c r="C25" s="16">
        <v>51217288</v>
      </c>
      <c r="D25" s="22" t="s">
        <v>37</v>
      </c>
      <c r="E25" s="16">
        <v>600</v>
      </c>
      <c r="F25" s="21">
        <v>20.36</v>
      </c>
      <c r="G25" s="21">
        <v>20.387</v>
      </c>
      <c r="H25" s="18">
        <f t="shared" si="1"/>
        <v>16.200000000000614</v>
      </c>
      <c r="I25" s="19" t="s">
        <v>27</v>
      </c>
      <c r="J25" s="20"/>
    </row>
    <row r="26" spans="1:10" ht="15.75" x14ac:dyDescent="0.25">
      <c r="A26" s="15" t="s">
        <v>41</v>
      </c>
      <c r="B26" s="16" t="s">
        <v>13</v>
      </c>
      <c r="C26" s="16">
        <v>51217279</v>
      </c>
      <c r="D26" s="22" t="s">
        <v>37</v>
      </c>
      <c r="E26" s="16">
        <v>600</v>
      </c>
      <c r="F26" s="21">
        <v>15.102</v>
      </c>
      <c r="G26" s="21">
        <v>15.15</v>
      </c>
      <c r="H26" s="18">
        <f t="shared" si="1"/>
        <v>28.800000000000026</v>
      </c>
      <c r="I26" s="19" t="s">
        <v>27</v>
      </c>
      <c r="J26" s="20"/>
    </row>
    <row r="27" spans="1:10" ht="15.75" x14ac:dyDescent="0.25">
      <c r="A27" s="15" t="s">
        <v>42</v>
      </c>
      <c r="B27" s="16" t="s">
        <v>13</v>
      </c>
      <c r="C27" s="16">
        <v>51217272</v>
      </c>
      <c r="D27" s="22" t="s">
        <v>37</v>
      </c>
      <c r="E27" s="16">
        <v>600</v>
      </c>
      <c r="F27" s="31">
        <v>14.813000000000001</v>
      </c>
      <c r="G27" s="31">
        <v>14.859</v>
      </c>
      <c r="H27" s="18">
        <f t="shared" si="1"/>
        <v>27.599999999999625</v>
      </c>
      <c r="I27" s="19"/>
      <c r="J27" s="20"/>
    </row>
    <row r="28" spans="1:10" ht="15.75" x14ac:dyDescent="0.25">
      <c r="A28" s="15" t="s">
        <v>43</v>
      </c>
      <c r="B28" s="16" t="s">
        <v>13</v>
      </c>
      <c r="C28" s="16">
        <v>51616744</v>
      </c>
      <c r="D28" s="22">
        <f>300/5</f>
        <v>60</v>
      </c>
      <c r="E28" s="16">
        <v>3600</v>
      </c>
      <c r="F28" s="31">
        <v>109.78400000000001</v>
      </c>
      <c r="G28" s="31">
        <v>109.78400000000001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6" t="s">
        <v>13</v>
      </c>
      <c r="C29" s="16">
        <v>51555226</v>
      </c>
      <c r="D29" s="22">
        <f>300/5</f>
        <v>60</v>
      </c>
      <c r="E29" s="16">
        <v>3600</v>
      </c>
      <c r="F29" s="31">
        <v>505.12599999999998</v>
      </c>
      <c r="G29" s="31">
        <v>508.584</v>
      </c>
      <c r="H29" s="18">
        <f>(G29-F29)*E29</f>
        <v>12448.800000000097</v>
      </c>
      <c r="I29" s="19"/>
      <c r="J29" s="20"/>
    </row>
    <row r="30" spans="1:10" ht="15.75" x14ac:dyDescent="0.25">
      <c r="A30" s="15" t="s">
        <v>45</v>
      </c>
      <c r="B30" s="16" t="s">
        <v>13</v>
      </c>
      <c r="C30" s="16">
        <v>51097658</v>
      </c>
      <c r="D30" s="22" t="s">
        <v>34</v>
      </c>
      <c r="E30" s="16">
        <v>4800</v>
      </c>
      <c r="F30" s="31">
        <v>657.82399999999996</v>
      </c>
      <c r="G30" s="31">
        <v>661.03899999999999</v>
      </c>
      <c r="H30" s="18">
        <f t="shared" si="1"/>
        <v>15432.000000000153</v>
      </c>
      <c r="I30" s="19"/>
      <c r="J30" s="20"/>
    </row>
    <row r="31" spans="1:10" ht="15.75" x14ac:dyDescent="0.25">
      <c r="A31" s="15" t="s">
        <v>46</v>
      </c>
      <c r="B31" s="16" t="s">
        <v>13</v>
      </c>
      <c r="C31" s="16">
        <v>51097635</v>
      </c>
      <c r="D31" s="22" t="s">
        <v>34</v>
      </c>
      <c r="E31" s="16">
        <v>4800</v>
      </c>
      <c r="F31" s="31">
        <v>48.463000000000001</v>
      </c>
      <c r="G31" s="31">
        <v>48.463999999999999</v>
      </c>
      <c r="H31" s="18">
        <f t="shared" si="1"/>
        <v>4.7999999999888132</v>
      </c>
      <c r="I31" s="19"/>
      <c r="J31" s="20"/>
    </row>
    <row r="32" spans="1:10" ht="15.75" x14ac:dyDescent="0.25">
      <c r="A32" s="15" t="s">
        <v>47</v>
      </c>
      <c r="B32" s="16" t="s">
        <v>13</v>
      </c>
      <c r="C32" s="32">
        <v>51097633</v>
      </c>
      <c r="D32" s="22" t="s">
        <v>34</v>
      </c>
      <c r="E32" s="16">
        <v>4800</v>
      </c>
      <c r="F32" s="31">
        <v>174.608</v>
      </c>
      <c r="G32" s="31">
        <v>176.67</v>
      </c>
      <c r="H32" s="33">
        <f t="shared" si="1"/>
        <v>9897.5999999999203</v>
      </c>
      <c r="I32" s="34"/>
      <c r="J32" s="35"/>
    </row>
    <row r="33" spans="1:10" ht="15.75" x14ac:dyDescent="0.25">
      <c r="A33" s="15" t="s">
        <v>48</v>
      </c>
      <c r="B33" s="16" t="s">
        <v>13</v>
      </c>
      <c r="C33" s="32">
        <v>51097662</v>
      </c>
      <c r="D33" s="22" t="s">
        <v>34</v>
      </c>
      <c r="E33" s="16">
        <v>4800</v>
      </c>
      <c r="F33" s="31">
        <v>3.6080000000000001</v>
      </c>
      <c r="G33" s="31">
        <v>3.6509999999999998</v>
      </c>
      <c r="H33" s="33">
        <f t="shared" si="1"/>
        <v>206.39999999999858</v>
      </c>
      <c r="I33" s="34"/>
      <c r="J33" s="35"/>
    </row>
    <row r="34" spans="1:10" ht="15.75" x14ac:dyDescent="0.25">
      <c r="A34" s="218" t="s">
        <v>49</v>
      </c>
      <c r="B34" s="219"/>
      <c r="C34" s="16"/>
      <c r="D34" s="22"/>
      <c r="E34" s="16"/>
      <c r="F34" s="36"/>
      <c r="G34" s="36"/>
      <c r="H34" s="23">
        <f>H20+H21+H22+H23+H24+H25+H26+H27+H28+H29+H30+H31+H32+H33</f>
        <v>63876.599999999904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6" t="s">
        <v>52</v>
      </c>
      <c r="C36" s="16">
        <v>51555209</v>
      </c>
      <c r="D36" s="22" t="s">
        <v>53</v>
      </c>
      <c r="E36" s="16">
        <v>7000</v>
      </c>
      <c r="F36" s="17">
        <v>5.8330000000000002</v>
      </c>
      <c r="G36" s="17">
        <v>5.8730000000000002</v>
      </c>
      <c r="H36" s="41">
        <f>(G36-F36)*E36</f>
        <v>280.00000000000023</v>
      </c>
      <c r="I36" s="42"/>
      <c r="J36" s="14"/>
    </row>
    <row r="37" spans="1:10" ht="15.75" x14ac:dyDescent="0.25">
      <c r="A37" s="15" t="s">
        <v>54</v>
      </c>
      <c r="B37" s="16" t="s">
        <v>52</v>
      </c>
      <c r="C37" s="16">
        <v>51555209</v>
      </c>
      <c r="D37" s="22" t="s">
        <v>53</v>
      </c>
      <c r="E37" s="16">
        <v>7000</v>
      </c>
      <c r="F37" s="21">
        <v>10.247999999999999</v>
      </c>
      <c r="G37" s="21">
        <v>10.282</v>
      </c>
      <c r="H37" s="18">
        <f>(G37-F37)*E37</f>
        <v>238.00000000000489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6" t="s">
        <v>52</v>
      </c>
      <c r="C39" s="16">
        <v>51097674</v>
      </c>
      <c r="D39" s="16" t="s">
        <v>14</v>
      </c>
      <c r="E39" s="16">
        <v>7200</v>
      </c>
      <c r="F39" s="21">
        <v>592.38599999999997</v>
      </c>
      <c r="G39" s="21">
        <v>594.45000000000005</v>
      </c>
      <c r="H39" s="18">
        <f>(G39-F39)*E39</f>
        <v>14860.800000000563</v>
      </c>
      <c r="I39" s="47"/>
      <c r="J39" s="20"/>
    </row>
    <row r="40" spans="1:10" ht="15.75" x14ac:dyDescent="0.25">
      <c r="A40" s="27" t="s">
        <v>57</v>
      </c>
      <c r="B40" s="16" t="s">
        <v>52</v>
      </c>
      <c r="C40" s="16">
        <v>51259257</v>
      </c>
      <c r="D40" s="16" t="s">
        <v>14</v>
      </c>
      <c r="E40" s="16">
        <v>7200</v>
      </c>
      <c r="F40" s="21">
        <v>1.0549999999999999</v>
      </c>
      <c r="G40" s="21">
        <v>1.0549999999999999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6"/>
      <c r="C41" s="16"/>
      <c r="D41" s="16"/>
      <c r="E41" s="16"/>
      <c r="F41" s="21"/>
      <c r="G41" s="21"/>
      <c r="H41" s="48">
        <f>H39+H40</f>
        <v>14860.800000000563</v>
      </c>
      <c r="I41" s="24">
        <f>H41-H49</f>
        <v>-106.39999999954671</v>
      </c>
      <c r="J41" s="25">
        <f>I41/H41</f>
        <v>-7.1597760550941181E-3</v>
      </c>
    </row>
    <row r="42" spans="1:10" ht="15.75" x14ac:dyDescent="0.25">
      <c r="A42" s="15" t="s">
        <v>59</v>
      </c>
      <c r="B42" s="16"/>
      <c r="C42" s="16"/>
      <c r="D42" s="22"/>
      <c r="E42" s="16"/>
      <c r="H42" s="18"/>
      <c r="I42" s="43"/>
      <c r="J42" s="20"/>
    </row>
    <row r="43" spans="1:10" ht="15.75" x14ac:dyDescent="0.25">
      <c r="A43" s="27" t="s">
        <v>60</v>
      </c>
      <c r="B43" s="16" t="s">
        <v>52</v>
      </c>
      <c r="C43" s="32">
        <v>51097648</v>
      </c>
      <c r="D43" s="16" t="s">
        <v>53</v>
      </c>
      <c r="E43" s="16">
        <v>1200</v>
      </c>
      <c r="F43" s="21">
        <v>484.93900000000002</v>
      </c>
      <c r="G43" s="21">
        <v>486.62400000000002</v>
      </c>
      <c r="H43" s="33">
        <f>(G43-F43)*E43</f>
        <v>2022.0000000000027</v>
      </c>
      <c r="I43" s="43"/>
      <c r="J43" s="20"/>
    </row>
    <row r="44" spans="1:10" ht="15.75" x14ac:dyDescent="0.25">
      <c r="A44" s="27" t="s">
        <v>61</v>
      </c>
      <c r="B44" s="16" t="s">
        <v>52</v>
      </c>
      <c r="C44" s="32">
        <v>50555043</v>
      </c>
      <c r="D44" s="16" t="s">
        <v>53</v>
      </c>
      <c r="E44" s="16">
        <v>1200</v>
      </c>
      <c r="F44" s="21">
        <v>2029.1579999999999</v>
      </c>
      <c r="G44" s="21">
        <v>2036.203</v>
      </c>
      <c r="H44" s="33">
        <f>(G44-F44)*E44</f>
        <v>8454.0000000000873</v>
      </c>
      <c r="I44" s="43"/>
      <c r="J44" s="20"/>
    </row>
    <row r="45" spans="1:10" ht="15.75" x14ac:dyDescent="0.25">
      <c r="A45" s="27" t="s">
        <v>62</v>
      </c>
      <c r="B45" s="16" t="s">
        <v>52</v>
      </c>
      <c r="C45" s="32">
        <v>51259336</v>
      </c>
      <c r="D45" s="16" t="s">
        <v>63</v>
      </c>
      <c r="E45" s="16">
        <v>2400</v>
      </c>
      <c r="F45" s="21">
        <v>4.12</v>
      </c>
      <c r="G45" s="21">
        <v>4.1310000000000002</v>
      </c>
      <c r="H45" s="33">
        <f>(G45-F45)*E45</f>
        <v>26.40000000000029</v>
      </c>
      <c r="I45" s="43"/>
      <c r="J45" s="20"/>
    </row>
    <row r="46" spans="1:10" ht="15.75" x14ac:dyDescent="0.25">
      <c r="A46" s="27" t="s">
        <v>64</v>
      </c>
      <c r="B46" s="16" t="s">
        <v>52</v>
      </c>
      <c r="C46" s="32">
        <v>51259266</v>
      </c>
      <c r="D46" s="16" t="s">
        <v>53</v>
      </c>
      <c r="E46" s="16">
        <v>1200</v>
      </c>
      <c r="F46" s="21">
        <v>984.73099999999999</v>
      </c>
      <c r="G46" s="21">
        <v>988.13900000000001</v>
      </c>
      <c r="H46" s="33">
        <f>(G46-F46)*E46</f>
        <v>4089.6000000000186</v>
      </c>
      <c r="I46" s="43"/>
      <c r="J46" s="20"/>
    </row>
    <row r="47" spans="1:10" ht="15.75" x14ac:dyDescent="0.25">
      <c r="A47" s="27" t="s">
        <v>65</v>
      </c>
      <c r="B47" s="16" t="s">
        <v>52</v>
      </c>
      <c r="C47" s="32">
        <v>51431336</v>
      </c>
      <c r="D47" s="16" t="s">
        <v>53</v>
      </c>
      <c r="E47" s="16">
        <v>1200</v>
      </c>
      <c r="F47" s="21">
        <v>57.542999999999999</v>
      </c>
      <c r="G47" s="21">
        <v>57.814</v>
      </c>
      <c r="H47" s="33">
        <f>(G47-F47)*E47</f>
        <v>325.20000000000095</v>
      </c>
      <c r="I47" s="43"/>
      <c r="J47" s="20"/>
    </row>
    <row r="48" spans="1:10" ht="15.75" x14ac:dyDescent="0.25">
      <c r="A48" s="15" t="s">
        <v>66</v>
      </c>
      <c r="B48" s="16" t="s">
        <v>67</v>
      </c>
      <c r="C48" s="16">
        <v>49174</v>
      </c>
      <c r="D48" s="22" t="s">
        <v>53</v>
      </c>
      <c r="E48" s="16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14967.20000000011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6" t="s">
        <v>52</v>
      </c>
      <c r="C51" s="16">
        <v>51097603</v>
      </c>
      <c r="D51" s="22" t="s">
        <v>53</v>
      </c>
      <c r="E51" s="16">
        <v>7000</v>
      </c>
      <c r="F51" s="17">
        <v>1940.383</v>
      </c>
      <c r="G51" s="17">
        <v>1946.3789999999999</v>
      </c>
      <c r="H51" s="18">
        <f>(G51-F51)*E51</f>
        <v>41971.999999999069</v>
      </c>
      <c r="I51" s="43"/>
      <c r="J51" s="20"/>
    </row>
    <row r="52" spans="1:10" ht="15.75" x14ac:dyDescent="0.25">
      <c r="A52" s="27" t="s">
        <v>72</v>
      </c>
      <c r="B52" s="16" t="s">
        <v>52</v>
      </c>
      <c r="C52" s="16">
        <v>51097590</v>
      </c>
      <c r="D52" s="22" t="s">
        <v>53</v>
      </c>
      <c r="E52" s="16">
        <v>7000</v>
      </c>
      <c r="F52" s="21">
        <v>12.641999999999999</v>
      </c>
      <c r="G52" s="21">
        <v>12.662000000000001</v>
      </c>
      <c r="H52" s="18">
        <f>(G52-F52)*E52</f>
        <v>140.00000000000944</v>
      </c>
      <c r="I52" s="43"/>
      <c r="J52" s="20"/>
    </row>
    <row r="53" spans="1:10" ht="15.75" x14ac:dyDescent="0.25">
      <c r="A53" s="15" t="s">
        <v>66</v>
      </c>
      <c r="B53" s="16" t="s">
        <v>67</v>
      </c>
      <c r="C53" s="16">
        <v>49174</v>
      </c>
      <c r="D53" s="22" t="s">
        <v>53</v>
      </c>
      <c r="E53" s="16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6"/>
      <c r="D54" s="22"/>
      <c r="E54" s="16"/>
      <c r="F54" s="21"/>
      <c r="G54" s="21"/>
      <c r="H54" s="48">
        <f>H51+H52+H53</f>
        <v>42211.999999999076</v>
      </c>
      <c r="I54" s="47"/>
      <c r="J54" s="59"/>
    </row>
    <row r="55" spans="1:10" ht="15.75" x14ac:dyDescent="0.25">
      <c r="A55" s="27" t="s">
        <v>74</v>
      </c>
      <c r="B55" s="16" t="s">
        <v>52</v>
      </c>
      <c r="C55" s="16">
        <v>51100980</v>
      </c>
      <c r="D55" s="16" t="s">
        <v>75</v>
      </c>
      <c r="E55" s="16">
        <v>12000</v>
      </c>
      <c r="F55" s="21">
        <v>1141.7149999999999</v>
      </c>
      <c r="G55" s="21">
        <v>1145.223</v>
      </c>
      <c r="H55" s="18">
        <f>(G55-F55)*E55</f>
        <v>42096.000000000458</v>
      </c>
      <c r="I55" s="47"/>
      <c r="J55" s="58"/>
    </row>
    <row r="56" spans="1:10" ht="15.75" x14ac:dyDescent="0.25">
      <c r="A56" s="27" t="s">
        <v>76</v>
      </c>
      <c r="B56" s="16" t="s">
        <v>52</v>
      </c>
      <c r="C56" s="16">
        <v>51097623</v>
      </c>
      <c r="D56" s="16" t="s">
        <v>75</v>
      </c>
      <c r="E56" s="16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6"/>
      <c r="C57" s="16"/>
      <c r="D57" s="16"/>
      <c r="E57" s="16"/>
      <c r="F57" s="21"/>
      <c r="G57" s="21"/>
      <c r="H57" s="48">
        <f>H55+H56</f>
        <v>42096.000000000458</v>
      </c>
      <c r="I57" s="61">
        <f>H54-H64-H53</f>
        <v>-66.800000000926957</v>
      </c>
      <c r="J57" s="25">
        <f>I57/H57</f>
        <v>-1.5868491068254996E-3</v>
      </c>
    </row>
    <row r="58" spans="1:10" ht="15.75" x14ac:dyDescent="0.25">
      <c r="A58" s="27" t="s">
        <v>78</v>
      </c>
      <c r="B58" s="16" t="s">
        <v>52</v>
      </c>
      <c r="C58" s="16">
        <v>51097675</v>
      </c>
      <c r="D58" s="16" t="s">
        <v>34</v>
      </c>
      <c r="E58" s="16">
        <v>4800</v>
      </c>
      <c r="F58" s="21">
        <v>510.33699999999999</v>
      </c>
      <c r="G58" s="21">
        <v>513.173</v>
      </c>
      <c r="H58" s="18">
        <f t="shared" ref="H58:H63" si="2">(G58-F58)*E58</f>
        <v>13612.800000000061</v>
      </c>
      <c r="I58" s="62"/>
      <c r="J58" s="59"/>
    </row>
    <row r="59" spans="1:10" ht="15.75" x14ac:dyDescent="0.25">
      <c r="A59" s="27" t="s">
        <v>79</v>
      </c>
      <c r="B59" s="16" t="s">
        <v>52</v>
      </c>
      <c r="C59" s="16">
        <v>51100997</v>
      </c>
      <c r="D59" s="16" t="s">
        <v>21</v>
      </c>
      <c r="E59" s="16">
        <v>3600</v>
      </c>
      <c r="F59" s="21">
        <v>1378.509</v>
      </c>
      <c r="G59" s="21">
        <v>1380.979</v>
      </c>
      <c r="H59" s="18">
        <f t="shared" si="2"/>
        <v>8892.0000000000982</v>
      </c>
      <c r="I59" s="62"/>
      <c r="J59" s="59"/>
    </row>
    <row r="60" spans="1:10" ht="15.75" x14ac:dyDescent="0.25">
      <c r="A60" s="27" t="s">
        <v>80</v>
      </c>
      <c r="B60" s="16" t="s">
        <v>52</v>
      </c>
      <c r="C60" s="16">
        <v>51555218</v>
      </c>
      <c r="D60" s="16">
        <f>400/5</f>
        <v>80</v>
      </c>
      <c r="E60" s="16">
        <v>4800</v>
      </c>
      <c r="F60" s="21">
        <v>64.47</v>
      </c>
      <c r="G60" s="21">
        <v>64.911000000000001</v>
      </c>
      <c r="H60" s="18">
        <f t="shared" si="2"/>
        <v>2116.800000000012</v>
      </c>
      <c r="I60" s="62"/>
      <c r="J60" s="59"/>
    </row>
    <row r="61" spans="1:10" ht="15.75" x14ac:dyDescent="0.25">
      <c r="A61" s="27" t="s">
        <v>81</v>
      </c>
      <c r="B61" s="16" t="s">
        <v>52</v>
      </c>
      <c r="C61" s="16">
        <v>51555151</v>
      </c>
      <c r="D61" s="16">
        <f>400/5</f>
        <v>80</v>
      </c>
      <c r="E61" s="16">
        <v>4800</v>
      </c>
      <c r="F61" s="63">
        <v>0.30599999999999999</v>
      </c>
      <c r="G61" s="63">
        <v>0.30599999999999999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6" t="s">
        <v>52</v>
      </c>
      <c r="C62" s="16">
        <v>51097599</v>
      </c>
      <c r="D62" s="16" t="s">
        <v>21</v>
      </c>
      <c r="E62" s="16">
        <v>3600</v>
      </c>
      <c r="F62" s="21">
        <v>963.58</v>
      </c>
      <c r="G62" s="21">
        <v>965.62900000000002</v>
      </c>
      <c r="H62" s="18">
        <f t="shared" si="2"/>
        <v>7376.3999999999214</v>
      </c>
      <c r="I62" s="62"/>
      <c r="J62" s="59"/>
    </row>
    <row r="63" spans="1:10" ht="15.75" x14ac:dyDescent="0.25">
      <c r="A63" s="27" t="s">
        <v>83</v>
      </c>
      <c r="B63" s="16" t="s">
        <v>52</v>
      </c>
      <c r="C63" s="16">
        <v>51097620</v>
      </c>
      <c r="D63" s="16" t="s">
        <v>34</v>
      </c>
      <c r="E63" s="16">
        <v>4800</v>
      </c>
      <c r="F63" s="21">
        <v>512.44600000000003</v>
      </c>
      <c r="G63" s="21">
        <v>514.56700000000001</v>
      </c>
      <c r="H63" s="18">
        <f t="shared" si="2"/>
        <v>10180.799999999908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42178.8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6" t="s">
        <v>52</v>
      </c>
      <c r="C66" s="9">
        <v>51259238</v>
      </c>
      <c r="D66" s="74" t="s">
        <v>53</v>
      </c>
      <c r="E66" s="74">
        <v>7000</v>
      </c>
      <c r="F66" s="75">
        <v>556.14599999999996</v>
      </c>
      <c r="G66" s="75">
        <v>558.56100000000004</v>
      </c>
      <c r="H66" s="76">
        <f>(G66-F66)*E66</f>
        <v>16905.000000000542</v>
      </c>
      <c r="I66" s="77"/>
      <c r="J66" s="78"/>
    </row>
    <row r="67" spans="1:10" ht="15.75" x14ac:dyDescent="0.25">
      <c r="A67" s="27" t="s">
        <v>86</v>
      </c>
      <c r="B67" s="16" t="s">
        <v>52</v>
      </c>
      <c r="C67" s="16">
        <v>51259324</v>
      </c>
      <c r="D67" s="22" t="s">
        <v>53</v>
      </c>
      <c r="E67" s="22">
        <v>7000</v>
      </c>
      <c r="F67" s="21">
        <v>433.21100000000001</v>
      </c>
      <c r="G67" s="21">
        <v>435.084</v>
      </c>
      <c r="H67" s="18">
        <f>(G67-F67)*E67</f>
        <v>13110.999999999933</v>
      </c>
      <c r="I67" s="51"/>
      <c r="J67" s="58"/>
    </row>
    <row r="68" spans="1:10" ht="15.75" x14ac:dyDescent="0.25">
      <c r="A68" s="27" t="s">
        <v>87</v>
      </c>
      <c r="B68" s="79" t="s">
        <v>88</v>
      </c>
      <c r="C68" s="16">
        <v>51491618</v>
      </c>
      <c r="D68" s="22" t="s">
        <v>63</v>
      </c>
      <c r="E68" s="16">
        <v>40</v>
      </c>
      <c r="F68" s="28">
        <v>1249.769</v>
      </c>
      <c r="G68" s="28">
        <v>1258.8140000000001</v>
      </c>
      <c r="H68" s="18">
        <f>(G68-F68)*E68</f>
        <v>361.80000000000291</v>
      </c>
      <c r="I68" s="51"/>
      <c r="J68" s="58"/>
    </row>
    <row r="69" spans="1:10" ht="15.75" x14ac:dyDescent="0.25">
      <c r="A69" s="27" t="s">
        <v>89</v>
      </c>
      <c r="B69" s="79" t="s">
        <v>88</v>
      </c>
      <c r="C69" s="16">
        <v>51491624</v>
      </c>
      <c r="D69" s="22" t="s">
        <v>63</v>
      </c>
      <c r="E69" s="16">
        <v>40</v>
      </c>
      <c r="F69" s="28">
        <v>172.30600000000001</v>
      </c>
      <c r="G69" s="28">
        <v>172.959</v>
      </c>
      <c r="H69" s="18">
        <f>(G69-F69)*E69</f>
        <v>26.119999999999663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30016.000000000473</v>
      </c>
      <c r="I70" s="85">
        <f>H70-H73-H68-H69</f>
        <v>276.08000000015386</v>
      </c>
      <c r="J70" s="25">
        <f>I70/H70</f>
        <v>9.1977611940348321E-3</v>
      </c>
    </row>
    <row r="71" spans="1:10" ht="15.75" x14ac:dyDescent="0.25">
      <c r="A71" s="27" t="s">
        <v>91</v>
      </c>
      <c r="B71" s="16" t="s">
        <v>52</v>
      </c>
      <c r="C71" s="86">
        <v>51097588</v>
      </c>
      <c r="D71" s="22" t="s">
        <v>75</v>
      </c>
      <c r="E71" s="16">
        <v>12000</v>
      </c>
      <c r="F71" s="21">
        <v>333.43099999999998</v>
      </c>
      <c r="G71" s="21">
        <v>334.79599999999999</v>
      </c>
      <c r="H71" s="18">
        <f>(G71-F71)*E71</f>
        <v>16380.000000000109</v>
      </c>
      <c r="I71" s="51"/>
      <c r="J71" s="58"/>
    </row>
    <row r="72" spans="1:10" ht="15.75" x14ac:dyDescent="0.25">
      <c r="A72" s="27" t="s">
        <v>92</v>
      </c>
      <c r="B72" s="16" t="s">
        <v>52</v>
      </c>
      <c r="C72" s="86">
        <v>51431335</v>
      </c>
      <c r="D72" s="22" t="s">
        <v>75</v>
      </c>
      <c r="E72" s="16">
        <v>12000</v>
      </c>
      <c r="F72" s="21">
        <v>264.64999999999998</v>
      </c>
      <c r="G72" s="21">
        <v>265.73099999999999</v>
      </c>
      <c r="H72" s="18">
        <f>(G72-F72)*E72</f>
        <v>12972.000000000207</v>
      </c>
      <c r="I72" s="51"/>
      <c r="J72" s="58"/>
    </row>
    <row r="73" spans="1:10" ht="15.75" x14ac:dyDescent="0.25">
      <c r="A73" s="87" t="s">
        <v>93</v>
      </c>
      <c r="B73" s="16" t="s">
        <v>27</v>
      </c>
      <c r="C73" s="16"/>
      <c r="D73" s="22"/>
      <c r="E73" s="16"/>
      <c r="F73" s="21"/>
      <c r="G73" s="21"/>
      <c r="H73" s="48">
        <f>H71+ H72</f>
        <v>29352.000000000317</v>
      </c>
      <c r="I73" s="85">
        <f>H73-H81</f>
        <v>-74.399999999539432</v>
      </c>
      <c r="J73" s="25">
        <f>I73/H73</f>
        <v>-2.5347506132303976E-3</v>
      </c>
    </row>
    <row r="74" spans="1:10" ht="15.75" x14ac:dyDescent="0.25">
      <c r="A74" s="27" t="s">
        <v>94</v>
      </c>
      <c r="B74" s="16" t="s">
        <v>52</v>
      </c>
      <c r="C74" s="86">
        <v>51097676</v>
      </c>
      <c r="D74" s="88" t="s">
        <v>63</v>
      </c>
      <c r="E74" s="16">
        <v>2400</v>
      </c>
      <c r="F74" s="21">
        <v>699.24099999999999</v>
      </c>
      <c r="G74" s="21">
        <v>702.30600000000004</v>
      </c>
      <c r="H74" s="18">
        <f>(G74-F74)*E74</f>
        <v>7356.000000000131</v>
      </c>
      <c r="I74" s="51"/>
      <c r="J74" s="58"/>
    </row>
    <row r="75" spans="1:10" ht="15.75" x14ac:dyDescent="0.25">
      <c r="A75" s="27" t="s">
        <v>95</v>
      </c>
      <c r="B75" s="16" t="s">
        <v>52</v>
      </c>
      <c r="C75" s="86">
        <v>51431355</v>
      </c>
      <c r="D75" s="22" t="s">
        <v>21</v>
      </c>
      <c r="E75" s="22">
        <v>3600</v>
      </c>
      <c r="F75" s="21">
        <v>365.60300000000001</v>
      </c>
      <c r="G75" s="21">
        <v>366.82900000000001</v>
      </c>
      <c r="H75" s="18">
        <f>(G75-F75)*E75</f>
        <v>4413.5999999999967</v>
      </c>
      <c r="I75" s="51"/>
      <c r="J75" s="52"/>
    </row>
    <row r="76" spans="1:10" ht="15.75" x14ac:dyDescent="0.25">
      <c r="A76" s="27" t="s">
        <v>96</v>
      </c>
      <c r="B76" s="16" t="s">
        <v>52</v>
      </c>
      <c r="C76" s="86">
        <v>51259331</v>
      </c>
      <c r="D76" s="88" t="s">
        <v>37</v>
      </c>
      <c r="E76" s="16">
        <v>600</v>
      </c>
      <c r="F76" s="21">
        <v>165.02</v>
      </c>
      <c r="G76" s="21">
        <v>165.828</v>
      </c>
      <c r="H76" s="18">
        <f>(G76-F76)*E76</f>
        <v>484.79999999999563</v>
      </c>
      <c r="I76" s="51"/>
      <c r="J76" s="52"/>
    </row>
    <row r="77" spans="1:10" ht="15.75" x14ac:dyDescent="0.25">
      <c r="A77" s="27" t="s">
        <v>97</v>
      </c>
      <c r="B77" s="16" t="s">
        <v>52</v>
      </c>
      <c r="C77" s="86">
        <v>51259326</v>
      </c>
      <c r="D77" s="88" t="s">
        <v>14</v>
      </c>
      <c r="E77" s="16">
        <v>7200</v>
      </c>
      <c r="F77" s="21">
        <v>331.27100000000002</v>
      </c>
      <c r="G77" s="21">
        <v>332.53199999999998</v>
      </c>
      <c r="H77" s="18">
        <f>(G77-F77)*E77</f>
        <v>9079.1999999997643</v>
      </c>
      <c r="I77" s="51"/>
      <c r="J77" s="52"/>
    </row>
    <row r="78" spans="1:10" ht="15.75" x14ac:dyDescent="0.25">
      <c r="A78" s="27" t="s">
        <v>98</v>
      </c>
      <c r="B78" s="16" t="s">
        <v>52</v>
      </c>
      <c r="C78" s="86">
        <v>51431351</v>
      </c>
      <c r="D78" s="88" t="s">
        <v>14</v>
      </c>
      <c r="E78" s="16">
        <v>7200</v>
      </c>
      <c r="F78" s="21">
        <v>237.78200000000001</v>
      </c>
      <c r="G78" s="21">
        <v>238.90600000000001</v>
      </c>
      <c r="H78" s="18">
        <f>(G78-F78)*E78</f>
        <v>8092.7999999999656</v>
      </c>
      <c r="I78" s="51"/>
      <c r="J78" s="52"/>
    </row>
    <row r="79" spans="1:10" ht="15.75" x14ac:dyDescent="0.25">
      <c r="A79" s="89" t="s">
        <v>99</v>
      </c>
      <c r="B79" s="16" t="s">
        <v>52</v>
      </c>
      <c r="C79" s="90">
        <v>51097666</v>
      </c>
      <c r="D79" s="88" t="s">
        <v>63</v>
      </c>
      <c r="E79" s="16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6" t="s">
        <v>52</v>
      </c>
      <c r="C80" s="90">
        <v>51259323</v>
      </c>
      <c r="D80" s="88" t="s">
        <v>63</v>
      </c>
      <c r="E80" s="16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29426.399999999856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6" t="s">
        <v>52</v>
      </c>
      <c r="C83" s="106">
        <v>51431297</v>
      </c>
      <c r="D83" s="22" t="s">
        <v>53</v>
      </c>
      <c r="E83" s="100">
        <v>7000</v>
      </c>
      <c r="F83" s="17">
        <v>278.21300000000002</v>
      </c>
      <c r="G83" s="17">
        <v>280.45600000000002</v>
      </c>
      <c r="H83" s="18">
        <f>(G83-F83)*E83</f>
        <v>15700.999999999965</v>
      </c>
      <c r="I83" s="107"/>
      <c r="J83" s="108"/>
    </row>
    <row r="84" spans="1:10" ht="15.75" x14ac:dyDescent="0.25">
      <c r="A84" s="105" t="s">
        <v>86</v>
      </c>
      <c r="B84" s="16" t="s">
        <v>52</v>
      </c>
      <c r="C84" s="106">
        <v>51431332</v>
      </c>
      <c r="D84" s="22" t="s">
        <v>53</v>
      </c>
      <c r="E84" s="100">
        <v>7000</v>
      </c>
      <c r="F84" s="21">
        <v>357.51</v>
      </c>
      <c r="G84" s="21">
        <v>357.63400000000001</v>
      </c>
      <c r="H84" s="18">
        <f>(G84-F84)*E84</f>
        <v>868.00000000016553</v>
      </c>
      <c r="I84" s="16"/>
      <c r="J84" s="58"/>
    </row>
    <row r="85" spans="1:10" ht="15.75" x14ac:dyDescent="0.25">
      <c r="A85" s="27" t="s">
        <v>87</v>
      </c>
      <c r="B85" s="16" t="s">
        <v>103</v>
      </c>
      <c r="C85" s="109">
        <v>150773</v>
      </c>
      <c r="D85" s="22" t="s">
        <v>53</v>
      </c>
      <c r="E85" s="109">
        <v>20</v>
      </c>
      <c r="F85" s="17">
        <v>15669.9</v>
      </c>
      <c r="G85" s="17">
        <v>15669.9</v>
      </c>
      <c r="H85" s="18">
        <f>(G85-F85)*E85</f>
        <v>0</v>
      </c>
      <c r="I85" s="51"/>
      <c r="J85" s="58"/>
    </row>
    <row r="86" spans="1:10" ht="15.75" x14ac:dyDescent="0.25">
      <c r="A86" s="27" t="s">
        <v>89</v>
      </c>
      <c r="B86" s="16" t="s">
        <v>103</v>
      </c>
      <c r="C86" s="109">
        <v>150791</v>
      </c>
      <c r="D86" s="22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11"/>
      <c r="C87" s="32"/>
      <c r="D87" s="82"/>
      <c r="E87" s="82"/>
      <c r="F87" s="21"/>
      <c r="G87" s="21"/>
      <c r="H87" s="48">
        <f>H83+H84</f>
        <v>16569.000000000131</v>
      </c>
      <c r="I87" s="85">
        <f>H87-H90-H85-H86</f>
        <v>479.40000000024884</v>
      </c>
      <c r="J87" s="25">
        <f>I87/H87</f>
        <v>2.89335506065692E-2</v>
      </c>
    </row>
    <row r="88" spans="1:10" ht="15.75" x14ac:dyDescent="0.25">
      <c r="A88" s="27" t="s">
        <v>104</v>
      </c>
      <c r="B88" s="16" t="s">
        <v>52</v>
      </c>
      <c r="C88" s="106">
        <v>51431342</v>
      </c>
      <c r="D88" s="88" t="s">
        <v>34</v>
      </c>
      <c r="E88" s="16">
        <v>4800</v>
      </c>
      <c r="F88" s="21">
        <v>394.96800000000002</v>
      </c>
      <c r="G88" s="21">
        <v>398.20400000000001</v>
      </c>
      <c r="H88" s="18">
        <f>(G88-F88)*E88</f>
        <v>15532.799999999952</v>
      </c>
      <c r="I88" s="51"/>
      <c r="J88" s="52"/>
    </row>
    <row r="89" spans="1:10" ht="15.75" x14ac:dyDescent="0.25">
      <c r="A89" s="27" t="s">
        <v>105</v>
      </c>
      <c r="B89" s="16" t="s">
        <v>52</v>
      </c>
      <c r="C89" s="106">
        <v>51431343</v>
      </c>
      <c r="D89" s="88" t="s">
        <v>34</v>
      </c>
      <c r="E89" s="16">
        <v>4800</v>
      </c>
      <c r="F89" s="21">
        <v>505.077</v>
      </c>
      <c r="G89" s="21">
        <v>505.19299999999998</v>
      </c>
      <c r="H89" s="18">
        <f>(G89-F89)*E89</f>
        <v>556.79999999993015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16089.599999999882</v>
      </c>
      <c r="I90" s="85">
        <f>H90-H98</f>
        <v>-296.4000000002452</v>
      </c>
      <c r="J90" s="25">
        <f>I90/H90</f>
        <v>-1.8421837708845923E-2</v>
      </c>
    </row>
    <row r="91" spans="1:10" ht="15.75" x14ac:dyDescent="0.25">
      <c r="A91" s="27" t="s">
        <v>107</v>
      </c>
      <c r="B91" s="16" t="s">
        <v>52</v>
      </c>
      <c r="C91" s="106">
        <v>51431347</v>
      </c>
      <c r="D91" s="22" t="s">
        <v>53</v>
      </c>
      <c r="E91" s="16">
        <v>1200</v>
      </c>
      <c r="F91" s="21">
        <v>1202.1469999999999</v>
      </c>
      <c r="G91" s="21">
        <v>1202.1469999999999</v>
      </c>
      <c r="H91" s="18">
        <f>(G91-F91)*E91</f>
        <v>0</v>
      </c>
      <c r="I91" s="51"/>
      <c r="J91" s="52"/>
    </row>
    <row r="92" spans="1:10" ht="15.75" x14ac:dyDescent="0.25">
      <c r="A92" s="27" t="s">
        <v>108</v>
      </c>
      <c r="B92" s="16" t="s">
        <v>52</v>
      </c>
      <c r="C92" s="106">
        <v>51431339</v>
      </c>
      <c r="D92" s="22" t="s">
        <v>53</v>
      </c>
      <c r="E92" s="16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6" t="s">
        <v>52</v>
      </c>
      <c r="C93" s="106">
        <v>51217244</v>
      </c>
      <c r="D93" s="16" t="s">
        <v>37</v>
      </c>
      <c r="E93" s="16">
        <v>600</v>
      </c>
      <c r="F93" s="30">
        <v>332.404</v>
      </c>
      <c r="G93" s="30">
        <v>333.23899999999998</v>
      </c>
      <c r="H93" s="18">
        <f t="shared" si="4"/>
        <v>500.99999999998772</v>
      </c>
      <c r="I93" s="51"/>
      <c r="J93" s="52"/>
    </row>
    <row r="94" spans="1:10" ht="15.75" x14ac:dyDescent="0.25">
      <c r="A94" s="27" t="s">
        <v>110</v>
      </c>
      <c r="B94" s="16" t="s">
        <v>52</v>
      </c>
      <c r="C94" s="106">
        <v>51217267</v>
      </c>
      <c r="D94" s="88" t="s">
        <v>63</v>
      </c>
      <c r="E94" s="16">
        <v>2400</v>
      </c>
      <c r="F94" s="30">
        <v>20.263000000000002</v>
      </c>
      <c r="G94" s="30">
        <v>20.29</v>
      </c>
      <c r="H94" s="18">
        <f t="shared" si="4"/>
        <v>64.799999999993929</v>
      </c>
      <c r="I94" s="51"/>
      <c r="J94" s="52"/>
    </row>
    <row r="95" spans="1:10" ht="15.75" x14ac:dyDescent="0.25">
      <c r="A95" s="27" t="s">
        <v>111</v>
      </c>
      <c r="B95" s="16" t="s">
        <v>52</v>
      </c>
      <c r="C95" s="16">
        <v>51555165</v>
      </c>
      <c r="D95" s="22" t="s">
        <v>53</v>
      </c>
      <c r="E95" s="16">
        <v>1200</v>
      </c>
      <c r="F95" s="30">
        <v>839.80899999999997</v>
      </c>
      <c r="G95" s="30">
        <v>847.39700000000005</v>
      </c>
      <c r="H95" s="18">
        <f t="shared" si="4"/>
        <v>9105.600000000095</v>
      </c>
      <c r="I95" s="51" t="s">
        <v>27</v>
      </c>
      <c r="J95" s="52"/>
    </row>
    <row r="96" spans="1:10" ht="15.75" x14ac:dyDescent="0.25">
      <c r="A96" s="113" t="s">
        <v>112</v>
      </c>
      <c r="B96" s="16" t="s">
        <v>52</v>
      </c>
      <c r="C96" s="106">
        <v>51431346</v>
      </c>
      <c r="D96" s="114" t="s">
        <v>37</v>
      </c>
      <c r="E96" s="114">
        <v>600</v>
      </c>
      <c r="F96" s="30">
        <v>350.09699999999998</v>
      </c>
      <c r="G96" s="30">
        <v>351.88</v>
      </c>
      <c r="H96" s="115">
        <f t="shared" si="4"/>
        <v>1069.8000000000093</v>
      </c>
      <c r="I96" s="116"/>
      <c r="J96" s="117"/>
    </row>
    <row r="97" spans="1:10" ht="15.75" x14ac:dyDescent="0.25">
      <c r="A97" s="27" t="s">
        <v>113</v>
      </c>
      <c r="B97" s="16" t="s">
        <v>52</v>
      </c>
      <c r="C97" s="106">
        <v>51431352</v>
      </c>
      <c r="D97" s="88" t="s">
        <v>21</v>
      </c>
      <c r="E97" s="16">
        <v>3600</v>
      </c>
      <c r="F97" s="21">
        <v>228.75299999999999</v>
      </c>
      <c r="G97" s="21">
        <v>230.321</v>
      </c>
      <c r="H97" s="18">
        <f t="shared" si="4"/>
        <v>5644.8000000000429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16386.000000000127</v>
      </c>
      <c r="I98" s="51"/>
      <c r="J98" s="52"/>
    </row>
    <row r="99" spans="1:10" ht="15.75" x14ac:dyDescent="0.25">
      <c r="A99" s="45" t="s">
        <v>114</v>
      </c>
      <c r="B99" s="16" t="s">
        <v>52</v>
      </c>
      <c r="C99" s="120">
        <v>51431357</v>
      </c>
      <c r="D99" s="22" t="s">
        <v>63</v>
      </c>
      <c r="E99" s="22">
        <v>14000</v>
      </c>
      <c r="F99" s="28">
        <v>834.88499999999999</v>
      </c>
      <c r="G99" s="28">
        <v>837.26700000000005</v>
      </c>
      <c r="H99" s="121">
        <f t="shared" si="4"/>
        <v>33348.000000000866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opLeftCell="A67" zoomScale="85" zoomScaleNormal="85" workbookViewId="0">
      <selection activeCell="G99" sqref="G99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115</v>
      </c>
      <c r="G2" s="4" t="s">
        <v>116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24" t="s">
        <v>13</v>
      </c>
      <c r="C4" s="124">
        <v>51555166</v>
      </c>
      <c r="D4" s="124" t="s">
        <v>14</v>
      </c>
      <c r="E4" s="124">
        <v>132000</v>
      </c>
      <c r="F4" s="17">
        <v>3.5779999999999998</v>
      </c>
      <c r="G4" s="17">
        <v>3.5874000000000001</v>
      </c>
      <c r="H4" s="18">
        <f>(G4-F4)*E4</f>
        <v>1240.8000000000393</v>
      </c>
      <c r="I4" s="19"/>
      <c r="J4" s="20"/>
    </row>
    <row r="5" spans="1:10" ht="15.75" x14ac:dyDescent="0.25">
      <c r="A5" s="15" t="s">
        <v>15</v>
      </c>
      <c r="B5" s="124" t="s">
        <v>13</v>
      </c>
      <c r="C5" s="124">
        <v>51555191</v>
      </c>
      <c r="D5" s="124" t="s">
        <v>14</v>
      </c>
      <c r="E5" s="124">
        <v>132000</v>
      </c>
      <c r="F5" s="21">
        <v>372.041</v>
      </c>
      <c r="G5" s="21">
        <v>374.31220000000002</v>
      </c>
      <c r="H5" s="18">
        <f>(G5-F5)*E5</f>
        <v>299798.40000000288</v>
      </c>
      <c r="I5" s="19"/>
      <c r="J5" s="20"/>
    </row>
    <row r="6" spans="1:10" ht="15.75" x14ac:dyDescent="0.25">
      <c r="A6" s="218" t="s">
        <v>16</v>
      </c>
      <c r="B6" s="219"/>
      <c r="C6" s="124"/>
      <c r="D6" s="125"/>
      <c r="E6" s="124"/>
      <c r="H6" s="23">
        <f>H4+H5</f>
        <v>301039.20000000292</v>
      </c>
      <c r="I6" s="24">
        <f>H6-H9-H19</f>
        <v>2387.4000000007363</v>
      </c>
      <c r="J6" s="25">
        <f>I6/H6</f>
        <v>7.9305286487630616E-3</v>
      </c>
    </row>
    <row r="7" spans="1:10" ht="15.75" x14ac:dyDescent="0.25">
      <c r="A7" s="26" t="s">
        <v>17</v>
      </c>
      <c r="B7" s="124" t="s">
        <v>13</v>
      </c>
      <c r="C7" s="124">
        <v>51097629</v>
      </c>
      <c r="D7" s="125" t="s">
        <v>14</v>
      </c>
      <c r="E7" s="124">
        <v>42000</v>
      </c>
      <c r="F7" s="21">
        <v>1105.367</v>
      </c>
      <c r="G7" s="21">
        <v>1110.4429</v>
      </c>
      <c r="H7" s="18">
        <f>(G7-F7)*E7</f>
        <v>213187.80000000197</v>
      </c>
      <c r="I7" s="19"/>
      <c r="J7" s="20"/>
    </row>
    <row r="8" spans="1:10" ht="15.75" x14ac:dyDescent="0.25">
      <c r="A8" s="26" t="s">
        <v>18</v>
      </c>
      <c r="B8" s="124" t="s">
        <v>13</v>
      </c>
      <c r="C8" s="124">
        <v>51616820</v>
      </c>
      <c r="D8" s="125" t="s">
        <v>14</v>
      </c>
      <c r="E8" s="124">
        <v>42000</v>
      </c>
      <c r="F8" s="21">
        <v>6.319</v>
      </c>
      <c r="G8" s="21">
        <v>6.3319000000000001</v>
      </c>
      <c r="H8" s="18">
        <f>(G8-F8)*E8</f>
        <v>541.80000000000564</v>
      </c>
      <c r="I8" s="19"/>
      <c r="J8" s="20"/>
    </row>
    <row r="9" spans="1:10" ht="15.75" x14ac:dyDescent="0.25">
      <c r="A9" s="218" t="s">
        <v>19</v>
      </c>
      <c r="B9" s="219"/>
      <c r="C9" s="124"/>
      <c r="D9" s="125"/>
      <c r="E9" s="124"/>
      <c r="F9" s="21"/>
      <c r="G9" s="21"/>
      <c r="H9" s="23">
        <f>H7+H8</f>
        <v>213729.60000000198</v>
      </c>
      <c r="I9" s="24">
        <f>H9-H16</f>
        <v>-29.399999998509884</v>
      </c>
      <c r="J9" s="25">
        <f>I9/H9</f>
        <v>-1.3755698788801181E-4</v>
      </c>
    </row>
    <row r="10" spans="1:10" ht="15.75" x14ac:dyDescent="0.25">
      <c r="A10" s="27" t="s">
        <v>20</v>
      </c>
      <c r="B10" s="124" t="s">
        <v>13</v>
      </c>
      <c r="C10" s="124">
        <v>51217286</v>
      </c>
      <c r="D10" s="125" t="s">
        <v>21</v>
      </c>
      <c r="E10" s="124">
        <v>21000</v>
      </c>
      <c r="F10" s="21">
        <v>870.73800000000006</v>
      </c>
      <c r="G10" s="21">
        <v>874.30020000000002</v>
      </c>
      <c r="H10" s="18">
        <f t="shared" ref="H10:H15" si="0">(G10-F10)*E10</f>
        <v>74806.199999999197</v>
      </c>
      <c r="I10" s="19"/>
      <c r="J10" s="20"/>
    </row>
    <row r="11" spans="1:10" ht="15.75" x14ac:dyDescent="0.25">
      <c r="A11" s="27" t="s">
        <v>22</v>
      </c>
      <c r="B11" s="124" t="s">
        <v>13</v>
      </c>
      <c r="C11" s="124">
        <v>51217292</v>
      </c>
      <c r="D11" s="125" t="s">
        <v>21</v>
      </c>
      <c r="E11" s="124">
        <v>21000</v>
      </c>
      <c r="F11" s="28">
        <v>3.8820000000000001</v>
      </c>
      <c r="G11" s="28">
        <v>3.8879000000000001</v>
      </c>
      <c r="H11" s="18">
        <f>(G11-F11)*E11</f>
        <v>123.90000000000035</v>
      </c>
      <c r="I11" s="19"/>
      <c r="J11" s="20"/>
    </row>
    <row r="12" spans="1:10" ht="15.75" x14ac:dyDescent="0.25">
      <c r="A12" s="27" t="s">
        <v>23</v>
      </c>
      <c r="B12" s="124" t="s">
        <v>13</v>
      </c>
      <c r="C12" s="124">
        <v>51217271</v>
      </c>
      <c r="D12" s="125" t="s">
        <v>21</v>
      </c>
      <c r="E12" s="124">
        <v>21000</v>
      </c>
      <c r="F12" s="21">
        <v>645.82100000000003</v>
      </c>
      <c r="G12" s="21">
        <v>649.16420000000005</v>
      </c>
      <c r="H12" s="18">
        <f t="shared" si="0"/>
        <v>70207.200000000506</v>
      </c>
      <c r="I12" s="19"/>
      <c r="J12" s="20"/>
    </row>
    <row r="13" spans="1:10" ht="15.75" x14ac:dyDescent="0.25">
      <c r="A13" s="27" t="s">
        <v>24</v>
      </c>
      <c r="B13" s="124" t="s">
        <v>13</v>
      </c>
      <c r="C13" s="124">
        <v>51217276</v>
      </c>
      <c r="D13" s="125" t="s">
        <v>21</v>
      </c>
      <c r="E13" s="124">
        <v>21000</v>
      </c>
      <c r="F13" s="28">
        <v>0.56599999999999995</v>
      </c>
      <c r="G13" s="28">
        <v>0.56999999999999995</v>
      </c>
      <c r="H13" s="18">
        <f>(G13-F13)*E13</f>
        <v>84.000000000000071</v>
      </c>
      <c r="I13" s="19"/>
      <c r="J13" s="20"/>
    </row>
    <row r="14" spans="1:10" ht="15.75" x14ac:dyDescent="0.25">
      <c r="A14" s="27" t="s">
        <v>25</v>
      </c>
      <c r="B14" s="124" t="s">
        <v>13</v>
      </c>
      <c r="C14" s="124">
        <v>51100990</v>
      </c>
      <c r="D14" s="125" t="s">
        <v>21</v>
      </c>
      <c r="E14" s="124">
        <v>21000</v>
      </c>
      <c r="F14" s="29">
        <v>701.20899999999995</v>
      </c>
      <c r="G14" s="29">
        <v>704.45929999999998</v>
      </c>
      <c r="H14" s="18">
        <f t="shared" si="0"/>
        <v>68256.300000000803</v>
      </c>
      <c r="I14" s="19"/>
      <c r="J14" s="20"/>
    </row>
    <row r="15" spans="1:10" ht="15.75" x14ac:dyDescent="0.25">
      <c r="A15" s="27" t="s">
        <v>26</v>
      </c>
      <c r="B15" s="124" t="s">
        <v>13</v>
      </c>
      <c r="C15" s="124">
        <v>51097622</v>
      </c>
      <c r="D15" s="125" t="s">
        <v>21</v>
      </c>
      <c r="E15" s="124">
        <v>21000</v>
      </c>
      <c r="F15" s="21">
        <v>3.6850000000000001</v>
      </c>
      <c r="G15" s="21">
        <v>3.6983999999999999</v>
      </c>
      <c r="H15" s="18">
        <f t="shared" si="0"/>
        <v>281.39999999999696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24"/>
      <c r="D16" s="125"/>
      <c r="E16" s="124"/>
      <c r="F16" s="21"/>
      <c r="G16" s="21"/>
      <c r="H16" s="23">
        <f>H10+H11+H12+H13+H14+H15</f>
        <v>213759.00000000049</v>
      </c>
      <c r="I16" s="19"/>
      <c r="J16" s="20"/>
    </row>
    <row r="17" spans="1:10" ht="15.75" x14ac:dyDescent="0.25">
      <c r="A17" s="26" t="s">
        <v>29</v>
      </c>
      <c r="B17" s="124" t="s">
        <v>13</v>
      </c>
      <c r="C17" s="124">
        <v>51097617</v>
      </c>
      <c r="D17" s="125" t="s">
        <v>30</v>
      </c>
      <c r="E17" s="124">
        <v>18000</v>
      </c>
      <c r="F17" s="30">
        <v>852.53899999999999</v>
      </c>
      <c r="G17" s="30">
        <v>857.2568</v>
      </c>
      <c r="H17" s="18">
        <f>(G17-F17)*E17</f>
        <v>84920.400000000198</v>
      </c>
      <c r="I17" s="19"/>
      <c r="J17" s="20"/>
    </row>
    <row r="18" spans="1:10" ht="15.75" x14ac:dyDescent="0.25">
      <c r="A18" s="26" t="s">
        <v>31</v>
      </c>
      <c r="B18" s="124" t="s">
        <v>13</v>
      </c>
      <c r="C18" s="124">
        <v>51097655</v>
      </c>
      <c r="D18" s="125" t="s">
        <v>30</v>
      </c>
      <c r="E18" s="124">
        <v>18000</v>
      </c>
      <c r="F18" s="30">
        <v>8.2070000000000007</v>
      </c>
      <c r="G18" s="30">
        <v>8.2071000000000005</v>
      </c>
      <c r="H18" s="18">
        <f>(G18-F18)*E18</f>
        <v>1.799999999995805</v>
      </c>
      <c r="I18" s="19"/>
      <c r="J18" s="20"/>
    </row>
    <row r="19" spans="1:10" ht="15.75" x14ac:dyDescent="0.25">
      <c r="A19" s="218" t="s">
        <v>32</v>
      </c>
      <c r="B19" s="219"/>
      <c r="C19" s="124"/>
      <c r="D19" s="125"/>
      <c r="E19" s="124"/>
      <c r="F19" s="30"/>
      <c r="G19" s="30"/>
      <c r="H19" s="23">
        <f>H17+H18</f>
        <v>84922.200000000201</v>
      </c>
      <c r="I19" s="24">
        <f>H19-H34</f>
        <v>3016.139999999461</v>
      </c>
      <c r="J19" s="25">
        <f>I19/H19</f>
        <v>3.5516508050891918E-2</v>
      </c>
    </row>
    <row r="20" spans="1:10" ht="15.75" x14ac:dyDescent="0.25">
      <c r="A20" s="15" t="s">
        <v>33</v>
      </c>
      <c r="B20" s="124" t="s">
        <v>13</v>
      </c>
      <c r="C20" s="124">
        <v>51217282</v>
      </c>
      <c r="D20" s="125" t="s">
        <v>34</v>
      </c>
      <c r="E20" s="124">
        <v>4800</v>
      </c>
      <c r="F20" s="21">
        <v>382.29899999999998</v>
      </c>
      <c r="G20" s="21">
        <v>382.35140000000001</v>
      </c>
      <c r="H20" s="18">
        <f t="shared" ref="H20:H33" si="1">(G20-F20)*E20</f>
        <v>251.52000000016415</v>
      </c>
      <c r="I20" s="19" t="s">
        <v>27</v>
      </c>
      <c r="J20" s="20"/>
    </row>
    <row r="21" spans="1:10" ht="15.75" x14ac:dyDescent="0.25">
      <c r="A21" s="15" t="s">
        <v>35</v>
      </c>
      <c r="B21" s="124" t="s">
        <v>13</v>
      </c>
      <c r="C21" s="124">
        <v>51217274</v>
      </c>
      <c r="D21" s="125" t="s">
        <v>34</v>
      </c>
      <c r="E21" s="124">
        <v>4800</v>
      </c>
      <c r="F21" s="21">
        <v>1332.3489999999999</v>
      </c>
      <c r="G21" s="21">
        <v>1339.0804000000001</v>
      </c>
      <c r="H21" s="18">
        <f t="shared" si="1"/>
        <v>32310.720000000583</v>
      </c>
      <c r="I21" s="19"/>
      <c r="J21" s="20"/>
    </row>
    <row r="22" spans="1:10" ht="15.75" x14ac:dyDescent="0.25">
      <c r="A22" s="15" t="s">
        <v>36</v>
      </c>
      <c r="B22" s="124" t="s">
        <v>13</v>
      </c>
      <c r="C22" s="124">
        <v>51097664</v>
      </c>
      <c r="D22" s="125" t="s">
        <v>37</v>
      </c>
      <c r="E22" s="124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24" t="s">
        <v>13</v>
      </c>
      <c r="C23" s="124">
        <v>51097615</v>
      </c>
      <c r="D23" s="125" t="s">
        <v>37</v>
      </c>
      <c r="E23" s="124">
        <v>600</v>
      </c>
      <c r="F23" s="21">
        <v>43.448</v>
      </c>
      <c r="G23" s="21">
        <v>43.777900000000002</v>
      </c>
      <c r="H23" s="18">
        <f t="shared" si="1"/>
        <v>197.94000000000125</v>
      </c>
      <c r="I23" s="19"/>
      <c r="J23" s="20"/>
    </row>
    <row r="24" spans="1:10" ht="15.75" x14ac:dyDescent="0.25">
      <c r="A24" s="15" t="s">
        <v>39</v>
      </c>
      <c r="B24" s="124" t="s">
        <v>13</v>
      </c>
      <c r="C24" s="124">
        <v>51217264</v>
      </c>
      <c r="D24" s="125" t="s">
        <v>37</v>
      </c>
      <c r="E24" s="124">
        <v>600</v>
      </c>
      <c r="F24" s="21">
        <v>102.27</v>
      </c>
      <c r="G24" s="21">
        <v>103.02249999999999</v>
      </c>
      <c r="H24" s="18">
        <f t="shared" si="1"/>
        <v>451.49999999999864</v>
      </c>
      <c r="I24" s="19"/>
      <c r="J24" s="20"/>
    </row>
    <row r="25" spans="1:10" ht="15.75" x14ac:dyDescent="0.25">
      <c r="A25" s="15" t="s">
        <v>40</v>
      </c>
      <c r="B25" s="124" t="s">
        <v>13</v>
      </c>
      <c r="C25" s="124">
        <v>51217288</v>
      </c>
      <c r="D25" s="125" t="s">
        <v>37</v>
      </c>
      <c r="E25" s="124">
        <v>600</v>
      </c>
      <c r="F25" s="21">
        <v>20.387</v>
      </c>
      <c r="G25" s="21">
        <v>20.4221</v>
      </c>
      <c r="H25" s="18">
        <f t="shared" si="1"/>
        <v>21.059999999999945</v>
      </c>
      <c r="I25" s="19" t="s">
        <v>27</v>
      </c>
      <c r="J25" s="20"/>
    </row>
    <row r="26" spans="1:10" ht="15.75" x14ac:dyDescent="0.25">
      <c r="A26" s="15" t="s">
        <v>41</v>
      </c>
      <c r="B26" s="124" t="s">
        <v>13</v>
      </c>
      <c r="C26" s="124">
        <v>51217279</v>
      </c>
      <c r="D26" s="125" t="s">
        <v>37</v>
      </c>
      <c r="E26" s="124">
        <v>600</v>
      </c>
      <c r="F26" s="21">
        <v>15.15</v>
      </c>
      <c r="G26" s="21">
        <v>15.21</v>
      </c>
      <c r="H26" s="18">
        <f t="shared" si="1"/>
        <v>36.000000000000298</v>
      </c>
      <c r="I26" s="19" t="s">
        <v>27</v>
      </c>
      <c r="J26" s="20"/>
    </row>
    <row r="27" spans="1:10" ht="15.75" x14ac:dyDescent="0.25">
      <c r="A27" s="15" t="s">
        <v>42</v>
      </c>
      <c r="B27" s="124" t="s">
        <v>13</v>
      </c>
      <c r="C27" s="124">
        <v>51217272</v>
      </c>
      <c r="D27" s="125" t="s">
        <v>37</v>
      </c>
      <c r="E27" s="124">
        <v>600</v>
      </c>
      <c r="F27" s="31">
        <v>14.859</v>
      </c>
      <c r="G27" s="31">
        <v>14.918200000000001</v>
      </c>
      <c r="H27" s="18">
        <f t="shared" si="1"/>
        <v>35.520000000000351</v>
      </c>
      <c r="I27" s="19"/>
      <c r="J27" s="20"/>
    </row>
    <row r="28" spans="1:10" ht="15.75" x14ac:dyDescent="0.25">
      <c r="A28" s="15" t="s">
        <v>43</v>
      </c>
      <c r="B28" s="124" t="s">
        <v>13</v>
      </c>
      <c r="C28" s="124">
        <v>51616744</v>
      </c>
      <c r="D28" s="125">
        <f>300/5</f>
        <v>60</v>
      </c>
      <c r="E28" s="124">
        <v>3600</v>
      </c>
      <c r="F28" s="31">
        <v>109.78400000000001</v>
      </c>
      <c r="G28" s="31">
        <v>109.78489999999999</v>
      </c>
      <c r="H28" s="18">
        <f t="shared" si="1"/>
        <v>3.2399999999540796</v>
      </c>
      <c r="I28" s="19"/>
      <c r="J28" s="20"/>
    </row>
    <row r="29" spans="1:10" ht="15.75" x14ac:dyDescent="0.25">
      <c r="A29" s="15" t="s">
        <v>44</v>
      </c>
      <c r="B29" s="124" t="s">
        <v>13</v>
      </c>
      <c r="C29" s="124">
        <v>51555226</v>
      </c>
      <c r="D29" s="125">
        <f>300/5</f>
        <v>60</v>
      </c>
      <c r="E29" s="124">
        <v>3600</v>
      </c>
      <c r="F29" s="31">
        <v>508.584</v>
      </c>
      <c r="G29" s="31">
        <v>512.87120000000004</v>
      </c>
      <c r="H29" s="18">
        <f>(G29-F29)*E29</f>
        <v>15433.920000000147</v>
      </c>
      <c r="I29" s="19"/>
      <c r="J29" s="20"/>
    </row>
    <row r="30" spans="1:10" ht="15.75" x14ac:dyDescent="0.25">
      <c r="A30" s="15" t="s">
        <v>45</v>
      </c>
      <c r="B30" s="124" t="s">
        <v>13</v>
      </c>
      <c r="C30" s="124">
        <v>51097658</v>
      </c>
      <c r="D30" s="125" t="s">
        <v>34</v>
      </c>
      <c r="E30" s="124">
        <v>4800</v>
      </c>
      <c r="F30" s="31">
        <v>661.03899999999999</v>
      </c>
      <c r="G30" s="31">
        <v>665.09439999999995</v>
      </c>
      <c r="H30" s="18">
        <f t="shared" si="1"/>
        <v>19465.919999999824</v>
      </c>
      <c r="I30" s="19"/>
      <c r="J30" s="20"/>
    </row>
    <row r="31" spans="1:10" ht="15.75" x14ac:dyDescent="0.25">
      <c r="A31" s="15" t="s">
        <v>46</v>
      </c>
      <c r="B31" s="124" t="s">
        <v>13</v>
      </c>
      <c r="C31" s="124">
        <v>51097635</v>
      </c>
      <c r="D31" s="125" t="s">
        <v>34</v>
      </c>
      <c r="E31" s="124">
        <v>4800</v>
      </c>
      <c r="F31" s="31">
        <v>48.463999999999999</v>
      </c>
      <c r="G31" s="31">
        <v>48.466000000000001</v>
      </c>
      <c r="H31" s="18">
        <f t="shared" si="1"/>
        <v>9.6000000000117325</v>
      </c>
      <c r="I31" s="19"/>
      <c r="J31" s="20"/>
    </row>
    <row r="32" spans="1:10" ht="15.75" x14ac:dyDescent="0.25">
      <c r="A32" s="15" t="s">
        <v>47</v>
      </c>
      <c r="B32" s="124" t="s">
        <v>13</v>
      </c>
      <c r="C32" s="32">
        <v>51097633</v>
      </c>
      <c r="D32" s="125" t="s">
        <v>34</v>
      </c>
      <c r="E32" s="124">
        <v>4800</v>
      </c>
      <c r="F32" s="31">
        <v>176.67</v>
      </c>
      <c r="G32" s="31">
        <v>179.435</v>
      </c>
      <c r="H32" s="33">
        <f t="shared" si="1"/>
        <v>13272.000000000071</v>
      </c>
      <c r="I32" s="34"/>
      <c r="J32" s="35"/>
    </row>
    <row r="33" spans="1:10" ht="15.75" x14ac:dyDescent="0.25">
      <c r="A33" s="15" t="s">
        <v>48</v>
      </c>
      <c r="B33" s="124" t="s">
        <v>13</v>
      </c>
      <c r="C33" s="32">
        <v>51097662</v>
      </c>
      <c r="D33" s="125" t="s">
        <v>34</v>
      </c>
      <c r="E33" s="124">
        <v>4800</v>
      </c>
      <c r="F33" s="31">
        <v>3.6509999999999998</v>
      </c>
      <c r="G33" s="31">
        <v>3.7378999999999998</v>
      </c>
      <c r="H33" s="33">
        <f t="shared" si="1"/>
        <v>417.11999999999989</v>
      </c>
      <c r="I33" s="34"/>
      <c r="J33" s="35"/>
    </row>
    <row r="34" spans="1:10" ht="15.75" x14ac:dyDescent="0.25">
      <c r="A34" s="218" t="s">
        <v>49</v>
      </c>
      <c r="B34" s="219"/>
      <c r="C34" s="124"/>
      <c r="D34" s="125"/>
      <c r="E34" s="124"/>
      <c r="F34" s="36"/>
      <c r="G34" s="36"/>
      <c r="H34" s="23">
        <f>H20+H21+H22+H23+H24+H25+H26+H27+H28+H29+H30+H31+H32+H33</f>
        <v>81906.06000000074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24" t="s">
        <v>52</v>
      </c>
      <c r="C36" s="124">
        <v>51555209</v>
      </c>
      <c r="D36" s="125" t="s">
        <v>53</v>
      </c>
      <c r="E36" s="124">
        <v>7000</v>
      </c>
      <c r="F36" s="17">
        <v>5.8730000000000002</v>
      </c>
      <c r="G36" s="17">
        <v>5.9231999999999996</v>
      </c>
      <c r="H36" s="41">
        <f>(G36-F36)*E36</f>
        <v>351.39999999999549</v>
      </c>
      <c r="I36" s="42"/>
      <c r="J36" s="14"/>
    </row>
    <row r="37" spans="1:10" ht="15.75" x14ac:dyDescent="0.25">
      <c r="A37" s="15" t="s">
        <v>54</v>
      </c>
      <c r="B37" s="124" t="s">
        <v>52</v>
      </c>
      <c r="C37" s="124">
        <v>51555209</v>
      </c>
      <c r="D37" s="125" t="s">
        <v>53</v>
      </c>
      <c r="E37" s="124">
        <v>7000</v>
      </c>
      <c r="F37" s="21">
        <v>10.282</v>
      </c>
      <c r="G37" s="21">
        <v>10.320600000000001</v>
      </c>
      <c r="H37" s="18">
        <f>(G37-F37)*E37</f>
        <v>270.20000000000442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24" t="s">
        <v>52</v>
      </c>
      <c r="C39" s="124">
        <v>51097674</v>
      </c>
      <c r="D39" s="124" t="s">
        <v>14</v>
      </c>
      <c r="E39" s="124">
        <v>7200</v>
      </c>
      <c r="F39" s="21">
        <v>594.45000000000005</v>
      </c>
      <c r="G39" s="21">
        <v>597.13279999999997</v>
      </c>
      <c r="H39" s="18">
        <f>(G39-F39)*E39</f>
        <v>19316.159999999491</v>
      </c>
      <c r="I39" s="47"/>
      <c r="J39" s="20"/>
    </row>
    <row r="40" spans="1:10" ht="15.75" x14ac:dyDescent="0.25">
      <c r="A40" s="27" t="s">
        <v>57</v>
      </c>
      <c r="B40" s="124" t="s">
        <v>52</v>
      </c>
      <c r="C40" s="124">
        <v>51259257</v>
      </c>
      <c r="D40" s="124" t="s">
        <v>14</v>
      </c>
      <c r="E40" s="124">
        <v>7200</v>
      </c>
      <c r="F40" s="21">
        <v>1.0549999999999999</v>
      </c>
      <c r="G40" s="21">
        <v>1.0549999999999999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24"/>
      <c r="C41" s="124"/>
      <c r="D41" s="124"/>
      <c r="E41" s="124"/>
      <c r="F41" s="21"/>
      <c r="G41" s="21"/>
      <c r="H41" s="48">
        <f>H39+H40</f>
        <v>19316.159999999491</v>
      </c>
      <c r="I41" s="24">
        <f>H41-H49</f>
        <v>-132.08000000060565</v>
      </c>
      <c r="J41" s="25">
        <f>I41/H41</f>
        <v>-6.8377979888657545E-3</v>
      </c>
    </row>
    <row r="42" spans="1:10" ht="15.75" x14ac:dyDescent="0.25">
      <c r="A42" s="15" t="s">
        <v>59</v>
      </c>
      <c r="B42" s="124"/>
      <c r="C42" s="124"/>
      <c r="D42" s="125"/>
      <c r="E42" s="124"/>
      <c r="H42" s="18"/>
      <c r="I42" s="43"/>
      <c r="J42" s="20"/>
    </row>
    <row r="43" spans="1:10" ht="15.75" x14ac:dyDescent="0.25">
      <c r="A43" s="27" t="s">
        <v>60</v>
      </c>
      <c r="B43" s="124" t="s">
        <v>52</v>
      </c>
      <c r="C43" s="32">
        <v>51097648</v>
      </c>
      <c r="D43" s="124" t="s">
        <v>53</v>
      </c>
      <c r="E43" s="124">
        <v>1200</v>
      </c>
      <c r="F43" s="21">
        <v>486.62400000000002</v>
      </c>
      <c r="G43" s="21">
        <v>488.78440000000001</v>
      </c>
      <c r="H43" s="33">
        <f>(G43-F43)*E43</f>
        <v>2592.4799999999777</v>
      </c>
      <c r="I43" s="43"/>
      <c r="J43" s="20"/>
    </row>
    <row r="44" spans="1:10" ht="15.75" x14ac:dyDescent="0.25">
      <c r="A44" s="27" t="s">
        <v>61</v>
      </c>
      <c r="B44" s="124" t="s">
        <v>52</v>
      </c>
      <c r="C44" s="32">
        <v>50555043</v>
      </c>
      <c r="D44" s="124" t="s">
        <v>53</v>
      </c>
      <c r="E44" s="124">
        <v>1200</v>
      </c>
      <c r="F44" s="21">
        <v>2036.203</v>
      </c>
      <c r="G44" s="21">
        <v>2045.2833000000001</v>
      </c>
      <c r="H44" s="33">
        <f>(G44-F44)*E44</f>
        <v>10896.360000000095</v>
      </c>
      <c r="I44" s="43"/>
      <c r="J44" s="20"/>
    </row>
    <row r="45" spans="1:10" ht="15.75" x14ac:dyDescent="0.25">
      <c r="A45" s="27" t="s">
        <v>62</v>
      </c>
      <c r="B45" s="124" t="s">
        <v>52</v>
      </c>
      <c r="C45" s="32">
        <v>51259336</v>
      </c>
      <c r="D45" s="124" t="s">
        <v>63</v>
      </c>
      <c r="E45" s="124">
        <v>2400</v>
      </c>
      <c r="F45" s="21">
        <v>4.1310000000000002</v>
      </c>
      <c r="G45" s="21">
        <v>4.1470000000000002</v>
      </c>
      <c r="H45" s="33">
        <f>(G45-F45)*E45</f>
        <v>38.400000000000034</v>
      </c>
      <c r="I45" s="43"/>
      <c r="J45" s="20"/>
    </row>
    <row r="46" spans="1:10" ht="15.75" x14ac:dyDescent="0.25">
      <c r="A46" s="27" t="s">
        <v>64</v>
      </c>
      <c r="B46" s="124" t="s">
        <v>52</v>
      </c>
      <c r="C46" s="32">
        <v>51259266</v>
      </c>
      <c r="D46" s="124" t="s">
        <v>53</v>
      </c>
      <c r="E46" s="124">
        <v>1200</v>
      </c>
      <c r="F46" s="21">
        <v>988.13900000000001</v>
      </c>
      <c r="G46" s="21">
        <v>992.63440000000003</v>
      </c>
      <c r="H46" s="33">
        <f>(G46-F46)*E46</f>
        <v>5394.4800000000214</v>
      </c>
      <c r="I46" s="43"/>
      <c r="J46" s="20"/>
    </row>
    <row r="47" spans="1:10" ht="15.75" x14ac:dyDescent="0.25">
      <c r="A47" s="27" t="s">
        <v>65</v>
      </c>
      <c r="B47" s="124" t="s">
        <v>52</v>
      </c>
      <c r="C47" s="32">
        <v>51431336</v>
      </c>
      <c r="D47" s="124" t="s">
        <v>53</v>
      </c>
      <c r="E47" s="124">
        <v>1200</v>
      </c>
      <c r="F47" s="21">
        <v>57.814</v>
      </c>
      <c r="G47" s="21">
        <v>58.211100000000002</v>
      </c>
      <c r="H47" s="33">
        <f>(G47-F47)*E47</f>
        <v>476.52000000000214</v>
      </c>
      <c r="I47" s="43"/>
      <c r="J47" s="20"/>
    </row>
    <row r="48" spans="1:10" ht="15.75" x14ac:dyDescent="0.25">
      <c r="A48" s="15" t="s">
        <v>66</v>
      </c>
      <c r="B48" s="124" t="s">
        <v>67</v>
      </c>
      <c r="C48" s="124">
        <v>49174</v>
      </c>
      <c r="D48" s="125" t="s">
        <v>53</v>
      </c>
      <c r="E48" s="124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19448.240000000096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24" t="s">
        <v>52</v>
      </c>
      <c r="C51" s="124">
        <v>51097603</v>
      </c>
      <c r="D51" s="125" t="s">
        <v>53</v>
      </c>
      <c r="E51" s="124">
        <v>7000</v>
      </c>
      <c r="F51" s="17">
        <v>1946.3789999999999</v>
      </c>
      <c r="G51" s="17">
        <v>1954.0775000000001</v>
      </c>
      <c r="H51" s="18">
        <f>(G51-F51)*E51</f>
        <v>53889.500000001361</v>
      </c>
      <c r="I51" s="43"/>
      <c r="J51" s="20"/>
    </row>
    <row r="52" spans="1:10" ht="15.75" x14ac:dyDescent="0.25">
      <c r="A52" s="27" t="s">
        <v>72</v>
      </c>
      <c r="B52" s="124" t="s">
        <v>52</v>
      </c>
      <c r="C52" s="124">
        <v>51097590</v>
      </c>
      <c r="D52" s="125" t="s">
        <v>53</v>
      </c>
      <c r="E52" s="124">
        <v>7000</v>
      </c>
      <c r="F52" s="21">
        <v>12.662000000000001</v>
      </c>
      <c r="G52" s="21">
        <v>12.6884</v>
      </c>
      <c r="H52" s="18">
        <f>(G52-F52)*E52</f>
        <v>184.79999999999208</v>
      </c>
      <c r="I52" s="43"/>
      <c r="J52" s="20"/>
    </row>
    <row r="53" spans="1:10" ht="15.75" x14ac:dyDescent="0.25">
      <c r="A53" s="15" t="s">
        <v>66</v>
      </c>
      <c r="B53" s="124" t="s">
        <v>67</v>
      </c>
      <c r="C53" s="124">
        <v>49174</v>
      </c>
      <c r="D53" s="125" t="s">
        <v>53</v>
      </c>
      <c r="E53" s="124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24"/>
      <c r="D54" s="125"/>
      <c r="E54" s="124"/>
      <c r="F54" s="21"/>
      <c r="G54" s="21"/>
      <c r="H54" s="48">
        <f>H51+H52+H53</f>
        <v>54174.300000001356</v>
      </c>
      <c r="I54" s="47"/>
      <c r="J54" s="59"/>
    </row>
    <row r="55" spans="1:10" ht="15.75" x14ac:dyDescent="0.25">
      <c r="A55" s="27" t="s">
        <v>74</v>
      </c>
      <c r="B55" s="124" t="s">
        <v>52</v>
      </c>
      <c r="C55" s="124">
        <v>51100980</v>
      </c>
      <c r="D55" s="124" t="s">
        <v>75</v>
      </c>
      <c r="E55" s="124">
        <v>12000</v>
      </c>
      <c r="F55" s="21">
        <v>1145.223</v>
      </c>
      <c r="G55" s="21">
        <v>1149.7263</v>
      </c>
      <c r="H55" s="18">
        <f>(G55-F55)*E55</f>
        <v>54039.600000000974</v>
      </c>
      <c r="I55" s="47"/>
      <c r="J55" s="58"/>
    </row>
    <row r="56" spans="1:10" ht="15.75" x14ac:dyDescent="0.25">
      <c r="A56" s="27" t="s">
        <v>76</v>
      </c>
      <c r="B56" s="124" t="s">
        <v>52</v>
      </c>
      <c r="C56" s="124">
        <v>51097623</v>
      </c>
      <c r="D56" s="124" t="s">
        <v>75</v>
      </c>
      <c r="E56" s="124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24"/>
      <c r="C57" s="124"/>
      <c r="D57" s="124"/>
      <c r="E57" s="124"/>
      <c r="F57" s="21"/>
      <c r="G57" s="21"/>
      <c r="H57" s="48">
        <f>H55+H56</f>
        <v>54039.600000000974</v>
      </c>
      <c r="I57" s="61">
        <f>H54-H64-H53</f>
        <v>-86.019999998163257</v>
      </c>
      <c r="J57" s="25">
        <f>I57/H57</f>
        <v>-1.5917956461217646E-3</v>
      </c>
    </row>
    <row r="58" spans="1:10" ht="15.75" x14ac:dyDescent="0.25">
      <c r="A58" s="27" t="s">
        <v>78</v>
      </c>
      <c r="B58" s="124" t="s">
        <v>52</v>
      </c>
      <c r="C58" s="124">
        <v>51097675</v>
      </c>
      <c r="D58" s="124" t="s">
        <v>34</v>
      </c>
      <c r="E58" s="124">
        <v>4800</v>
      </c>
      <c r="F58" s="21">
        <v>513.173</v>
      </c>
      <c r="G58" s="21">
        <v>516.73339999999996</v>
      </c>
      <c r="H58" s="18">
        <f t="shared" ref="H58:H63" si="2">(G58-F58)*E58</f>
        <v>17089.919999999802</v>
      </c>
      <c r="I58" s="62"/>
      <c r="J58" s="59"/>
    </row>
    <row r="59" spans="1:10" ht="15.75" x14ac:dyDescent="0.25">
      <c r="A59" s="27" t="s">
        <v>79</v>
      </c>
      <c r="B59" s="124" t="s">
        <v>52</v>
      </c>
      <c r="C59" s="124">
        <v>51100997</v>
      </c>
      <c r="D59" s="124" t="s">
        <v>21</v>
      </c>
      <c r="E59" s="124">
        <v>3600</v>
      </c>
      <c r="F59" s="21">
        <v>1380.979</v>
      </c>
      <c r="G59" s="21">
        <v>1384.1385</v>
      </c>
      <c r="H59" s="18">
        <f t="shared" si="2"/>
        <v>11374.199999999928</v>
      </c>
      <c r="I59" s="62"/>
      <c r="J59" s="59"/>
    </row>
    <row r="60" spans="1:10" ht="15.75" x14ac:dyDescent="0.25">
      <c r="A60" s="27" t="s">
        <v>80</v>
      </c>
      <c r="B60" s="124" t="s">
        <v>52</v>
      </c>
      <c r="C60" s="124">
        <v>51555218</v>
      </c>
      <c r="D60" s="124">
        <f>400/5</f>
        <v>80</v>
      </c>
      <c r="E60" s="124">
        <v>4800</v>
      </c>
      <c r="F60" s="21">
        <v>64.911000000000001</v>
      </c>
      <c r="G60" s="21">
        <v>65.474599999999995</v>
      </c>
      <c r="H60" s="18">
        <f t="shared" si="2"/>
        <v>2705.2799999999706</v>
      </c>
      <c r="I60" s="62"/>
      <c r="J60" s="59"/>
    </row>
    <row r="61" spans="1:10" ht="15.75" x14ac:dyDescent="0.25">
      <c r="A61" s="27" t="s">
        <v>81</v>
      </c>
      <c r="B61" s="124" t="s">
        <v>52</v>
      </c>
      <c r="C61" s="124">
        <v>51555151</v>
      </c>
      <c r="D61" s="124">
        <f>400/5</f>
        <v>80</v>
      </c>
      <c r="E61" s="124">
        <v>4800</v>
      </c>
      <c r="F61" s="63">
        <v>0.30599999999999999</v>
      </c>
      <c r="G61" s="63">
        <v>0.30690000000000001</v>
      </c>
      <c r="H61" s="18">
        <f t="shared" si="2"/>
        <v>4.3200000000000571</v>
      </c>
      <c r="I61" s="62"/>
      <c r="J61" s="59"/>
    </row>
    <row r="62" spans="1:10" ht="15.75" x14ac:dyDescent="0.25">
      <c r="A62" s="27" t="s">
        <v>82</v>
      </c>
      <c r="B62" s="124" t="s">
        <v>52</v>
      </c>
      <c r="C62" s="124">
        <v>51097599</v>
      </c>
      <c r="D62" s="124" t="s">
        <v>21</v>
      </c>
      <c r="E62" s="124">
        <v>3600</v>
      </c>
      <c r="F62" s="21">
        <v>965.62900000000002</v>
      </c>
      <c r="G62" s="21">
        <v>968.31830000000002</v>
      </c>
      <c r="H62" s="18">
        <f t="shared" si="2"/>
        <v>9681.4800000000105</v>
      </c>
      <c r="I62" s="62"/>
      <c r="J62" s="59"/>
    </row>
    <row r="63" spans="1:10" ht="15.75" x14ac:dyDescent="0.25">
      <c r="A63" s="27" t="s">
        <v>83</v>
      </c>
      <c r="B63" s="124" t="s">
        <v>52</v>
      </c>
      <c r="C63" s="124">
        <v>51097620</v>
      </c>
      <c r="D63" s="124" t="s">
        <v>34</v>
      </c>
      <c r="E63" s="124">
        <v>4800</v>
      </c>
      <c r="F63" s="21">
        <v>514.56700000000001</v>
      </c>
      <c r="G63" s="21">
        <v>517.33889999999997</v>
      </c>
      <c r="H63" s="18">
        <f t="shared" si="2"/>
        <v>13305.119999999806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54160.319999999519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24" t="s">
        <v>52</v>
      </c>
      <c r="C66" s="9">
        <v>51259238</v>
      </c>
      <c r="D66" s="74" t="s">
        <v>53</v>
      </c>
      <c r="E66" s="74">
        <v>7000</v>
      </c>
      <c r="F66" s="75">
        <v>558.56100000000004</v>
      </c>
      <c r="G66" s="75">
        <v>561.59839999999997</v>
      </c>
      <c r="H66" s="76">
        <f>(G66-F66)*E66</f>
        <v>21261.799999999537</v>
      </c>
      <c r="I66" s="77"/>
      <c r="J66" s="78"/>
    </row>
    <row r="67" spans="1:10" ht="15.75" x14ac:dyDescent="0.25">
      <c r="A67" s="27" t="s">
        <v>86</v>
      </c>
      <c r="B67" s="124" t="s">
        <v>52</v>
      </c>
      <c r="C67" s="124">
        <v>51259324</v>
      </c>
      <c r="D67" s="125" t="s">
        <v>53</v>
      </c>
      <c r="E67" s="125">
        <v>7000</v>
      </c>
      <c r="F67" s="21">
        <v>435.084</v>
      </c>
      <c r="G67" s="21">
        <v>437.48950000000002</v>
      </c>
      <c r="H67" s="18">
        <f>(G67-F67)*E67</f>
        <v>16838.500000000124</v>
      </c>
      <c r="I67" s="51"/>
      <c r="J67" s="58"/>
    </row>
    <row r="68" spans="1:10" ht="15.75" x14ac:dyDescent="0.25">
      <c r="A68" s="27" t="s">
        <v>87</v>
      </c>
      <c r="B68" s="79" t="s">
        <v>88</v>
      </c>
      <c r="C68" s="124">
        <v>51491618</v>
      </c>
      <c r="D68" s="125" t="s">
        <v>63</v>
      </c>
      <c r="E68" s="124">
        <v>40</v>
      </c>
      <c r="F68" s="28">
        <v>1258.8140000000001</v>
      </c>
      <c r="G68" s="28">
        <v>1270.0395000000001</v>
      </c>
      <c r="H68" s="18">
        <f>(G68-F68)*E68</f>
        <v>449.02000000000044</v>
      </c>
      <c r="I68" s="51"/>
      <c r="J68" s="58"/>
    </row>
    <row r="69" spans="1:10" ht="15.75" x14ac:dyDescent="0.25">
      <c r="A69" s="27" t="s">
        <v>89</v>
      </c>
      <c r="B69" s="79" t="s">
        <v>88</v>
      </c>
      <c r="C69" s="124">
        <v>51491624</v>
      </c>
      <c r="D69" s="125" t="s">
        <v>63</v>
      </c>
      <c r="E69" s="124">
        <v>40</v>
      </c>
      <c r="F69" s="28">
        <v>172.959</v>
      </c>
      <c r="G69" s="28">
        <v>173.89250000000001</v>
      </c>
      <c r="H69" s="18">
        <f>(G69-F69)*E69</f>
        <v>37.340000000000373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38100.299999999661</v>
      </c>
      <c r="I70" s="85">
        <f>H70-H73-H68-H69</f>
        <v>-19.260000001006347</v>
      </c>
      <c r="J70" s="25">
        <f>I70/H70</f>
        <v>-5.0550783067342033E-4</v>
      </c>
    </row>
    <row r="71" spans="1:10" ht="15.75" x14ac:dyDescent="0.25">
      <c r="A71" s="27" t="s">
        <v>91</v>
      </c>
      <c r="B71" s="124" t="s">
        <v>52</v>
      </c>
      <c r="C71" s="86">
        <v>51097588</v>
      </c>
      <c r="D71" s="125" t="s">
        <v>75</v>
      </c>
      <c r="E71" s="124">
        <v>12000</v>
      </c>
      <c r="F71" s="21">
        <v>334.79599999999999</v>
      </c>
      <c r="G71" s="21">
        <v>336.54180000000002</v>
      </c>
      <c r="H71" s="18">
        <f>(G71-F71)*E71</f>
        <v>20949.600000000373</v>
      </c>
      <c r="I71" s="51"/>
      <c r="J71" s="58"/>
    </row>
    <row r="72" spans="1:10" ht="15.75" x14ac:dyDescent="0.25">
      <c r="A72" s="27" t="s">
        <v>92</v>
      </c>
      <c r="B72" s="124" t="s">
        <v>52</v>
      </c>
      <c r="C72" s="86">
        <v>51431335</v>
      </c>
      <c r="D72" s="125" t="s">
        <v>75</v>
      </c>
      <c r="E72" s="124">
        <v>12000</v>
      </c>
      <c r="F72" s="21">
        <v>265.73099999999999</v>
      </c>
      <c r="G72" s="21">
        <v>267.12130000000002</v>
      </c>
      <c r="H72" s="18">
        <f>(G72-F72)*E72</f>
        <v>16683.600000000297</v>
      </c>
      <c r="I72" s="51"/>
      <c r="J72" s="58"/>
    </row>
    <row r="73" spans="1:10" ht="15.75" x14ac:dyDescent="0.25">
      <c r="A73" s="87" t="s">
        <v>93</v>
      </c>
      <c r="B73" s="124" t="s">
        <v>27</v>
      </c>
      <c r="C73" s="124"/>
      <c r="D73" s="125"/>
      <c r="E73" s="124"/>
      <c r="F73" s="21"/>
      <c r="G73" s="21"/>
      <c r="H73" s="48">
        <f>H71+ H72</f>
        <v>37633.200000000666</v>
      </c>
      <c r="I73" s="85">
        <f>H73-H81</f>
        <v>-133.25999999909254</v>
      </c>
      <c r="J73" s="25">
        <f>I73/H73</f>
        <v>-3.5410222888058998E-3</v>
      </c>
    </row>
    <row r="74" spans="1:10" ht="15.75" x14ac:dyDescent="0.25">
      <c r="A74" s="27" t="s">
        <v>94</v>
      </c>
      <c r="B74" s="124" t="s">
        <v>52</v>
      </c>
      <c r="C74" s="86">
        <v>51097676</v>
      </c>
      <c r="D74" s="88" t="s">
        <v>63</v>
      </c>
      <c r="E74" s="124">
        <v>2400</v>
      </c>
      <c r="F74" s="21">
        <v>702.30600000000004</v>
      </c>
      <c r="G74" s="21">
        <v>706.09159999999997</v>
      </c>
      <c r="H74" s="18">
        <f>(G74-F74)*E74</f>
        <v>9085.439999999835</v>
      </c>
      <c r="I74" s="51"/>
      <c r="J74" s="58"/>
    </row>
    <row r="75" spans="1:10" ht="15.75" x14ac:dyDescent="0.25">
      <c r="A75" s="27" t="s">
        <v>95</v>
      </c>
      <c r="B75" s="124" t="s">
        <v>52</v>
      </c>
      <c r="C75" s="86">
        <v>51431355</v>
      </c>
      <c r="D75" s="125" t="s">
        <v>21</v>
      </c>
      <c r="E75" s="125">
        <v>3600</v>
      </c>
      <c r="F75" s="21">
        <v>366.82900000000001</v>
      </c>
      <c r="G75" s="21">
        <v>368.39909999999998</v>
      </c>
      <c r="H75" s="18">
        <f>(G75-F75)*E75</f>
        <v>5652.3599999998851</v>
      </c>
      <c r="I75" s="51"/>
      <c r="J75" s="52"/>
    </row>
    <row r="76" spans="1:10" ht="15.75" x14ac:dyDescent="0.25">
      <c r="A76" s="27" t="s">
        <v>96</v>
      </c>
      <c r="B76" s="124" t="s">
        <v>52</v>
      </c>
      <c r="C76" s="86">
        <v>51259331</v>
      </c>
      <c r="D76" s="88" t="s">
        <v>37</v>
      </c>
      <c r="E76" s="124">
        <v>600</v>
      </c>
      <c r="F76" s="21">
        <v>165.828</v>
      </c>
      <c r="G76" s="21">
        <v>166.8099</v>
      </c>
      <c r="H76" s="18">
        <f>(G76-F76)*E76</f>
        <v>589.1399999999976</v>
      </c>
      <c r="I76" s="51"/>
      <c r="J76" s="52"/>
    </row>
    <row r="77" spans="1:10" ht="15.75" x14ac:dyDescent="0.25">
      <c r="A77" s="27" t="s">
        <v>97</v>
      </c>
      <c r="B77" s="124" t="s">
        <v>52</v>
      </c>
      <c r="C77" s="86">
        <v>51259326</v>
      </c>
      <c r="D77" s="88" t="s">
        <v>14</v>
      </c>
      <c r="E77" s="124">
        <v>7200</v>
      </c>
      <c r="F77" s="21">
        <v>332.53199999999998</v>
      </c>
      <c r="G77" s="21">
        <v>334.1884</v>
      </c>
      <c r="H77" s="18">
        <f>(G77-F77)*E77</f>
        <v>11926.080000000138</v>
      </c>
      <c r="I77" s="51"/>
      <c r="J77" s="52"/>
    </row>
    <row r="78" spans="1:10" ht="15.75" x14ac:dyDescent="0.25">
      <c r="A78" s="27" t="s">
        <v>98</v>
      </c>
      <c r="B78" s="124" t="s">
        <v>52</v>
      </c>
      <c r="C78" s="86">
        <v>51431351</v>
      </c>
      <c r="D78" s="88" t="s">
        <v>14</v>
      </c>
      <c r="E78" s="124">
        <v>7200</v>
      </c>
      <c r="F78" s="21">
        <v>238.90600000000001</v>
      </c>
      <c r="G78" s="21">
        <v>240.36619999999999</v>
      </c>
      <c r="H78" s="18">
        <f>(G78-F78)*E78</f>
        <v>10513.4399999999</v>
      </c>
      <c r="I78" s="51"/>
      <c r="J78" s="52"/>
    </row>
    <row r="79" spans="1:10" ht="15.75" x14ac:dyDescent="0.25">
      <c r="A79" s="89" t="s">
        <v>99</v>
      </c>
      <c r="B79" s="124" t="s">
        <v>52</v>
      </c>
      <c r="C79" s="90">
        <v>51097666</v>
      </c>
      <c r="D79" s="88" t="s">
        <v>63</v>
      </c>
      <c r="E79" s="124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24" t="s">
        <v>52</v>
      </c>
      <c r="C80" s="90">
        <v>51259323</v>
      </c>
      <c r="D80" s="88" t="s">
        <v>63</v>
      </c>
      <c r="E80" s="124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37766.459999999759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24" t="s">
        <v>52</v>
      </c>
      <c r="C83" s="106">
        <v>51431297</v>
      </c>
      <c r="D83" s="125" t="s">
        <v>53</v>
      </c>
      <c r="E83" s="100">
        <v>7000</v>
      </c>
      <c r="F83" s="17">
        <v>280.45600000000002</v>
      </c>
      <c r="G83" s="17">
        <v>283.35640000000001</v>
      </c>
      <c r="H83" s="18">
        <f>(G83-F83)*E83</f>
        <v>20302.799999999934</v>
      </c>
      <c r="I83" s="107"/>
      <c r="J83" s="108"/>
    </row>
    <row r="84" spans="1:10" ht="15.75" x14ac:dyDescent="0.25">
      <c r="A84" s="105" t="s">
        <v>86</v>
      </c>
      <c r="B84" s="124" t="s">
        <v>52</v>
      </c>
      <c r="C84" s="106">
        <v>51431332</v>
      </c>
      <c r="D84" s="125" t="s">
        <v>53</v>
      </c>
      <c r="E84" s="100">
        <v>7000</v>
      </c>
      <c r="F84" s="21">
        <v>357.63400000000001</v>
      </c>
      <c r="G84" s="17">
        <v>357.7894</v>
      </c>
      <c r="H84" s="18">
        <f>(G84-F84)*E84</f>
        <v>1087.799999999902</v>
      </c>
      <c r="I84" s="124"/>
      <c r="J84" s="58"/>
    </row>
    <row r="85" spans="1:10" s="129" customFormat="1" ht="15.75" x14ac:dyDescent="0.25">
      <c r="A85" s="27" t="s">
        <v>87</v>
      </c>
      <c r="B85" s="124" t="s">
        <v>103</v>
      </c>
      <c r="C85" s="109">
        <v>150773</v>
      </c>
      <c r="D85" s="125" t="s">
        <v>53</v>
      </c>
      <c r="E85" s="109">
        <v>20</v>
      </c>
      <c r="F85" s="17">
        <v>15669.9</v>
      </c>
      <c r="G85" s="17">
        <v>15669.9</v>
      </c>
      <c r="H85" s="18">
        <f>(G85-F85)*E85</f>
        <v>0</v>
      </c>
      <c r="I85" s="51"/>
      <c r="J85" s="58"/>
    </row>
    <row r="86" spans="1:10" s="129" customFormat="1" ht="15.75" x14ac:dyDescent="0.25">
      <c r="A86" s="27" t="s">
        <v>89</v>
      </c>
      <c r="B86" s="124" t="s">
        <v>103</v>
      </c>
      <c r="C86" s="109">
        <v>150791</v>
      </c>
      <c r="D86" s="125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23"/>
      <c r="C87" s="32"/>
      <c r="D87" s="82"/>
      <c r="E87" s="82"/>
      <c r="F87" s="21"/>
      <c r="G87" s="21"/>
      <c r="H87" s="48">
        <f>H83+H84</f>
        <v>21390.599999999835</v>
      </c>
      <c r="I87" s="85">
        <f>H87-H90-H85-H86</f>
        <v>601.31999999987238</v>
      </c>
      <c r="J87" s="25">
        <f>I87/H87</f>
        <v>2.8111413424582621E-2</v>
      </c>
    </row>
    <row r="88" spans="1:10" ht="15.75" x14ac:dyDescent="0.25">
      <c r="A88" s="27" t="s">
        <v>104</v>
      </c>
      <c r="B88" s="124" t="s">
        <v>52</v>
      </c>
      <c r="C88" s="106">
        <v>51431342</v>
      </c>
      <c r="D88" s="88" t="s">
        <v>34</v>
      </c>
      <c r="E88" s="124">
        <v>4800</v>
      </c>
      <c r="F88" s="21">
        <v>398.20400000000001</v>
      </c>
      <c r="G88" s="21">
        <v>402.3888</v>
      </c>
      <c r="H88" s="18">
        <f>(G88-F88)*E88</f>
        <v>20087.039999999979</v>
      </c>
      <c r="I88" s="51"/>
      <c r="J88" s="52"/>
    </row>
    <row r="89" spans="1:10" ht="15.75" x14ac:dyDescent="0.25">
      <c r="A89" s="27" t="s">
        <v>105</v>
      </c>
      <c r="B89" s="124" t="s">
        <v>52</v>
      </c>
      <c r="C89" s="106">
        <v>51431343</v>
      </c>
      <c r="D89" s="88" t="s">
        <v>34</v>
      </c>
      <c r="E89" s="124">
        <v>4800</v>
      </c>
      <c r="F89" s="21">
        <v>505.19299999999998</v>
      </c>
      <c r="G89" s="21">
        <v>505.33929999999998</v>
      </c>
      <c r="H89" s="18">
        <f>(G89-F89)*E89</f>
        <v>702.23999999998341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20789.279999999962</v>
      </c>
      <c r="I90" s="85">
        <f>H90-H98</f>
        <v>366.47999999974127</v>
      </c>
      <c r="J90" s="25">
        <f>I90/H90</f>
        <v>1.7628316132148006E-2</v>
      </c>
    </row>
    <row r="91" spans="1:10" ht="15.75" x14ac:dyDescent="0.25">
      <c r="A91" s="27" t="s">
        <v>107</v>
      </c>
      <c r="B91" s="124" t="s">
        <v>52</v>
      </c>
      <c r="C91" s="106">
        <v>51431347</v>
      </c>
      <c r="D91" s="125" t="s">
        <v>53</v>
      </c>
      <c r="E91" s="124">
        <v>1200</v>
      </c>
      <c r="F91" s="21">
        <v>1202.1469999999999</v>
      </c>
      <c r="G91" s="21">
        <v>1202.1474000000001</v>
      </c>
      <c r="H91" s="18">
        <f>(G91-F91)*E91</f>
        <v>0.48000000015235855</v>
      </c>
      <c r="I91" s="51"/>
      <c r="J91" s="52"/>
    </row>
    <row r="92" spans="1:10" ht="15.75" x14ac:dyDescent="0.25">
      <c r="A92" s="27" t="s">
        <v>108</v>
      </c>
      <c r="B92" s="124" t="s">
        <v>52</v>
      </c>
      <c r="C92" s="106">
        <v>51431339</v>
      </c>
      <c r="D92" s="125" t="s">
        <v>53</v>
      </c>
      <c r="E92" s="124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24" t="s">
        <v>52</v>
      </c>
      <c r="C93" s="106">
        <v>51217244</v>
      </c>
      <c r="D93" s="124" t="s">
        <v>37</v>
      </c>
      <c r="E93" s="124">
        <v>600</v>
      </c>
      <c r="F93" s="30">
        <v>333.23899999999998</v>
      </c>
      <c r="G93" s="30">
        <v>334.28359999999998</v>
      </c>
      <c r="H93" s="18">
        <f t="shared" si="4"/>
        <v>626.76000000000158</v>
      </c>
      <c r="I93" s="51"/>
      <c r="J93" s="52"/>
    </row>
    <row r="94" spans="1:10" ht="15.75" x14ac:dyDescent="0.25">
      <c r="A94" s="27" t="s">
        <v>110</v>
      </c>
      <c r="B94" s="124" t="s">
        <v>52</v>
      </c>
      <c r="C94" s="106">
        <v>51217267</v>
      </c>
      <c r="D94" s="88" t="s">
        <v>63</v>
      </c>
      <c r="E94" s="124">
        <v>2400</v>
      </c>
      <c r="F94" s="30">
        <v>20.29</v>
      </c>
      <c r="G94" s="30">
        <v>20.323699999999999</v>
      </c>
      <c r="H94" s="18">
        <f t="shared" si="4"/>
        <v>80.879999999999086</v>
      </c>
      <c r="I94" s="51"/>
      <c r="J94" s="52"/>
    </row>
    <row r="95" spans="1:10" ht="15.75" x14ac:dyDescent="0.25">
      <c r="A95" s="27" t="s">
        <v>111</v>
      </c>
      <c r="B95" s="124" t="s">
        <v>52</v>
      </c>
      <c r="C95" s="124">
        <v>51555165</v>
      </c>
      <c r="D95" s="125" t="s">
        <v>53</v>
      </c>
      <c r="E95" s="124">
        <v>1200</v>
      </c>
      <c r="F95" s="30">
        <v>847.39700000000005</v>
      </c>
      <c r="G95" s="30">
        <v>857.13520000000005</v>
      </c>
      <c r="H95" s="18">
        <f t="shared" si="4"/>
        <v>11685.840000000007</v>
      </c>
      <c r="I95" s="51" t="s">
        <v>27</v>
      </c>
      <c r="J95" s="52"/>
    </row>
    <row r="96" spans="1:10" ht="15.75" x14ac:dyDescent="0.25">
      <c r="A96" s="113" t="s">
        <v>112</v>
      </c>
      <c r="B96" s="124" t="s">
        <v>52</v>
      </c>
      <c r="C96" s="106">
        <v>51431346</v>
      </c>
      <c r="D96" s="114" t="s">
        <v>37</v>
      </c>
      <c r="E96" s="114">
        <v>600</v>
      </c>
      <c r="F96" s="30">
        <v>351.88</v>
      </c>
      <c r="G96" s="30">
        <v>354.19920000000002</v>
      </c>
      <c r="H96" s="115">
        <f t="shared" si="4"/>
        <v>1391.5200000000141</v>
      </c>
      <c r="I96" s="116"/>
      <c r="J96" s="117"/>
    </row>
    <row r="97" spans="1:10" ht="15.75" x14ac:dyDescent="0.25">
      <c r="A97" s="27" t="s">
        <v>113</v>
      </c>
      <c r="B97" s="124" t="s">
        <v>52</v>
      </c>
      <c r="C97" s="106">
        <v>51431352</v>
      </c>
      <c r="D97" s="88" t="s">
        <v>21</v>
      </c>
      <c r="E97" s="124">
        <v>3600</v>
      </c>
      <c r="F97" s="21">
        <v>230.321</v>
      </c>
      <c r="G97" s="21">
        <v>232.16470000000001</v>
      </c>
      <c r="H97" s="18">
        <f t="shared" si="4"/>
        <v>6637.3200000000452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20422.800000000221</v>
      </c>
      <c r="I98" s="51"/>
      <c r="J98" s="52"/>
    </row>
    <row r="99" spans="1:10" ht="15.75" x14ac:dyDescent="0.25">
      <c r="A99" s="45" t="s">
        <v>114</v>
      </c>
      <c r="B99" s="124" t="s">
        <v>52</v>
      </c>
      <c r="C99" s="120">
        <v>51431357</v>
      </c>
      <c r="D99" s="125" t="s">
        <v>63</v>
      </c>
      <c r="E99" s="125">
        <v>14000</v>
      </c>
      <c r="F99" s="28">
        <v>837.26700000000005</v>
      </c>
      <c r="G99" s="28">
        <v>840.79</v>
      </c>
      <c r="H99" s="121">
        <f t="shared" si="4"/>
        <v>49321.999999998749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opLeftCell="C64" zoomScale="85" zoomScaleNormal="85" workbookViewId="0">
      <selection activeCell="H98" sqref="H98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116</v>
      </c>
      <c r="G2" s="4" t="s">
        <v>117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26" t="s">
        <v>13</v>
      </c>
      <c r="C4" s="126">
        <v>51555166</v>
      </c>
      <c r="D4" s="126" t="s">
        <v>14</v>
      </c>
      <c r="E4" s="126">
        <v>132000</v>
      </c>
      <c r="F4" s="17">
        <v>3.5874000000000001</v>
      </c>
      <c r="G4" s="17">
        <v>3.5954999999999999</v>
      </c>
      <c r="H4" s="18">
        <f>(G4-F4)*E4</f>
        <v>1069.1999999999703</v>
      </c>
      <c r="I4" s="19"/>
      <c r="J4" s="20"/>
    </row>
    <row r="5" spans="1:10" ht="15.75" x14ac:dyDescent="0.25">
      <c r="A5" s="15" t="s">
        <v>15</v>
      </c>
      <c r="B5" s="126" t="s">
        <v>13</v>
      </c>
      <c r="C5" s="126">
        <v>51555191</v>
      </c>
      <c r="D5" s="126" t="s">
        <v>14</v>
      </c>
      <c r="E5" s="126">
        <v>132000</v>
      </c>
      <c r="F5" s="21">
        <v>374.31220000000002</v>
      </c>
      <c r="G5" s="21">
        <v>376.29719999999998</v>
      </c>
      <c r="H5" s="18">
        <f>(G5-F5)*E5</f>
        <v>262019.9999999943</v>
      </c>
      <c r="I5" s="19"/>
      <c r="J5" s="20"/>
    </row>
    <row r="6" spans="1:10" ht="15.75" x14ac:dyDescent="0.25">
      <c r="A6" s="218" t="s">
        <v>16</v>
      </c>
      <c r="B6" s="219"/>
      <c r="C6" s="126"/>
      <c r="D6" s="127"/>
      <c r="E6" s="126"/>
      <c r="H6" s="23">
        <f>H4+H5</f>
        <v>263089.19999999425</v>
      </c>
      <c r="I6" s="24">
        <f>H6-H9-H19</f>
        <v>1921.7999999936728</v>
      </c>
      <c r="J6" s="25">
        <f>I6/H6</f>
        <v>7.3047468310889034E-3</v>
      </c>
    </row>
    <row r="7" spans="1:10" ht="15.75" x14ac:dyDescent="0.25">
      <c r="A7" s="26" t="s">
        <v>17</v>
      </c>
      <c r="B7" s="126" t="s">
        <v>13</v>
      </c>
      <c r="C7" s="126">
        <v>51097629</v>
      </c>
      <c r="D7" s="127" t="s">
        <v>14</v>
      </c>
      <c r="E7" s="126">
        <v>42000</v>
      </c>
      <c r="F7" s="21">
        <v>1110.4429</v>
      </c>
      <c r="G7" s="21">
        <v>1114.8667</v>
      </c>
      <c r="H7" s="18">
        <f>(G7-F7)*E7</f>
        <v>185799.6000000012</v>
      </c>
      <c r="I7" s="19"/>
      <c r="J7" s="20"/>
    </row>
    <row r="8" spans="1:10" ht="15.75" x14ac:dyDescent="0.25">
      <c r="A8" s="26" t="s">
        <v>18</v>
      </c>
      <c r="B8" s="126" t="s">
        <v>13</v>
      </c>
      <c r="C8" s="126">
        <v>51616820</v>
      </c>
      <c r="D8" s="127" t="s">
        <v>14</v>
      </c>
      <c r="E8" s="126">
        <v>42000</v>
      </c>
      <c r="F8" s="21">
        <v>6.3319000000000001</v>
      </c>
      <c r="G8" s="21">
        <v>6.3438999999999997</v>
      </c>
      <c r="H8" s="18">
        <f>(G8-F8)*E8</f>
        <v>503.99999999998181</v>
      </c>
      <c r="I8" s="19"/>
      <c r="J8" s="20"/>
    </row>
    <row r="9" spans="1:10" ht="15.75" x14ac:dyDescent="0.25">
      <c r="A9" s="218" t="s">
        <v>19</v>
      </c>
      <c r="B9" s="219"/>
      <c r="C9" s="126"/>
      <c r="D9" s="127"/>
      <c r="E9" s="126"/>
      <c r="F9" s="21"/>
      <c r="G9" s="21"/>
      <c r="H9" s="23">
        <f>H7+H8</f>
        <v>186303.60000000117</v>
      </c>
      <c r="I9" s="24">
        <f>H9-H16</f>
        <v>86.100000002043089</v>
      </c>
      <c r="J9" s="25">
        <f>I9/H9</f>
        <v>4.6214887958172869E-4</v>
      </c>
    </row>
    <row r="10" spans="1:10" ht="15.75" x14ac:dyDescent="0.25">
      <c r="A10" s="27" t="s">
        <v>20</v>
      </c>
      <c r="B10" s="126" t="s">
        <v>13</v>
      </c>
      <c r="C10" s="126">
        <v>51217286</v>
      </c>
      <c r="D10" s="127" t="s">
        <v>21</v>
      </c>
      <c r="E10" s="126">
        <v>21000</v>
      </c>
      <c r="F10" s="21">
        <v>874.30020000000002</v>
      </c>
      <c r="G10" s="21">
        <v>877.44069999999999</v>
      </c>
      <c r="H10" s="18">
        <f t="shared" ref="H10:H15" si="0">(G10-F10)*E10</f>
        <v>65950.499999999462</v>
      </c>
      <c r="I10" s="19"/>
      <c r="J10" s="20"/>
    </row>
    <row r="11" spans="1:10" ht="15.75" x14ac:dyDescent="0.25">
      <c r="A11" s="27" t="s">
        <v>22</v>
      </c>
      <c r="B11" s="126" t="s">
        <v>13</v>
      </c>
      <c r="C11" s="126">
        <v>51217292</v>
      </c>
      <c r="D11" s="127" t="s">
        <v>21</v>
      </c>
      <c r="E11" s="126">
        <v>21000</v>
      </c>
      <c r="F11" s="28">
        <v>3.8879000000000001</v>
      </c>
      <c r="G11" s="28">
        <v>3.8935</v>
      </c>
      <c r="H11" s="18">
        <f>(G11-F11)*E11</f>
        <v>117.59999999999637</v>
      </c>
      <c r="I11" s="19"/>
      <c r="J11" s="20"/>
    </row>
    <row r="12" spans="1:10" ht="15.75" x14ac:dyDescent="0.25">
      <c r="A12" s="27" t="s">
        <v>23</v>
      </c>
      <c r="B12" s="126" t="s">
        <v>13</v>
      </c>
      <c r="C12" s="126">
        <v>51217271</v>
      </c>
      <c r="D12" s="127" t="s">
        <v>21</v>
      </c>
      <c r="E12" s="126">
        <v>21000</v>
      </c>
      <c r="F12" s="21">
        <v>649.16420000000005</v>
      </c>
      <c r="G12" s="21">
        <v>652.04690000000005</v>
      </c>
      <c r="H12" s="18">
        <f t="shared" si="0"/>
        <v>60536.7</v>
      </c>
      <c r="I12" s="19"/>
      <c r="J12" s="20"/>
    </row>
    <row r="13" spans="1:10" ht="15.75" x14ac:dyDescent="0.25">
      <c r="A13" s="27" t="s">
        <v>24</v>
      </c>
      <c r="B13" s="126" t="s">
        <v>13</v>
      </c>
      <c r="C13" s="126">
        <v>51217276</v>
      </c>
      <c r="D13" s="127" t="s">
        <v>21</v>
      </c>
      <c r="E13" s="126">
        <v>21000</v>
      </c>
      <c r="F13" s="28">
        <v>0.56999999999999995</v>
      </c>
      <c r="G13" s="28">
        <v>0.57020000000000004</v>
      </c>
      <c r="H13" s="18">
        <f>(G13-F13)*E13</f>
        <v>4.2000000000018689</v>
      </c>
      <c r="I13" s="19"/>
      <c r="J13" s="20"/>
    </row>
    <row r="14" spans="1:10" ht="15.75" x14ac:dyDescent="0.25">
      <c r="A14" s="27" t="s">
        <v>25</v>
      </c>
      <c r="B14" s="126" t="s">
        <v>13</v>
      </c>
      <c r="C14" s="126">
        <v>51100990</v>
      </c>
      <c r="D14" s="127" t="s">
        <v>21</v>
      </c>
      <c r="E14" s="126">
        <v>21000</v>
      </c>
      <c r="F14" s="29">
        <v>704.45929999999998</v>
      </c>
      <c r="G14" s="29">
        <v>707.28589999999997</v>
      </c>
      <c r="H14" s="18">
        <f t="shared" si="0"/>
        <v>59358.599999999686</v>
      </c>
      <c r="I14" s="19"/>
      <c r="J14" s="20"/>
    </row>
    <row r="15" spans="1:10" ht="15.75" x14ac:dyDescent="0.25">
      <c r="A15" s="27" t="s">
        <v>26</v>
      </c>
      <c r="B15" s="126" t="s">
        <v>13</v>
      </c>
      <c r="C15" s="126">
        <v>51097622</v>
      </c>
      <c r="D15" s="127" t="s">
        <v>21</v>
      </c>
      <c r="E15" s="126">
        <v>21000</v>
      </c>
      <c r="F15" s="21">
        <v>3.6983999999999999</v>
      </c>
      <c r="G15" s="21">
        <v>3.7103000000000002</v>
      </c>
      <c r="H15" s="18">
        <f t="shared" si="0"/>
        <v>249.90000000000512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26"/>
      <c r="D16" s="127"/>
      <c r="E16" s="126"/>
      <c r="F16" s="21"/>
      <c r="G16" s="21"/>
      <c r="H16" s="23">
        <f>H10+H11+H12+H13+H14+H15</f>
        <v>186217.49999999913</v>
      </c>
      <c r="I16" s="19"/>
      <c r="J16" s="20"/>
    </row>
    <row r="17" spans="1:10" ht="15.75" x14ac:dyDescent="0.25">
      <c r="A17" s="26" t="s">
        <v>29</v>
      </c>
      <c r="B17" s="126" t="s">
        <v>13</v>
      </c>
      <c r="C17" s="126">
        <v>51097617</v>
      </c>
      <c r="D17" s="127" t="s">
        <v>30</v>
      </c>
      <c r="E17" s="126">
        <v>18000</v>
      </c>
      <c r="F17" s="30">
        <v>857.2568</v>
      </c>
      <c r="G17" s="30">
        <v>861.41589999999997</v>
      </c>
      <c r="H17" s="18">
        <f>(G17-F17)*E17</f>
        <v>74863.799999999406</v>
      </c>
      <c r="I17" s="19"/>
      <c r="J17" s="20"/>
    </row>
    <row r="18" spans="1:10" ht="15.75" x14ac:dyDescent="0.25">
      <c r="A18" s="26" t="s">
        <v>31</v>
      </c>
      <c r="B18" s="126" t="s">
        <v>13</v>
      </c>
      <c r="C18" s="126">
        <v>51097655</v>
      </c>
      <c r="D18" s="127" t="s">
        <v>30</v>
      </c>
      <c r="E18" s="126">
        <v>18000</v>
      </c>
      <c r="F18" s="30">
        <v>8.2071000000000005</v>
      </c>
      <c r="G18" s="30">
        <v>8.2071000000000005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26"/>
      <c r="D19" s="127"/>
      <c r="E19" s="126"/>
      <c r="F19" s="30"/>
      <c r="G19" s="30"/>
      <c r="H19" s="23">
        <f>H17+H18</f>
        <v>74863.799999999406</v>
      </c>
      <c r="I19" s="24">
        <f>H19-H34</f>
        <v>2162.4000000000378</v>
      </c>
      <c r="J19" s="25">
        <f>I19/H19</f>
        <v>2.8884454168771223E-2</v>
      </c>
    </row>
    <row r="20" spans="1:10" ht="15.75" x14ac:dyDescent="0.25">
      <c r="A20" s="15" t="s">
        <v>33</v>
      </c>
      <c r="B20" s="126" t="s">
        <v>13</v>
      </c>
      <c r="C20" s="126">
        <v>51217282</v>
      </c>
      <c r="D20" s="127" t="s">
        <v>34</v>
      </c>
      <c r="E20" s="126">
        <v>4800</v>
      </c>
      <c r="F20" s="21">
        <v>382.35140000000001</v>
      </c>
      <c r="G20" s="21">
        <v>382.39749999999998</v>
      </c>
      <c r="H20" s="18">
        <f t="shared" ref="H20:H33" si="1">(G20-F20)*E20</f>
        <v>221.2799999998424</v>
      </c>
      <c r="I20" s="19" t="s">
        <v>27</v>
      </c>
      <c r="J20" s="20"/>
    </row>
    <row r="21" spans="1:10" ht="15.75" x14ac:dyDescent="0.25">
      <c r="A21" s="15" t="s">
        <v>35</v>
      </c>
      <c r="B21" s="126" t="s">
        <v>13</v>
      </c>
      <c r="C21" s="126">
        <v>51217274</v>
      </c>
      <c r="D21" s="127" t="s">
        <v>34</v>
      </c>
      <c r="E21" s="126">
        <v>4800</v>
      </c>
      <c r="F21" s="21">
        <v>1339.0804000000001</v>
      </c>
      <c r="G21" s="21">
        <v>1345.0239999999999</v>
      </c>
      <c r="H21" s="18">
        <f t="shared" si="1"/>
        <v>28529.279999999198</v>
      </c>
      <c r="I21" s="19"/>
      <c r="J21" s="20"/>
    </row>
    <row r="22" spans="1:10" ht="15.75" x14ac:dyDescent="0.25">
      <c r="A22" s="15" t="s">
        <v>36</v>
      </c>
      <c r="B22" s="126" t="s">
        <v>13</v>
      </c>
      <c r="C22" s="126">
        <v>51097664</v>
      </c>
      <c r="D22" s="127" t="s">
        <v>37</v>
      </c>
      <c r="E22" s="126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26" t="s">
        <v>13</v>
      </c>
      <c r="C23" s="126">
        <v>51097615</v>
      </c>
      <c r="D23" s="127" t="s">
        <v>37</v>
      </c>
      <c r="E23" s="126">
        <v>600</v>
      </c>
      <c r="F23" s="21">
        <v>43.777900000000002</v>
      </c>
      <c r="G23" s="21">
        <v>44.070500000000003</v>
      </c>
      <c r="H23" s="18">
        <f t="shared" si="1"/>
        <v>175.56000000000012</v>
      </c>
      <c r="I23" s="19"/>
      <c r="J23" s="20"/>
    </row>
    <row r="24" spans="1:10" ht="15.75" x14ac:dyDescent="0.25">
      <c r="A24" s="15" t="s">
        <v>39</v>
      </c>
      <c r="B24" s="126" t="s">
        <v>13</v>
      </c>
      <c r="C24" s="126">
        <v>51217264</v>
      </c>
      <c r="D24" s="127" t="s">
        <v>37</v>
      </c>
      <c r="E24" s="126">
        <v>600</v>
      </c>
      <c r="F24" s="21">
        <v>103.02249999999999</v>
      </c>
      <c r="G24" s="21">
        <v>103.6108</v>
      </c>
      <c r="H24" s="18">
        <f t="shared" si="1"/>
        <v>352.98000000000229</v>
      </c>
      <c r="I24" s="19"/>
      <c r="J24" s="20"/>
    </row>
    <row r="25" spans="1:10" ht="15.75" x14ac:dyDescent="0.25">
      <c r="A25" s="15" t="s">
        <v>40</v>
      </c>
      <c r="B25" s="126" t="s">
        <v>13</v>
      </c>
      <c r="C25" s="126">
        <v>51217288</v>
      </c>
      <c r="D25" s="127" t="s">
        <v>37</v>
      </c>
      <c r="E25" s="126">
        <v>600</v>
      </c>
      <c r="F25" s="21">
        <v>20.4221</v>
      </c>
      <c r="G25" s="21">
        <v>20.452999999999999</v>
      </c>
      <c r="H25" s="18">
        <f t="shared" si="1"/>
        <v>18.539999999999424</v>
      </c>
      <c r="I25" s="19" t="s">
        <v>27</v>
      </c>
      <c r="J25" s="20"/>
    </row>
    <row r="26" spans="1:10" ht="15.75" x14ac:dyDescent="0.25">
      <c r="A26" s="15" t="s">
        <v>41</v>
      </c>
      <c r="B26" s="126" t="s">
        <v>13</v>
      </c>
      <c r="C26" s="126">
        <v>51217279</v>
      </c>
      <c r="D26" s="127" t="s">
        <v>37</v>
      </c>
      <c r="E26" s="126">
        <v>600</v>
      </c>
      <c r="F26" s="21">
        <v>15.21</v>
      </c>
      <c r="G26" s="21">
        <v>15.2639</v>
      </c>
      <c r="H26" s="18">
        <f t="shared" si="1"/>
        <v>32.339999999999236</v>
      </c>
      <c r="I26" s="19" t="s">
        <v>27</v>
      </c>
      <c r="J26" s="20"/>
    </row>
    <row r="27" spans="1:10" ht="15.75" x14ac:dyDescent="0.25">
      <c r="A27" s="15" t="s">
        <v>42</v>
      </c>
      <c r="B27" s="126" t="s">
        <v>13</v>
      </c>
      <c r="C27" s="126">
        <v>51217272</v>
      </c>
      <c r="D27" s="127" t="s">
        <v>37</v>
      </c>
      <c r="E27" s="126">
        <v>600</v>
      </c>
      <c r="F27" s="31">
        <v>14.918200000000001</v>
      </c>
      <c r="G27" s="31">
        <v>14.9711</v>
      </c>
      <c r="H27" s="18">
        <f t="shared" si="1"/>
        <v>31.739999999999569</v>
      </c>
      <c r="I27" s="19"/>
      <c r="J27" s="20"/>
    </row>
    <row r="28" spans="1:10" ht="15.75" x14ac:dyDescent="0.25">
      <c r="A28" s="15" t="s">
        <v>43</v>
      </c>
      <c r="B28" s="126" t="s">
        <v>13</v>
      </c>
      <c r="C28" s="126">
        <v>51616744</v>
      </c>
      <c r="D28" s="127">
        <f>300/5</f>
        <v>60</v>
      </c>
      <c r="E28" s="126">
        <v>3600</v>
      </c>
      <c r="F28" s="31">
        <v>109.78489999999999</v>
      </c>
      <c r="G28" s="31">
        <v>109.78489999999999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26" t="s">
        <v>13</v>
      </c>
      <c r="C29" s="126">
        <v>51555226</v>
      </c>
      <c r="D29" s="127">
        <f>300/5</f>
        <v>60</v>
      </c>
      <c r="E29" s="126">
        <v>3600</v>
      </c>
      <c r="F29" s="31">
        <v>512.87120000000004</v>
      </c>
      <c r="G29" s="31">
        <v>516.67960000000005</v>
      </c>
      <c r="H29" s="18">
        <f>(G29-F29)*E29</f>
        <v>13710.240000000022</v>
      </c>
      <c r="I29" s="19"/>
      <c r="J29" s="20"/>
    </row>
    <row r="30" spans="1:10" ht="15.75" x14ac:dyDescent="0.25">
      <c r="A30" s="15" t="s">
        <v>45</v>
      </c>
      <c r="B30" s="126" t="s">
        <v>13</v>
      </c>
      <c r="C30" s="126">
        <v>51097658</v>
      </c>
      <c r="D30" s="127" t="s">
        <v>34</v>
      </c>
      <c r="E30" s="126">
        <v>4800</v>
      </c>
      <c r="F30" s="31">
        <v>665.09439999999995</v>
      </c>
      <c r="G30" s="31">
        <v>668.75440000000003</v>
      </c>
      <c r="H30" s="18">
        <f t="shared" si="1"/>
        <v>17568.000000000393</v>
      </c>
      <c r="I30" s="19"/>
      <c r="J30" s="20"/>
    </row>
    <row r="31" spans="1:10" ht="15.75" x14ac:dyDescent="0.25">
      <c r="A31" s="15" t="s">
        <v>46</v>
      </c>
      <c r="B31" s="126" t="s">
        <v>13</v>
      </c>
      <c r="C31" s="126">
        <v>51097635</v>
      </c>
      <c r="D31" s="127" t="s">
        <v>34</v>
      </c>
      <c r="E31" s="126">
        <v>4800</v>
      </c>
      <c r="F31" s="31">
        <v>48.466000000000001</v>
      </c>
      <c r="G31" s="31">
        <v>48.467399999999998</v>
      </c>
      <c r="H31" s="18">
        <f t="shared" si="1"/>
        <v>6.7199999999843385</v>
      </c>
      <c r="I31" s="19"/>
      <c r="J31" s="20"/>
    </row>
    <row r="32" spans="1:10" ht="15.75" x14ac:dyDescent="0.25">
      <c r="A32" s="15" t="s">
        <v>47</v>
      </c>
      <c r="B32" s="126" t="s">
        <v>13</v>
      </c>
      <c r="C32" s="32">
        <v>51097633</v>
      </c>
      <c r="D32" s="127" t="s">
        <v>34</v>
      </c>
      <c r="E32" s="126">
        <v>4800</v>
      </c>
      <c r="F32" s="31">
        <v>179.435</v>
      </c>
      <c r="G32" s="31">
        <v>181.86259999999999</v>
      </c>
      <c r="H32" s="33">
        <f t="shared" si="1"/>
        <v>11652.479999999923</v>
      </c>
      <c r="I32" s="34"/>
      <c r="J32" s="35"/>
    </row>
    <row r="33" spans="1:10" ht="15.75" x14ac:dyDescent="0.25">
      <c r="A33" s="15" t="s">
        <v>48</v>
      </c>
      <c r="B33" s="126" t="s">
        <v>13</v>
      </c>
      <c r="C33" s="32">
        <v>51097662</v>
      </c>
      <c r="D33" s="127" t="s">
        <v>34</v>
      </c>
      <c r="E33" s="126">
        <v>4800</v>
      </c>
      <c r="F33" s="31">
        <v>3.7378999999999998</v>
      </c>
      <c r="G33" s="31">
        <v>3.8216999999999999</v>
      </c>
      <c r="H33" s="33">
        <f t="shared" si="1"/>
        <v>402.24000000000046</v>
      </c>
      <c r="I33" s="34"/>
      <c r="J33" s="35"/>
    </row>
    <row r="34" spans="1:10" ht="15.75" x14ac:dyDescent="0.25">
      <c r="A34" s="218" t="s">
        <v>49</v>
      </c>
      <c r="B34" s="219"/>
      <c r="C34" s="126"/>
      <c r="D34" s="127"/>
      <c r="E34" s="126"/>
      <c r="F34" s="36"/>
      <c r="G34" s="36"/>
      <c r="H34" s="23">
        <f>H20+H21+H22+H23+H24+H25+H26+H27+H28+H29+H30+H31+H32+H33</f>
        <v>72701.399999999368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26" t="s">
        <v>52</v>
      </c>
      <c r="C36" s="126">
        <v>51555209</v>
      </c>
      <c r="D36" s="127" t="s">
        <v>53</v>
      </c>
      <c r="E36" s="126">
        <v>7000</v>
      </c>
      <c r="F36" s="17">
        <v>5.9231999999999996</v>
      </c>
      <c r="G36" s="17">
        <v>5.9648000000000003</v>
      </c>
      <c r="H36" s="41">
        <f>(G36-F36)*E36</f>
        <v>291.20000000000522</v>
      </c>
      <c r="I36" s="42"/>
      <c r="J36" s="14"/>
    </row>
    <row r="37" spans="1:10" ht="15.75" x14ac:dyDescent="0.25">
      <c r="A37" s="15" t="s">
        <v>54</v>
      </c>
      <c r="B37" s="126" t="s">
        <v>52</v>
      </c>
      <c r="C37" s="126">
        <v>51555209</v>
      </c>
      <c r="D37" s="127" t="s">
        <v>53</v>
      </c>
      <c r="E37" s="126">
        <v>7000</v>
      </c>
      <c r="F37" s="21">
        <v>10.320600000000001</v>
      </c>
      <c r="G37" s="21">
        <v>10.3598</v>
      </c>
      <c r="H37" s="18">
        <f>(G37-F37)*E37</f>
        <v>274.39999999999463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26" t="s">
        <v>52</v>
      </c>
      <c r="C39" s="126">
        <v>51097674</v>
      </c>
      <c r="D39" s="126" t="s">
        <v>14</v>
      </c>
      <c r="E39" s="126">
        <v>7200</v>
      </c>
      <c r="F39" s="21">
        <v>597.13279999999997</v>
      </c>
      <c r="G39" s="21">
        <v>599.52560000000005</v>
      </c>
      <c r="H39" s="18">
        <f>(G39-F39)*E39</f>
        <v>17228.160000000571</v>
      </c>
      <c r="I39" s="47"/>
      <c r="J39" s="20"/>
    </row>
    <row r="40" spans="1:10" ht="15.75" x14ac:dyDescent="0.25">
      <c r="A40" s="27" t="s">
        <v>57</v>
      </c>
      <c r="B40" s="126" t="s">
        <v>52</v>
      </c>
      <c r="C40" s="126">
        <v>51259257</v>
      </c>
      <c r="D40" s="126" t="s">
        <v>14</v>
      </c>
      <c r="E40" s="126">
        <v>7200</v>
      </c>
      <c r="F40" s="21">
        <v>1.0549999999999999</v>
      </c>
      <c r="G40" s="21">
        <v>1.0549999999999999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26"/>
      <c r="C41" s="126"/>
      <c r="D41" s="126"/>
      <c r="E41" s="126"/>
      <c r="F41" s="21"/>
      <c r="G41" s="21"/>
      <c r="H41" s="48">
        <f>H39+H40</f>
        <v>17228.160000000571</v>
      </c>
      <c r="I41" s="24">
        <f>H41-H49</f>
        <v>-123.55999999950654</v>
      </c>
      <c r="J41" s="25">
        <f>I41/H41</f>
        <v>-7.1719788996330684E-3</v>
      </c>
    </row>
    <row r="42" spans="1:10" ht="15.75" x14ac:dyDescent="0.25">
      <c r="A42" s="15" t="s">
        <v>59</v>
      </c>
      <c r="B42" s="126"/>
      <c r="C42" s="126"/>
      <c r="D42" s="127"/>
      <c r="E42" s="126"/>
      <c r="H42" s="18"/>
      <c r="I42" s="43"/>
      <c r="J42" s="20"/>
    </row>
    <row r="43" spans="1:10" ht="15.75" x14ac:dyDescent="0.25">
      <c r="A43" s="27" t="s">
        <v>60</v>
      </c>
      <c r="B43" s="126" t="s">
        <v>52</v>
      </c>
      <c r="C43" s="32">
        <v>51097648</v>
      </c>
      <c r="D43" s="126" t="s">
        <v>53</v>
      </c>
      <c r="E43" s="126">
        <v>1200</v>
      </c>
      <c r="F43" s="21">
        <v>488.78440000000001</v>
      </c>
      <c r="G43" s="21">
        <v>490.67970000000003</v>
      </c>
      <c r="H43" s="33">
        <f>(G43-F43)*E43</f>
        <v>2274.3600000000242</v>
      </c>
      <c r="I43" s="43"/>
      <c r="J43" s="20"/>
    </row>
    <row r="44" spans="1:10" ht="15.75" x14ac:dyDescent="0.25">
      <c r="A44" s="27" t="s">
        <v>61</v>
      </c>
      <c r="B44" s="126" t="s">
        <v>52</v>
      </c>
      <c r="C44" s="32">
        <v>50555043</v>
      </c>
      <c r="D44" s="126" t="s">
        <v>53</v>
      </c>
      <c r="E44" s="126">
        <v>1200</v>
      </c>
      <c r="F44" s="21">
        <v>2045.2833000000001</v>
      </c>
      <c r="G44" s="21">
        <v>2053.3951000000002</v>
      </c>
      <c r="H44" s="33">
        <f>(G44-F44)*E44</f>
        <v>9734.1600000001563</v>
      </c>
      <c r="I44" s="43"/>
      <c r="J44" s="20"/>
    </row>
    <row r="45" spans="1:10" ht="15.75" x14ac:dyDescent="0.25">
      <c r="A45" s="27" t="s">
        <v>62</v>
      </c>
      <c r="B45" s="126" t="s">
        <v>52</v>
      </c>
      <c r="C45" s="32">
        <v>51259336</v>
      </c>
      <c r="D45" s="126" t="s">
        <v>63</v>
      </c>
      <c r="E45" s="126">
        <v>2400</v>
      </c>
      <c r="F45" s="21">
        <v>4.1470000000000002</v>
      </c>
      <c r="G45" s="21">
        <v>4.1605999999999996</v>
      </c>
      <c r="H45" s="33">
        <f>(G45-F45)*E45</f>
        <v>32.639999999998537</v>
      </c>
      <c r="I45" s="43"/>
      <c r="J45" s="20"/>
    </row>
    <row r="46" spans="1:10" ht="15.75" x14ac:dyDescent="0.25">
      <c r="A46" s="27" t="s">
        <v>64</v>
      </c>
      <c r="B46" s="126" t="s">
        <v>52</v>
      </c>
      <c r="C46" s="32">
        <v>51259266</v>
      </c>
      <c r="D46" s="126" t="s">
        <v>53</v>
      </c>
      <c r="E46" s="126">
        <v>1200</v>
      </c>
      <c r="F46" s="21">
        <v>992.63440000000003</v>
      </c>
      <c r="G46" s="21">
        <v>996.63699999999994</v>
      </c>
      <c r="H46" s="33">
        <f>(G46-F46)*E46</f>
        <v>4803.1199999998989</v>
      </c>
      <c r="I46" s="43"/>
      <c r="J46" s="20"/>
    </row>
    <row r="47" spans="1:10" ht="15.75" x14ac:dyDescent="0.25">
      <c r="A47" s="27" t="s">
        <v>65</v>
      </c>
      <c r="B47" s="126" t="s">
        <v>52</v>
      </c>
      <c r="C47" s="32">
        <v>51431336</v>
      </c>
      <c r="D47" s="126" t="s">
        <v>53</v>
      </c>
      <c r="E47" s="126">
        <v>1200</v>
      </c>
      <c r="F47" s="21">
        <v>58.211100000000002</v>
      </c>
      <c r="G47" s="21">
        <v>58.592300000000002</v>
      </c>
      <c r="H47" s="33">
        <f>(G47-F47)*E47</f>
        <v>457.43999999999971</v>
      </c>
      <c r="I47" s="43"/>
      <c r="J47" s="20"/>
    </row>
    <row r="48" spans="1:10" ht="15.75" x14ac:dyDescent="0.25">
      <c r="A48" s="15" t="s">
        <v>66</v>
      </c>
      <c r="B48" s="126" t="s">
        <v>67</v>
      </c>
      <c r="C48" s="126">
        <v>49174</v>
      </c>
      <c r="D48" s="127" t="s">
        <v>53</v>
      </c>
      <c r="E48" s="126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17351.720000000078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26" t="s">
        <v>52</v>
      </c>
      <c r="C51" s="126">
        <v>51097603</v>
      </c>
      <c r="D51" s="127" t="s">
        <v>53</v>
      </c>
      <c r="E51" s="126">
        <v>7000</v>
      </c>
      <c r="F51" s="17">
        <v>1954.0775000000001</v>
      </c>
      <c r="G51" s="17">
        <v>1960.8358000000001</v>
      </c>
      <c r="H51" s="18">
        <f>(G51-F51)*E51</f>
        <v>47308.099999999744</v>
      </c>
      <c r="I51" s="43"/>
      <c r="J51" s="20"/>
    </row>
    <row r="52" spans="1:10" ht="15.75" x14ac:dyDescent="0.25">
      <c r="A52" s="27" t="s">
        <v>72</v>
      </c>
      <c r="B52" s="126" t="s">
        <v>52</v>
      </c>
      <c r="C52" s="126">
        <v>51097590</v>
      </c>
      <c r="D52" s="127" t="s">
        <v>53</v>
      </c>
      <c r="E52" s="126">
        <v>7000</v>
      </c>
      <c r="F52" s="21">
        <v>12.6884</v>
      </c>
      <c r="G52" s="21">
        <v>12.711499999999999</v>
      </c>
      <c r="H52" s="18">
        <f>(G52-F52)*E52</f>
        <v>161.69999999999618</v>
      </c>
      <c r="I52" s="43"/>
      <c r="J52" s="20"/>
    </row>
    <row r="53" spans="1:10" ht="15.75" x14ac:dyDescent="0.25">
      <c r="A53" s="15" t="s">
        <v>66</v>
      </c>
      <c r="B53" s="126" t="s">
        <v>67</v>
      </c>
      <c r="C53" s="126">
        <v>49174</v>
      </c>
      <c r="D53" s="127" t="s">
        <v>53</v>
      </c>
      <c r="E53" s="126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26"/>
      <c r="D54" s="127"/>
      <c r="E54" s="126"/>
      <c r="F54" s="21"/>
      <c r="G54" s="21"/>
      <c r="H54" s="48">
        <f>H51+H52+H53</f>
        <v>47569.799999999741</v>
      </c>
      <c r="I54" s="47"/>
      <c r="J54" s="59"/>
    </row>
    <row r="55" spans="1:10" ht="15.75" x14ac:dyDescent="0.25">
      <c r="A55" s="27" t="s">
        <v>74</v>
      </c>
      <c r="B55" s="126" t="s">
        <v>52</v>
      </c>
      <c r="C55" s="126">
        <v>51100980</v>
      </c>
      <c r="D55" s="126" t="s">
        <v>75</v>
      </c>
      <c r="E55" s="126">
        <v>12000</v>
      </c>
      <c r="F55" s="21">
        <v>1149.7263</v>
      </c>
      <c r="G55" s="21">
        <v>1153.681</v>
      </c>
      <c r="H55" s="18">
        <f>(G55-F55)*E55</f>
        <v>47456.400000000031</v>
      </c>
      <c r="I55" s="47"/>
      <c r="J55" s="58"/>
    </row>
    <row r="56" spans="1:10" ht="15.75" x14ac:dyDescent="0.25">
      <c r="A56" s="27" t="s">
        <v>76</v>
      </c>
      <c r="B56" s="126" t="s">
        <v>52</v>
      </c>
      <c r="C56" s="126">
        <v>51097623</v>
      </c>
      <c r="D56" s="126" t="s">
        <v>75</v>
      </c>
      <c r="E56" s="126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26"/>
      <c r="C57" s="126"/>
      <c r="D57" s="126"/>
      <c r="E57" s="126"/>
      <c r="F57" s="21"/>
      <c r="G57" s="21"/>
      <c r="H57" s="48">
        <f>H55+H56</f>
        <v>47456.400000000031</v>
      </c>
      <c r="I57" s="61">
        <f>H54-H64-H53</f>
        <v>-81.40000000022701</v>
      </c>
      <c r="J57" s="25">
        <f>I57/H57</f>
        <v>-1.7152586374066924E-3</v>
      </c>
    </row>
    <row r="58" spans="1:10" ht="15.75" x14ac:dyDescent="0.25">
      <c r="A58" s="27" t="s">
        <v>78</v>
      </c>
      <c r="B58" s="126" t="s">
        <v>52</v>
      </c>
      <c r="C58" s="126">
        <v>51097675</v>
      </c>
      <c r="D58" s="126" t="s">
        <v>34</v>
      </c>
      <c r="E58" s="126">
        <v>4800</v>
      </c>
      <c r="F58" s="21">
        <v>516.73339999999996</v>
      </c>
      <c r="G58" s="21">
        <v>519.7242</v>
      </c>
      <c r="H58" s="18">
        <f t="shared" ref="H58:H63" si="2">(G58-F58)*E58</f>
        <v>14355.840000000171</v>
      </c>
      <c r="I58" s="62"/>
      <c r="J58" s="59"/>
    </row>
    <row r="59" spans="1:10" ht="15.75" x14ac:dyDescent="0.25">
      <c r="A59" s="27" t="s">
        <v>79</v>
      </c>
      <c r="B59" s="126" t="s">
        <v>52</v>
      </c>
      <c r="C59" s="126">
        <v>51100997</v>
      </c>
      <c r="D59" s="126" t="s">
        <v>21</v>
      </c>
      <c r="E59" s="126">
        <v>3600</v>
      </c>
      <c r="F59" s="21">
        <v>1384.1385</v>
      </c>
      <c r="G59" s="21">
        <v>1386.9309000000001</v>
      </c>
      <c r="H59" s="18">
        <f t="shared" si="2"/>
        <v>10052.640000000156</v>
      </c>
      <c r="I59" s="62"/>
      <c r="J59" s="59"/>
    </row>
    <row r="60" spans="1:10" ht="15.75" x14ac:dyDescent="0.25">
      <c r="A60" s="27" t="s">
        <v>80</v>
      </c>
      <c r="B60" s="126" t="s">
        <v>52</v>
      </c>
      <c r="C60" s="126">
        <v>51555218</v>
      </c>
      <c r="D60" s="126">
        <f>400/5</f>
        <v>80</v>
      </c>
      <c r="E60" s="126">
        <v>4800</v>
      </c>
      <c r="F60" s="21">
        <v>65.474599999999995</v>
      </c>
      <c r="G60" s="21">
        <v>65.976299999999995</v>
      </c>
      <c r="H60" s="18">
        <f t="shared" si="2"/>
        <v>2408.159999999998</v>
      </c>
      <c r="I60" s="62"/>
      <c r="J60" s="59"/>
    </row>
    <row r="61" spans="1:10" ht="15.75" x14ac:dyDescent="0.25">
      <c r="A61" s="27" t="s">
        <v>81</v>
      </c>
      <c r="B61" s="126" t="s">
        <v>52</v>
      </c>
      <c r="C61" s="126">
        <v>51555151</v>
      </c>
      <c r="D61" s="126">
        <f>400/5</f>
        <v>80</v>
      </c>
      <c r="E61" s="126">
        <v>4800</v>
      </c>
      <c r="F61" s="63">
        <v>0.30690000000000001</v>
      </c>
      <c r="G61" s="63">
        <v>0.30690000000000001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26" t="s">
        <v>52</v>
      </c>
      <c r="C62" s="126">
        <v>51097599</v>
      </c>
      <c r="D62" s="126" t="s">
        <v>21</v>
      </c>
      <c r="E62" s="126">
        <v>3600</v>
      </c>
      <c r="F62" s="21">
        <v>968.31830000000002</v>
      </c>
      <c r="G62" s="21">
        <v>970.71669999999995</v>
      </c>
      <c r="H62" s="18">
        <f t="shared" si="2"/>
        <v>8634.2399999997269</v>
      </c>
      <c r="I62" s="62"/>
      <c r="J62" s="59"/>
    </row>
    <row r="63" spans="1:10" ht="15.75" x14ac:dyDescent="0.25">
      <c r="A63" s="27" t="s">
        <v>83</v>
      </c>
      <c r="B63" s="126" t="s">
        <v>52</v>
      </c>
      <c r="C63" s="126">
        <v>51097620</v>
      </c>
      <c r="D63" s="126" t="s">
        <v>34</v>
      </c>
      <c r="E63" s="126">
        <v>4800</v>
      </c>
      <c r="F63" s="21">
        <v>517.33889999999997</v>
      </c>
      <c r="G63" s="21">
        <v>519.85979999999995</v>
      </c>
      <c r="H63" s="18">
        <f t="shared" si="2"/>
        <v>12100.31999999992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47551.199999999968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26" t="s">
        <v>52</v>
      </c>
      <c r="C66" s="9">
        <v>51259238</v>
      </c>
      <c r="D66" s="74" t="s">
        <v>53</v>
      </c>
      <c r="E66" s="74">
        <v>7000</v>
      </c>
      <c r="F66" s="75">
        <v>561.59839999999997</v>
      </c>
      <c r="G66" s="75">
        <v>564.19560000000001</v>
      </c>
      <c r="H66" s="76">
        <f>(G66-F66)*E66</f>
        <v>18180.400000000303</v>
      </c>
      <c r="I66" s="77"/>
      <c r="J66" s="78"/>
    </row>
    <row r="67" spans="1:10" ht="15.75" x14ac:dyDescent="0.25">
      <c r="A67" s="27" t="s">
        <v>86</v>
      </c>
      <c r="B67" s="126" t="s">
        <v>52</v>
      </c>
      <c r="C67" s="126">
        <v>51259324</v>
      </c>
      <c r="D67" s="127" t="s">
        <v>53</v>
      </c>
      <c r="E67" s="127">
        <v>7000</v>
      </c>
      <c r="F67" s="21">
        <v>437.48950000000002</v>
      </c>
      <c r="G67" s="21">
        <v>439.57459999999998</v>
      </c>
      <c r="H67" s="18">
        <f>(G67-F67)*E67</f>
        <v>14595.699999999681</v>
      </c>
      <c r="I67" s="51"/>
      <c r="J67" s="58"/>
    </row>
    <row r="68" spans="1:10" s="129" customFormat="1" ht="15.75" x14ac:dyDescent="0.25">
      <c r="A68" s="27" t="s">
        <v>87</v>
      </c>
      <c r="B68" s="79" t="s">
        <v>88</v>
      </c>
      <c r="C68" s="126">
        <v>51491618</v>
      </c>
      <c r="D68" s="127" t="s">
        <v>63</v>
      </c>
      <c r="E68" s="126">
        <v>40</v>
      </c>
      <c r="F68" s="28">
        <v>1270.0395000000001</v>
      </c>
      <c r="G68" s="28">
        <v>1279.703</v>
      </c>
      <c r="H68" s="18">
        <f>(G68-F68)*E68</f>
        <v>386.53999999999542</v>
      </c>
      <c r="I68" s="51"/>
      <c r="J68" s="58"/>
    </row>
    <row r="69" spans="1:10" s="129" customFormat="1" ht="15.75" x14ac:dyDescent="0.25">
      <c r="A69" s="27" t="s">
        <v>89</v>
      </c>
      <c r="B69" s="79" t="s">
        <v>88</v>
      </c>
      <c r="C69" s="126">
        <v>51491624</v>
      </c>
      <c r="D69" s="127" t="s">
        <v>63</v>
      </c>
      <c r="E69" s="126">
        <v>40</v>
      </c>
      <c r="F69" s="28">
        <v>173.89250000000001</v>
      </c>
      <c r="G69" s="28">
        <v>174.667</v>
      </c>
      <c r="H69" s="18">
        <f>(G69-F69)*E69</f>
        <v>30.979999999999563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32776.099999999984</v>
      </c>
      <c r="I70" s="85">
        <f>H70-H73-H68-H69</f>
        <v>10.180000000817017</v>
      </c>
      <c r="J70" s="25">
        <f>I70/H70</f>
        <v>3.1059216931901665E-4</v>
      </c>
    </row>
    <row r="71" spans="1:10" ht="15.75" x14ac:dyDescent="0.25">
      <c r="A71" s="27" t="s">
        <v>91</v>
      </c>
      <c r="B71" s="126" t="s">
        <v>52</v>
      </c>
      <c r="C71" s="86">
        <v>51097588</v>
      </c>
      <c r="D71" s="127" t="s">
        <v>75</v>
      </c>
      <c r="E71" s="126">
        <v>12000</v>
      </c>
      <c r="F71" s="21">
        <v>336.54180000000002</v>
      </c>
      <c r="G71" s="21">
        <v>338.03199999999998</v>
      </c>
      <c r="H71" s="18">
        <f>(G71-F71)*E71</f>
        <v>17882.399999999507</v>
      </c>
      <c r="I71" s="51"/>
      <c r="J71" s="58"/>
    </row>
    <row r="72" spans="1:10" ht="15.75" x14ac:dyDescent="0.25">
      <c r="A72" s="27" t="s">
        <v>92</v>
      </c>
      <c r="B72" s="126" t="s">
        <v>52</v>
      </c>
      <c r="C72" s="86">
        <v>51431335</v>
      </c>
      <c r="D72" s="127" t="s">
        <v>75</v>
      </c>
      <c r="E72" s="126">
        <v>12000</v>
      </c>
      <c r="F72" s="21">
        <v>267.12130000000002</v>
      </c>
      <c r="G72" s="21">
        <v>268.32679999999999</v>
      </c>
      <c r="H72" s="18">
        <f>(G72-F72)*E72</f>
        <v>14465.999999999667</v>
      </c>
      <c r="I72" s="51"/>
      <c r="J72" s="58"/>
    </row>
    <row r="73" spans="1:10" ht="15.75" x14ac:dyDescent="0.25">
      <c r="A73" s="87" t="s">
        <v>93</v>
      </c>
      <c r="B73" s="126" t="s">
        <v>27</v>
      </c>
      <c r="C73" s="126"/>
      <c r="D73" s="127"/>
      <c r="E73" s="126"/>
      <c r="F73" s="21"/>
      <c r="G73" s="21"/>
      <c r="H73" s="48">
        <f>H71+ H72</f>
        <v>32348.399999999172</v>
      </c>
      <c r="I73" s="85">
        <f>H73-H81</f>
        <v>11.879999999247957</v>
      </c>
      <c r="J73" s="25">
        <f>I73/H73</f>
        <v>3.672515487396057E-4</v>
      </c>
    </row>
    <row r="74" spans="1:10" ht="15.75" x14ac:dyDescent="0.25">
      <c r="A74" s="27" t="s">
        <v>94</v>
      </c>
      <c r="B74" s="126" t="s">
        <v>52</v>
      </c>
      <c r="C74" s="86">
        <v>51097676</v>
      </c>
      <c r="D74" s="88" t="s">
        <v>63</v>
      </c>
      <c r="E74" s="126">
        <v>2400</v>
      </c>
      <c r="F74" s="21">
        <v>706.09159999999997</v>
      </c>
      <c r="G74" s="21">
        <v>709.31150000000002</v>
      </c>
      <c r="H74" s="18">
        <f>(G74-F74)*E74</f>
        <v>7727.7600000001257</v>
      </c>
      <c r="I74" s="51"/>
      <c r="J74" s="58"/>
    </row>
    <row r="75" spans="1:10" ht="15.75" x14ac:dyDescent="0.25">
      <c r="A75" s="27" t="s">
        <v>95</v>
      </c>
      <c r="B75" s="126" t="s">
        <v>52</v>
      </c>
      <c r="C75" s="86">
        <v>51431355</v>
      </c>
      <c r="D75" s="127" t="s">
        <v>21</v>
      </c>
      <c r="E75" s="127">
        <v>3600</v>
      </c>
      <c r="F75" s="21">
        <v>368.39909999999998</v>
      </c>
      <c r="G75" s="21">
        <v>369.77769999999998</v>
      </c>
      <c r="H75" s="18">
        <f>(G75-F75)*E75</f>
        <v>4962.960000000021</v>
      </c>
      <c r="I75" s="51"/>
      <c r="J75" s="52"/>
    </row>
    <row r="76" spans="1:10" ht="15.75" x14ac:dyDescent="0.25">
      <c r="A76" s="27" t="s">
        <v>96</v>
      </c>
      <c r="B76" s="126" t="s">
        <v>52</v>
      </c>
      <c r="C76" s="86">
        <v>51259331</v>
      </c>
      <c r="D76" s="88" t="s">
        <v>37</v>
      </c>
      <c r="E76" s="126">
        <v>600</v>
      </c>
      <c r="F76" s="21">
        <v>166.8099</v>
      </c>
      <c r="G76" s="21">
        <v>167.62209999999999</v>
      </c>
      <c r="H76" s="18">
        <f>(G76-F76)*E76</f>
        <v>487.31999999999402</v>
      </c>
      <c r="I76" s="51"/>
      <c r="J76" s="52"/>
    </row>
    <row r="77" spans="1:10" ht="15.75" x14ac:dyDescent="0.25">
      <c r="A77" s="27" t="s">
        <v>97</v>
      </c>
      <c r="B77" s="126" t="s">
        <v>52</v>
      </c>
      <c r="C77" s="86">
        <v>51259326</v>
      </c>
      <c r="D77" s="88" t="s">
        <v>14</v>
      </c>
      <c r="E77" s="126">
        <v>7200</v>
      </c>
      <c r="F77" s="21">
        <v>334.1884</v>
      </c>
      <c r="G77" s="21">
        <v>335.60629999999998</v>
      </c>
      <c r="H77" s="18">
        <f>(G77-F77)*E77</f>
        <v>10208.879999999817</v>
      </c>
      <c r="I77" s="51"/>
      <c r="J77" s="52"/>
    </row>
    <row r="78" spans="1:10" ht="15.75" x14ac:dyDescent="0.25">
      <c r="A78" s="27" t="s">
        <v>98</v>
      </c>
      <c r="B78" s="126" t="s">
        <v>52</v>
      </c>
      <c r="C78" s="86">
        <v>51431351</v>
      </c>
      <c r="D78" s="88" t="s">
        <v>14</v>
      </c>
      <c r="E78" s="126">
        <v>7200</v>
      </c>
      <c r="F78" s="21">
        <v>240.36619999999999</v>
      </c>
      <c r="G78" s="21">
        <v>241.60919999999999</v>
      </c>
      <c r="H78" s="18">
        <f>(G78-F78)*E78</f>
        <v>8949.599999999964</v>
      </c>
      <c r="I78" s="51"/>
      <c r="J78" s="52"/>
    </row>
    <row r="79" spans="1:10" ht="15.75" x14ac:dyDescent="0.25">
      <c r="A79" s="89" t="s">
        <v>99</v>
      </c>
      <c r="B79" s="126" t="s">
        <v>52</v>
      </c>
      <c r="C79" s="90">
        <v>51097666</v>
      </c>
      <c r="D79" s="88" t="s">
        <v>63</v>
      </c>
      <c r="E79" s="126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26" t="s">
        <v>52</v>
      </c>
      <c r="C80" s="90">
        <v>51259323</v>
      </c>
      <c r="D80" s="88" t="s">
        <v>63</v>
      </c>
      <c r="E80" s="126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32336.519999999924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26" t="s">
        <v>52</v>
      </c>
      <c r="C83" s="106">
        <v>51431297</v>
      </c>
      <c r="D83" s="127" t="s">
        <v>53</v>
      </c>
      <c r="E83" s="100">
        <v>7000</v>
      </c>
      <c r="F83" s="17">
        <v>283.35640000000001</v>
      </c>
      <c r="G83" s="17">
        <v>285.94839999999999</v>
      </c>
      <c r="H83" s="18">
        <f>(G83-F83)*E83</f>
        <v>18143.999999999891</v>
      </c>
      <c r="I83" s="107"/>
      <c r="J83" s="108"/>
    </row>
    <row r="84" spans="1:10" ht="15.75" x14ac:dyDescent="0.25">
      <c r="A84" s="105" t="s">
        <v>86</v>
      </c>
      <c r="B84" s="126" t="s">
        <v>52</v>
      </c>
      <c r="C84" s="106">
        <v>51431332</v>
      </c>
      <c r="D84" s="127" t="s">
        <v>53</v>
      </c>
      <c r="E84" s="100">
        <v>7000</v>
      </c>
      <c r="F84" s="17">
        <v>357.7894</v>
      </c>
      <c r="G84" s="17">
        <v>357.90559999999999</v>
      </c>
      <c r="H84" s="18">
        <f>(G84-F84)*E84</f>
        <v>813.39999999994461</v>
      </c>
      <c r="I84" s="126"/>
      <c r="J84" s="58"/>
    </row>
    <row r="85" spans="1:10" s="129" customFormat="1" ht="15.75" x14ac:dyDescent="0.25">
      <c r="A85" s="27" t="s">
        <v>87</v>
      </c>
      <c r="B85" s="126" t="s">
        <v>103</v>
      </c>
      <c r="C85" s="109">
        <v>150773</v>
      </c>
      <c r="D85" s="127" t="s">
        <v>53</v>
      </c>
      <c r="E85" s="109">
        <v>20</v>
      </c>
      <c r="F85" s="17">
        <v>15669.9</v>
      </c>
      <c r="G85" s="17">
        <v>15689.1</v>
      </c>
      <c r="H85" s="18">
        <f>(G85-F85)*E85</f>
        <v>384.00000000001455</v>
      </c>
      <c r="I85" s="51"/>
      <c r="J85" s="58"/>
    </row>
    <row r="86" spans="1:10" s="129" customFormat="1" ht="15.75" x14ac:dyDescent="0.25">
      <c r="A86" s="27" t="s">
        <v>89</v>
      </c>
      <c r="B86" s="126" t="s">
        <v>103</v>
      </c>
      <c r="C86" s="109">
        <v>150791</v>
      </c>
      <c r="D86" s="127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28"/>
      <c r="C87" s="32"/>
      <c r="D87" s="82"/>
      <c r="E87" s="82"/>
      <c r="F87" s="21"/>
      <c r="G87" s="21"/>
      <c r="H87" s="48">
        <f>H83+H84</f>
        <v>18957.399999999834</v>
      </c>
      <c r="I87" s="85">
        <f>H87-H90-H85-H86</f>
        <v>44.439999999722204</v>
      </c>
      <c r="J87" s="25">
        <f>I87/H87</f>
        <v>2.3442033190059076E-3</v>
      </c>
    </row>
    <row r="88" spans="1:10" ht="15.75" x14ac:dyDescent="0.25">
      <c r="A88" s="27" t="s">
        <v>104</v>
      </c>
      <c r="B88" s="126" t="s">
        <v>52</v>
      </c>
      <c r="C88" s="106">
        <v>51431342</v>
      </c>
      <c r="D88" s="88" t="s">
        <v>34</v>
      </c>
      <c r="E88" s="126">
        <v>4800</v>
      </c>
      <c r="F88" s="21">
        <v>402.3888</v>
      </c>
      <c r="G88" s="21">
        <v>406.12720000000002</v>
      </c>
      <c r="H88" s="18">
        <f>(G88-F88)*E88</f>
        <v>17944.320000000062</v>
      </c>
      <c r="I88" s="51"/>
      <c r="J88" s="52"/>
    </row>
    <row r="89" spans="1:10" ht="15.75" x14ac:dyDescent="0.25">
      <c r="A89" s="27" t="s">
        <v>105</v>
      </c>
      <c r="B89" s="126" t="s">
        <v>52</v>
      </c>
      <c r="C89" s="106">
        <v>51431343</v>
      </c>
      <c r="D89" s="88" t="s">
        <v>34</v>
      </c>
      <c r="E89" s="126">
        <v>4800</v>
      </c>
      <c r="F89" s="21">
        <v>505.33929999999998</v>
      </c>
      <c r="G89" s="21">
        <v>505.46109999999999</v>
      </c>
      <c r="H89" s="18">
        <f>(G89-F89)*E89</f>
        <v>584.6400000000358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18528.960000000097</v>
      </c>
      <c r="I90" s="85">
        <f>H90-H98</f>
        <v>-336.17999999974199</v>
      </c>
      <c r="J90" s="25">
        <f>I90/H90</f>
        <v>-1.8143489974598696E-2</v>
      </c>
    </row>
    <row r="91" spans="1:10" ht="15.75" x14ac:dyDescent="0.25">
      <c r="A91" s="27" t="s">
        <v>107</v>
      </c>
      <c r="B91" s="126" t="s">
        <v>52</v>
      </c>
      <c r="C91" s="106">
        <v>51431347</v>
      </c>
      <c r="D91" s="127" t="s">
        <v>53</v>
      </c>
      <c r="E91" s="126">
        <v>1200</v>
      </c>
      <c r="F91" s="21">
        <v>1202.1474000000001</v>
      </c>
      <c r="G91" s="21">
        <v>1202.1474000000001</v>
      </c>
      <c r="H91" s="18">
        <f>(G91-F91)*E91</f>
        <v>0</v>
      </c>
      <c r="I91" s="51"/>
      <c r="J91" s="52"/>
    </row>
    <row r="92" spans="1:10" ht="15.75" x14ac:dyDescent="0.25">
      <c r="A92" s="27" t="s">
        <v>108</v>
      </c>
      <c r="B92" s="126" t="s">
        <v>52</v>
      </c>
      <c r="C92" s="106">
        <v>51431339</v>
      </c>
      <c r="D92" s="127" t="s">
        <v>53</v>
      </c>
      <c r="E92" s="126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26" t="s">
        <v>52</v>
      </c>
      <c r="C93" s="106">
        <v>51217244</v>
      </c>
      <c r="D93" s="126" t="s">
        <v>37</v>
      </c>
      <c r="E93" s="126">
        <v>600</v>
      </c>
      <c r="F93" s="30">
        <v>334.28359999999998</v>
      </c>
      <c r="G93" s="30">
        <v>335.14909999999998</v>
      </c>
      <c r="H93" s="18">
        <f t="shared" si="4"/>
        <v>519.29999999999836</v>
      </c>
      <c r="I93" s="51"/>
      <c r="J93" s="52"/>
    </row>
    <row r="94" spans="1:10" ht="15.75" x14ac:dyDescent="0.25">
      <c r="A94" s="27" t="s">
        <v>110</v>
      </c>
      <c r="B94" s="126" t="s">
        <v>52</v>
      </c>
      <c r="C94" s="106">
        <v>51217267</v>
      </c>
      <c r="D94" s="88" t="s">
        <v>63</v>
      </c>
      <c r="E94" s="126">
        <v>2400</v>
      </c>
      <c r="F94" s="30">
        <v>20.323699999999999</v>
      </c>
      <c r="G94" s="30">
        <v>20.3537</v>
      </c>
      <c r="H94" s="18">
        <f t="shared" si="4"/>
        <v>72.000000000002728</v>
      </c>
      <c r="I94" s="51"/>
      <c r="J94" s="52"/>
    </row>
    <row r="95" spans="1:10" ht="15.75" x14ac:dyDescent="0.25">
      <c r="A95" s="27" t="s">
        <v>111</v>
      </c>
      <c r="B95" s="126" t="s">
        <v>52</v>
      </c>
      <c r="C95" s="126">
        <v>51555165</v>
      </c>
      <c r="D95" s="127" t="s">
        <v>53</v>
      </c>
      <c r="E95" s="126">
        <v>1200</v>
      </c>
      <c r="F95" s="30">
        <v>857.13520000000005</v>
      </c>
      <c r="G95" s="30">
        <v>865.78599999999994</v>
      </c>
      <c r="H95" s="18">
        <f t="shared" si="4"/>
        <v>10380.959999999868</v>
      </c>
      <c r="I95" s="51" t="s">
        <v>27</v>
      </c>
      <c r="J95" s="52"/>
    </row>
    <row r="96" spans="1:10" ht="15.75" x14ac:dyDescent="0.25">
      <c r="A96" s="113" t="s">
        <v>112</v>
      </c>
      <c r="B96" s="126" t="s">
        <v>52</v>
      </c>
      <c r="C96" s="106">
        <v>51431346</v>
      </c>
      <c r="D96" s="114" t="s">
        <v>37</v>
      </c>
      <c r="E96" s="114">
        <v>600</v>
      </c>
      <c r="F96" s="30">
        <v>354.19920000000002</v>
      </c>
      <c r="G96" s="30">
        <v>356.25659999999999</v>
      </c>
      <c r="H96" s="115">
        <f t="shared" si="4"/>
        <v>1234.4399999999837</v>
      </c>
      <c r="I96" s="116"/>
      <c r="J96" s="117"/>
    </row>
    <row r="97" spans="1:10" ht="15.75" x14ac:dyDescent="0.25">
      <c r="A97" s="27" t="s">
        <v>113</v>
      </c>
      <c r="B97" s="126" t="s">
        <v>52</v>
      </c>
      <c r="C97" s="106">
        <v>51431352</v>
      </c>
      <c r="D97" s="88" t="s">
        <v>21</v>
      </c>
      <c r="E97" s="126">
        <v>3600</v>
      </c>
      <c r="F97" s="21">
        <v>232.16470000000001</v>
      </c>
      <c r="G97" s="21">
        <v>233.9076</v>
      </c>
      <c r="H97" s="18">
        <f t="shared" si="4"/>
        <v>6274.4399999999696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18865.139999999839</v>
      </c>
      <c r="I98" s="51"/>
      <c r="J98" s="52"/>
    </row>
    <row r="99" spans="1:10" ht="15.75" x14ac:dyDescent="0.25">
      <c r="A99" s="45" t="s">
        <v>114</v>
      </c>
      <c r="B99" s="126" t="s">
        <v>52</v>
      </c>
      <c r="C99" s="120">
        <v>51431357</v>
      </c>
      <c r="D99" s="127" t="s">
        <v>63</v>
      </c>
      <c r="E99" s="127">
        <v>14000</v>
      </c>
      <c r="F99" s="28">
        <v>840.79</v>
      </c>
      <c r="G99" s="28">
        <v>843.97479999999996</v>
      </c>
      <c r="H99" s="121">
        <f t="shared" si="4"/>
        <v>44587.199999999939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opLeftCell="A67" zoomScale="85" zoomScaleNormal="85" workbookViewId="0">
      <selection activeCell="F109" sqref="F109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117</v>
      </c>
      <c r="G2" s="4" t="s">
        <v>118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30" t="s">
        <v>13</v>
      </c>
      <c r="C4" s="130">
        <v>51555166</v>
      </c>
      <c r="D4" s="130" t="s">
        <v>14</v>
      </c>
      <c r="E4" s="130">
        <v>132000</v>
      </c>
      <c r="F4" s="17">
        <v>3.5954999999999999</v>
      </c>
      <c r="G4" s="17">
        <v>3.6042000000000001</v>
      </c>
      <c r="H4" s="18">
        <f>(G4-F4)*E4</f>
        <v>1148.4000000000201</v>
      </c>
      <c r="I4" s="19"/>
      <c r="J4" s="20"/>
    </row>
    <row r="5" spans="1:10" ht="15.75" x14ac:dyDescent="0.25">
      <c r="A5" s="15" t="s">
        <v>15</v>
      </c>
      <c r="B5" s="130" t="s">
        <v>13</v>
      </c>
      <c r="C5" s="130">
        <v>51555191</v>
      </c>
      <c r="D5" s="130" t="s">
        <v>14</v>
      </c>
      <c r="E5" s="130">
        <v>132000</v>
      </c>
      <c r="F5" s="21">
        <v>376.29719999999998</v>
      </c>
      <c r="G5" s="21">
        <v>378.31439999999998</v>
      </c>
      <c r="H5" s="18">
        <f>(G5-F5)*E5</f>
        <v>266270.40000000031</v>
      </c>
      <c r="I5" s="19"/>
      <c r="J5" s="20"/>
    </row>
    <row r="6" spans="1:10" ht="15.75" x14ac:dyDescent="0.25">
      <c r="A6" s="218" t="s">
        <v>16</v>
      </c>
      <c r="B6" s="219"/>
      <c r="C6" s="130"/>
      <c r="D6" s="131"/>
      <c r="E6" s="130"/>
      <c r="H6" s="23">
        <f>H4+H5</f>
        <v>267418.80000000034</v>
      </c>
      <c r="I6" s="24">
        <f>H6-H9-H19</f>
        <v>1904.3999999985972</v>
      </c>
      <c r="J6" s="25">
        <f>I6/H6</f>
        <v>7.1214140516620179E-3</v>
      </c>
    </row>
    <row r="7" spans="1:10" ht="15.75" x14ac:dyDescent="0.25">
      <c r="A7" s="26" t="s">
        <v>17</v>
      </c>
      <c r="B7" s="130" t="s">
        <v>13</v>
      </c>
      <c r="C7" s="130">
        <v>51097629</v>
      </c>
      <c r="D7" s="131" t="s">
        <v>14</v>
      </c>
      <c r="E7" s="130">
        <v>42000</v>
      </c>
      <c r="F7" s="21">
        <v>1114.8667</v>
      </c>
      <c r="G7" s="21">
        <v>1119.3693000000001</v>
      </c>
      <c r="H7" s="18">
        <f>(G7-F7)*E7</f>
        <v>189109.20000000123</v>
      </c>
      <c r="I7" s="19"/>
      <c r="J7" s="20"/>
    </row>
    <row r="8" spans="1:10" ht="15.75" x14ac:dyDescent="0.25">
      <c r="A8" s="26" t="s">
        <v>18</v>
      </c>
      <c r="B8" s="130" t="s">
        <v>13</v>
      </c>
      <c r="C8" s="130">
        <v>51616820</v>
      </c>
      <c r="D8" s="131" t="s">
        <v>14</v>
      </c>
      <c r="E8" s="130">
        <v>42000</v>
      </c>
      <c r="F8" s="21">
        <v>6.3438999999999997</v>
      </c>
      <c r="G8" s="21">
        <v>6.3578000000000001</v>
      </c>
      <c r="H8" s="18">
        <f>(G8-F8)*E8</f>
        <v>583.80000000001962</v>
      </c>
      <c r="I8" s="19"/>
      <c r="J8" s="20"/>
    </row>
    <row r="9" spans="1:10" ht="15.75" x14ac:dyDescent="0.25">
      <c r="A9" s="218" t="s">
        <v>19</v>
      </c>
      <c r="B9" s="219"/>
      <c r="C9" s="130"/>
      <c r="D9" s="131"/>
      <c r="E9" s="130"/>
      <c r="F9" s="21"/>
      <c r="G9" s="21"/>
      <c r="H9" s="23">
        <f>H7+H8</f>
        <v>189693.00000000125</v>
      </c>
      <c r="I9" s="24">
        <f>H9-H16</f>
        <v>63.0000000007567</v>
      </c>
      <c r="J9" s="25">
        <f>I9/H9</f>
        <v>3.3211557622451164E-4</v>
      </c>
    </row>
    <row r="10" spans="1:10" ht="15.75" x14ac:dyDescent="0.25">
      <c r="A10" s="27" t="s">
        <v>20</v>
      </c>
      <c r="B10" s="130" t="s">
        <v>13</v>
      </c>
      <c r="C10" s="130">
        <v>51217286</v>
      </c>
      <c r="D10" s="131" t="s">
        <v>21</v>
      </c>
      <c r="E10" s="130">
        <v>21000</v>
      </c>
      <c r="F10" s="21">
        <v>877.44069999999999</v>
      </c>
      <c r="G10" s="21">
        <v>880.59960000000001</v>
      </c>
      <c r="H10" s="18">
        <f t="shared" ref="H10:H15" si="0">(G10-F10)*E10</f>
        <v>66336.900000000358</v>
      </c>
      <c r="I10" s="19"/>
      <c r="J10" s="20"/>
    </row>
    <row r="11" spans="1:10" ht="15.75" x14ac:dyDescent="0.25">
      <c r="A11" s="27" t="s">
        <v>22</v>
      </c>
      <c r="B11" s="130" t="s">
        <v>13</v>
      </c>
      <c r="C11" s="130">
        <v>51217292</v>
      </c>
      <c r="D11" s="131" t="s">
        <v>21</v>
      </c>
      <c r="E11" s="130">
        <v>21000</v>
      </c>
      <c r="F11" s="28">
        <v>3.8935</v>
      </c>
      <c r="G11" s="28">
        <v>3.8994</v>
      </c>
      <c r="H11" s="18">
        <f>(G11-F11)*E11</f>
        <v>123.90000000000035</v>
      </c>
      <c r="I11" s="19"/>
      <c r="J11" s="20"/>
    </row>
    <row r="12" spans="1:10" ht="15.75" x14ac:dyDescent="0.25">
      <c r="A12" s="27" t="s">
        <v>23</v>
      </c>
      <c r="B12" s="130" t="s">
        <v>13</v>
      </c>
      <c r="C12" s="130">
        <v>51217271</v>
      </c>
      <c r="D12" s="131" t="s">
        <v>21</v>
      </c>
      <c r="E12" s="130">
        <v>21000</v>
      </c>
      <c r="F12" s="21">
        <v>652.04690000000005</v>
      </c>
      <c r="G12" s="21">
        <v>654.95699999999999</v>
      </c>
      <c r="H12" s="18">
        <f t="shared" si="0"/>
        <v>61112.099999998805</v>
      </c>
      <c r="I12" s="19"/>
      <c r="J12" s="20"/>
    </row>
    <row r="13" spans="1:10" ht="15.75" x14ac:dyDescent="0.25">
      <c r="A13" s="27" t="s">
        <v>24</v>
      </c>
      <c r="B13" s="130" t="s">
        <v>13</v>
      </c>
      <c r="C13" s="130">
        <v>51217276</v>
      </c>
      <c r="D13" s="131" t="s">
        <v>21</v>
      </c>
      <c r="E13" s="130">
        <v>21000</v>
      </c>
      <c r="F13" s="28">
        <v>0.57020000000000004</v>
      </c>
      <c r="G13" s="28">
        <v>0.57569999999999999</v>
      </c>
      <c r="H13" s="18">
        <f>(G13-F13)*E13</f>
        <v>115.49999999999893</v>
      </c>
      <c r="I13" s="19"/>
      <c r="J13" s="20"/>
    </row>
    <row r="14" spans="1:10" ht="15.75" x14ac:dyDescent="0.25">
      <c r="A14" s="27" t="s">
        <v>25</v>
      </c>
      <c r="B14" s="130" t="s">
        <v>13</v>
      </c>
      <c r="C14" s="130">
        <v>51100990</v>
      </c>
      <c r="D14" s="131" t="s">
        <v>21</v>
      </c>
      <c r="E14" s="130">
        <v>21000</v>
      </c>
      <c r="F14" s="29">
        <v>707.28589999999997</v>
      </c>
      <c r="G14" s="29">
        <v>710.22360000000003</v>
      </c>
      <c r="H14" s="18">
        <f t="shared" si="0"/>
        <v>61691.700000001336</v>
      </c>
      <c r="I14" s="19"/>
      <c r="J14" s="20"/>
    </row>
    <row r="15" spans="1:10" ht="15.75" x14ac:dyDescent="0.25">
      <c r="A15" s="27" t="s">
        <v>26</v>
      </c>
      <c r="B15" s="130" t="s">
        <v>13</v>
      </c>
      <c r="C15" s="130">
        <v>51097622</v>
      </c>
      <c r="D15" s="131" t="s">
        <v>21</v>
      </c>
      <c r="E15" s="130">
        <v>21000</v>
      </c>
      <c r="F15" s="21">
        <v>3.7103000000000002</v>
      </c>
      <c r="G15" s="21">
        <v>3.7222</v>
      </c>
      <c r="H15" s="18">
        <f t="shared" si="0"/>
        <v>249.8999999999958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30"/>
      <c r="D16" s="131"/>
      <c r="E16" s="130"/>
      <c r="F16" s="21"/>
      <c r="G16" s="21"/>
      <c r="H16" s="23">
        <f>H10+H11+H12+H13+H14+H15</f>
        <v>189630.00000000049</v>
      </c>
      <c r="I16" s="19"/>
      <c r="J16" s="20"/>
    </row>
    <row r="17" spans="1:10" ht="15.75" x14ac:dyDescent="0.25">
      <c r="A17" s="26" t="s">
        <v>29</v>
      </c>
      <c r="B17" s="130" t="s">
        <v>13</v>
      </c>
      <c r="C17" s="130">
        <v>51097617</v>
      </c>
      <c r="D17" s="131" t="s">
        <v>30</v>
      </c>
      <c r="E17" s="130">
        <v>18000</v>
      </c>
      <c r="F17" s="30">
        <v>861.41589999999997</v>
      </c>
      <c r="G17" s="30">
        <v>865.62819999999999</v>
      </c>
      <c r="H17" s="18">
        <f>(G17-F17)*E17</f>
        <v>75821.400000000489</v>
      </c>
      <c r="I17" s="19"/>
      <c r="J17" s="20"/>
    </row>
    <row r="18" spans="1:10" ht="15.75" x14ac:dyDescent="0.25">
      <c r="A18" s="26" t="s">
        <v>31</v>
      </c>
      <c r="B18" s="130" t="s">
        <v>13</v>
      </c>
      <c r="C18" s="130">
        <v>51097655</v>
      </c>
      <c r="D18" s="131" t="s">
        <v>30</v>
      </c>
      <c r="E18" s="130">
        <v>18000</v>
      </c>
      <c r="F18" s="30">
        <v>8.2071000000000005</v>
      </c>
      <c r="G18" s="30">
        <v>8.2071000000000005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30"/>
      <c r="D19" s="131"/>
      <c r="E19" s="130"/>
      <c r="F19" s="30"/>
      <c r="G19" s="30"/>
      <c r="H19" s="23">
        <f>H17+H18</f>
        <v>75821.400000000489</v>
      </c>
      <c r="I19" s="24">
        <f>H19-H34</f>
        <v>2906.6400000006543</v>
      </c>
      <c r="J19" s="25">
        <f>I19/H19</f>
        <v>3.8335351233301354E-2</v>
      </c>
    </row>
    <row r="20" spans="1:10" ht="15.75" x14ac:dyDescent="0.25">
      <c r="A20" s="15" t="s">
        <v>33</v>
      </c>
      <c r="B20" s="130" t="s">
        <v>13</v>
      </c>
      <c r="C20" s="130">
        <v>51217282</v>
      </c>
      <c r="D20" s="131" t="s">
        <v>34</v>
      </c>
      <c r="E20" s="130">
        <v>4800</v>
      </c>
      <c r="F20" s="21">
        <v>382.39749999999998</v>
      </c>
      <c r="G20" s="21">
        <v>382.4461</v>
      </c>
      <c r="H20" s="18">
        <f t="shared" ref="H20:H33" si="1">(G20-F20)*E20</f>
        <v>233.28000000010434</v>
      </c>
      <c r="I20" s="19" t="s">
        <v>27</v>
      </c>
      <c r="J20" s="20"/>
    </row>
    <row r="21" spans="1:10" ht="15.75" x14ac:dyDescent="0.25">
      <c r="A21" s="15" t="s">
        <v>35</v>
      </c>
      <c r="B21" s="130" t="s">
        <v>13</v>
      </c>
      <c r="C21" s="130">
        <v>51217274</v>
      </c>
      <c r="D21" s="131" t="s">
        <v>34</v>
      </c>
      <c r="E21" s="130">
        <v>4800</v>
      </c>
      <c r="F21" s="21">
        <v>1345.0239999999999</v>
      </c>
      <c r="G21" s="21">
        <v>1351.0346999999999</v>
      </c>
      <c r="H21" s="18">
        <f t="shared" si="1"/>
        <v>28851.360000000204</v>
      </c>
      <c r="I21" s="19"/>
      <c r="J21" s="20"/>
    </row>
    <row r="22" spans="1:10" ht="15.75" x14ac:dyDescent="0.25">
      <c r="A22" s="15" t="s">
        <v>36</v>
      </c>
      <c r="B22" s="130" t="s">
        <v>13</v>
      </c>
      <c r="C22" s="130">
        <v>51097664</v>
      </c>
      <c r="D22" s="131" t="s">
        <v>37</v>
      </c>
      <c r="E22" s="130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30" t="s">
        <v>13</v>
      </c>
      <c r="C23" s="130">
        <v>51097615</v>
      </c>
      <c r="D23" s="131" t="s">
        <v>37</v>
      </c>
      <c r="E23" s="130">
        <v>600</v>
      </c>
      <c r="F23" s="21">
        <v>44.070500000000003</v>
      </c>
      <c r="G23" s="21">
        <v>44.364699999999999</v>
      </c>
      <c r="H23" s="18">
        <f t="shared" si="1"/>
        <v>176.51999999999788</v>
      </c>
      <c r="I23" s="19"/>
      <c r="J23" s="20"/>
    </row>
    <row r="24" spans="1:10" ht="15.75" x14ac:dyDescent="0.25">
      <c r="A24" s="15" t="s">
        <v>39</v>
      </c>
      <c r="B24" s="130" t="s">
        <v>13</v>
      </c>
      <c r="C24" s="130">
        <v>51217264</v>
      </c>
      <c r="D24" s="131" t="s">
        <v>37</v>
      </c>
      <c r="E24" s="130">
        <v>600</v>
      </c>
      <c r="F24" s="21">
        <v>103.6108</v>
      </c>
      <c r="G24" s="21">
        <v>104.1658</v>
      </c>
      <c r="H24" s="18">
        <f t="shared" si="1"/>
        <v>333.00000000000409</v>
      </c>
      <c r="I24" s="19"/>
      <c r="J24" s="20"/>
    </row>
    <row r="25" spans="1:10" ht="15.75" x14ac:dyDescent="0.25">
      <c r="A25" s="15" t="s">
        <v>40</v>
      </c>
      <c r="B25" s="130" t="s">
        <v>13</v>
      </c>
      <c r="C25" s="130">
        <v>51217288</v>
      </c>
      <c r="D25" s="131" t="s">
        <v>37</v>
      </c>
      <c r="E25" s="130">
        <v>600</v>
      </c>
      <c r="F25" s="21">
        <v>20.452999999999999</v>
      </c>
      <c r="G25" s="21">
        <v>20.484200000000001</v>
      </c>
      <c r="H25" s="18">
        <f t="shared" si="1"/>
        <v>18.720000000001136</v>
      </c>
      <c r="I25" s="19" t="s">
        <v>27</v>
      </c>
      <c r="J25" s="20"/>
    </row>
    <row r="26" spans="1:10" ht="15.75" x14ac:dyDescent="0.25">
      <c r="A26" s="15" t="s">
        <v>41</v>
      </c>
      <c r="B26" s="130" t="s">
        <v>13</v>
      </c>
      <c r="C26" s="130">
        <v>51217279</v>
      </c>
      <c r="D26" s="131" t="s">
        <v>37</v>
      </c>
      <c r="E26" s="130">
        <v>600</v>
      </c>
      <c r="F26" s="21">
        <v>15.2639</v>
      </c>
      <c r="G26" s="21">
        <v>15.3185</v>
      </c>
      <c r="H26" s="18">
        <f t="shared" si="1"/>
        <v>32.760000000000389</v>
      </c>
      <c r="I26" s="19" t="s">
        <v>27</v>
      </c>
      <c r="J26" s="20"/>
    </row>
    <row r="27" spans="1:10" ht="15.75" x14ac:dyDescent="0.25">
      <c r="A27" s="15" t="s">
        <v>42</v>
      </c>
      <c r="B27" s="130" t="s">
        <v>13</v>
      </c>
      <c r="C27" s="130">
        <v>51217272</v>
      </c>
      <c r="D27" s="131" t="s">
        <v>37</v>
      </c>
      <c r="E27" s="130">
        <v>600</v>
      </c>
      <c r="F27" s="31">
        <v>14.9711</v>
      </c>
      <c r="G27" s="31">
        <v>15.024699999999999</v>
      </c>
      <c r="H27" s="18">
        <f t="shared" si="1"/>
        <v>32.159999999999656</v>
      </c>
      <c r="I27" s="19"/>
      <c r="J27" s="20"/>
    </row>
    <row r="28" spans="1:10" ht="15.75" x14ac:dyDescent="0.25">
      <c r="A28" s="15" t="s">
        <v>43</v>
      </c>
      <c r="B28" s="130" t="s">
        <v>13</v>
      </c>
      <c r="C28" s="130">
        <v>51616744</v>
      </c>
      <c r="D28" s="131">
        <f>300/5</f>
        <v>60</v>
      </c>
      <c r="E28" s="130">
        <v>3600</v>
      </c>
      <c r="F28" s="31">
        <v>109.78489999999999</v>
      </c>
      <c r="G28" s="31">
        <v>109.78489999999999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30" t="s">
        <v>13</v>
      </c>
      <c r="C29" s="130">
        <v>51555226</v>
      </c>
      <c r="D29" s="131">
        <f>300/5</f>
        <v>60</v>
      </c>
      <c r="E29" s="130">
        <v>3600</v>
      </c>
      <c r="F29" s="31">
        <v>516.67960000000005</v>
      </c>
      <c r="G29" s="31">
        <v>520.53399999999999</v>
      </c>
      <c r="H29" s="18">
        <f>(G29-F29)*E29</f>
        <v>13875.839999999789</v>
      </c>
      <c r="I29" s="19"/>
      <c r="J29" s="20"/>
    </row>
    <row r="30" spans="1:10" ht="15.75" x14ac:dyDescent="0.25">
      <c r="A30" s="15" t="s">
        <v>45</v>
      </c>
      <c r="B30" s="130" t="s">
        <v>13</v>
      </c>
      <c r="C30" s="130">
        <v>51097658</v>
      </c>
      <c r="D30" s="131" t="s">
        <v>34</v>
      </c>
      <c r="E30" s="130">
        <v>4800</v>
      </c>
      <c r="F30" s="31">
        <v>668.75440000000003</v>
      </c>
      <c r="G30" s="31">
        <v>672.31949999999995</v>
      </c>
      <c r="H30" s="18">
        <f t="shared" si="1"/>
        <v>17112.479999999596</v>
      </c>
      <c r="I30" s="19"/>
      <c r="J30" s="20"/>
    </row>
    <row r="31" spans="1:10" ht="15.75" x14ac:dyDescent="0.25">
      <c r="A31" s="15" t="s">
        <v>46</v>
      </c>
      <c r="B31" s="130" t="s">
        <v>13</v>
      </c>
      <c r="C31" s="130">
        <v>51097635</v>
      </c>
      <c r="D31" s="131" t="s">
        <v>34</v>
      </c>
      <c r="E31" s="130">
        <v>4800</v>
      </c>
      <c r="F31" s="31">
        <v>48.467399999999998</v>
      </c>
      <c r="G31" s="31">
        <v>48.469200000000001</v>
      </c>
      <c r="H31" s="18">
        <f t="shared" si="1"/>
        <v>8.6400000000139698</v>
      </c>
      <c r="I31" s="19"/>
      <c r="J31" s="20"/>
    </row>
    <row r="32" spans="1:10" ht="15.75" x14ac:dyDescent="0.25">
      <c r="A32" s="15" t="s">
        <v>47</v>
      </c>
      <c r="B32" s="130" t="s">
        <v>13</v>
      </c>
      <c r="C32" s="32">
        <v>51097633</v>
      </c>
      <c r="D32" s="131" t="s">
        <v>34</v>
      </c>
      <c r="E32" s="130">
        <v>4800</v>
      </c>
      <c r="F32" s="31">
        <v>181.86259999999999</v>
      </c>
      <c r="G32" s="31">
        <v>184.33</v>
      </c>
      <c r="H32" s="33">
        <f t="shared" si="1"/>
        <v>11843.520000000126</v>
      </c>
      <c r="I32" s="34"/>
      <c r="J32" s="35"/>
    </row>
    <row r="33" spans="1:10" ht="15.75" x14ac:dyDescent="0.25">
      <c r="A33" s="15" t="s">
        <v>48</v>
      </c>
      <c r="B33" s="130" t="s">
        <v>13</v>
      </c>
      <c r="C33" s="32">
        <v>51097662</v>
      </c>
      <c r="D33" s="131" t="s">
        <v>34</v>
      </c>
      <c r="E33" s="130">
        <v>4800</v>
      </c>
      <c r="F33" s="31">
        <v>3.8216999999999999</v>
      </c>
      <c r="G33" s="31">
        <v>3.9043000000000001</v>
      </c>
      <c r="H33" s="33">
        <f t="shared" si="1"/>
        <v>396.4800000000011</v>
      </c>
      <c r="I33" s="34"/>
      <c r="J33" s="35"/>
    </row>
    <row r="34" spans="1:10" ht="15.75" x14ac:dyDescent="0.25">
      <c r="A34" s="218" t="s">
        <v>49</v>
      </c>
      <c r="B34" s="219"/>
      <c r="C34" s="130"/>
      <c r="D34" s="131"/>
      <c r="E34" s="130"/>
      <c r="F34" s="36"/>
      <c r="G34" s="36"/>
      <c r="H34" s="23">
        <f>H20+H21+H22+H23+H24+H25+H26+H27+H28+H29+H30+H31+H32+H33</f>
        <v>72914.759999999835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30" t="s">
        <v>52</v>
      </c>
      <c r="C36" s="130">
        <v>51555209</v>
      </c>
      <c r="D36" s="131" t="s">
        <v>53</v>
      </c>
      <c r="E36" s="130">
        <v>7000</v>
      </c>
      <c r="F36" s="17">
        <v>5.9648000000000003</v>
      </c>
      <c r="G36" s="17">
        <v>6.0035999999999996</v>
      </c>
      <c r="H36" s="41">
        <f>(G36-F36)*E36</f>
        <v>271.59999999999496</v>
      </c>
      <c r="I36" s="42"/>
      <c r="J36" s="14"/>
    </row>
    <row r="37" spans="1:10" ht="15.75" x14ac:dyDescent="0.25">
      <c r="A37" s="15" t="s">
        <v>54</v>
      </c>
      <c r="B37" s="130" t="s">
        <v>52</v>
      </c>
      <c r="C37" s="130">
        <v>51555209</v>
      </c>
      <c r="D37" s="131" t="s">
        <v>53</v>
      </c>
      <c r="E37" s="130">
        <v>7000</v>
      </c>
      <c r="F37" s="21">
        <v>10.3598</v>
      </c>
      <c r="G37" s="21">
        <v>10.3934</v>
      </c>
      <c r="H37" s="18">
        <f>(G37-F37)*E37</f>
        <v>235.19999999999897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30" t="s">
        <v>52</v>
      </c>
      <c r="C39" s="130">
        <v>51097674</v>
      </c>
      <c r="D39" s="130" t="s">
        <v>14</v>
      </c>
      <c r="E39" s="130">
        <v>7200</v>
      </c>
      <c r="F39" s="21">
        <v>599.52560000000005</v>
      </c>
      <c r="G39" s="21">
        <v>601.90110000000004</v>
      </c>
      <c r="H39" s="18">
        <f>(G39-F39)*E39</f>
        <v>17103.599999999915</v>
      </c>
      <c r="I39" s="47"/>
      <c r="J39" s="20"/>
    </row>
    <row r="40" spans="1:10" ht="15.75" x14ac:dyDescent="0.25">
      <c r="A40" s="27" t="s">
        <v>57</v>
      </c>
      <c r="B40" s="130" t="s">
        <v>52</v>
      </c>
      <c r="C40" s="130">
        <v>51259257</v>
      </c>
      <c r="D40" s="130" t="s">
        <v>14</v>
      </c>
      <c r="E40" s="130">
        <v>7200</v>
      </c>
      <c r="F40" s="21">
        <v>1.0549999999999999</v>
      </c>
      <c r="G40" s="21">
        <v>1.0555000000000001</v>
      </c>
      <c r="H40" s="18">
        <f>(G40-F40)*E40</f>
        <v>3.6000000000012022</v>
      </c>
      <c r="I40" s="43"/>
      <c r="J40" s="20"/>
    </row>
    <row r="41" spans="1:10" ht="15.75" x14ac:dyDescent="0.25">
      <c r="A41" s="44" t="s">
        <v>58</v>
      </c>
      <c r="B41" s="130"/>
      <c r="C41" s="130"/>
      <c r="D41" s="130"/>
      <c r="E41" s="130"/>
      <c r="F41" s="21"/>
      <c r="G41" s="21"/>
      <c r="H41" s="48">
        <f>H39+H40</f>
        <v>17107.199999999917</v>
      </c>
      <c r="I41" s="24">
        <f>H41-H49</f>
        <v>-116.95999999986816</v>
      </c>
      <c r="J41" s="25">
        <f>I41/H41</f>
        <v>-6.8368873924352742E-3</v>
      </c>
    </row>
    <row r="42" spans="1:10" ht="15.75" x14ac:dyDescent="0.25">
      <c r="A42" s="15" t="s">
        <v>59</v>
      </c>
      <c r="B42" s="130"/>
      <c r="C42" s="130"/>
      <c r="D42" s="131"/>
      <c r="E42" s="130"/>
      <c r="H42" s="18"/>
      <c r="I42" s="43"/>
      <c r="J42" s="20"/>
    </row>
    <row r="43" spans="1:10" ht="15.75" x14ac:dyDescent="0.25">
      <c r="A43" s="27" t="s">
        <v>60</v>
      </c>
      <c r="B43" s="130" t="s">
        <v>52</v>
      </c>
      <c r="C43" s="32">
        <v>51097648</v>
      </c>
      <c r="D43" s="130" t="s">
        <v>53</v>
      </c>
      <c r="E43" s="130">
        <v>1200</v>
      </c>
      <c r="F43" s="21">
        <v>490.67970000000003</v>
      </c>
      <c r="G43" s="21">
        <v>492.58249999999998</v>
      </c>
      <c r="H43" s="33">
        <f>(G43-F43)*E43</f>
        <v>2283.3599999999478</v>
      </c>
      <c r="I43" s="43"/>
      <c r="J43" s="20"/>
    </row>
    <row r="44" spans="1:10" ht="15.75" x14ac:dyDescent="0.25">
      <c r="A44" s="27" t="s">
        <v>61</v>
      </c>
      <c r="B44" s="130" t="s">
        <v>52</v>
      </c>
      <c r="C44" s="32">
        <v>50555043</v>
      </c>
      <c r="D44" s="130" t="s">
        <v>53</v>
      </c>
      <c r="E44" s="130">
        <v>1200</v>
      </c>
      <c r="F44" s="21">
        <v>2053.3951000000002</v>
      </c>
      <c r="G44" s="21">
        <v>2061.5306</v>
      </c>
      <c r="H44" s="33">
        <f>(G44-F44)*E44</f>
        <v>9762.5999999998385</v>
      </c>
      <c r="I44" s="43"/>
      <c r="J44" s="20"/>
    </row>
    <row r="45" spans="1:10" ht="15.75" x14ac:dyDescent="0.25">
      <c r="A45" s="27" t="s">
        <v>62</v>
      </c>
      <c r="B45" s="130" t="s">
        <v>52</v>
      </c>
      <c r="C45" s="32">
        <v>51259336</v>
      </c>
      <c r="D45" s="130" t="s">
        <v>63</v>
      </c>
      <c r="E45" s="130">
        <v>2400</v>
      </c>
      <c r="F45" s="21">
        <v>4.1605999999999996</v>
      </c>
      <c r="G45" s="21">
        <v>4.1744000000000003</v>
      </c>
      <c r="H45" s="33">
        <f>(G45-F45)*E45</f>
        <v>33.120000000001681</v>
      </c>
      <c r="I45" s="43"/>
      <c r="J45" s="20"/>
    </row>
    <row r="46" spans="1:10" ht="15.75" x14ac:dyDescent="0.25">
      <c r="A46" s="27" t="s">
        <v>64</v>
      </c>
      <c r="B46" s="130" t="s">
        <v>52</v>
      </c>
      <c r="C46" s="32">
        <v>51259266</v>
      </c>
      <c r="D46" s="130" t="s">
        <v>53</v>
      </c>
      <c r="E46" s="130">
        <v>1200</v>
      </c>
      <c r="F46" s="21">
        <v>996.63699999999994</v>
      </c>
      <c r="G46" s="21">
        <v>1000.5753999999999</v>
      </c>
      <c r="H46" s="33">
        <f>(G46-F46)*E46</f>
        <v>4726.0800000000017</v>
      </c>
      <c r="I46" s="43"/>
      <c r="J46" s="20"/>
    </row>
    <row r="47" spans="1:10" ht="15.75" x14ac:dyDescent="0.25">
      <c r="A47" s="27" t="s">
        <v>65</v>
      </c>
      <c r="B47" s="130" t="s">
        <v>52</v>
      </c>
      <c r="C47" s="32">
        <v>51431336</v>
      </c>
      <c r="D47" s="130" t="s">
        <v>53</v>
      </c>
      <c r="E47" s="130">
        <v>1200</v>
      </c>
      <c r="F47" s="21">
        <v>58.592300000000002</v>
      </c>
      <c r="G47" s="21">
        <v>58.899799999999999</v>
      </c>
      <c r="H47" s="33">
        <f>(G47-F47)*E47</f>
        <v>368.99999999999693</v>
      </c>
      <c r="I47" s="43"/>
      <c r="J47" s="20"/>
    </row>
    <row r="48" spans="1:10" ht="15.75" x14ac:dyDescent="0.25">
      <c r="A48" s="15" t="s">
        <v>66</v>
      </c>
      <c r="B48" s="130" t="s">
        <v>67</v>
      </c>
      <c r="C48" s="130">
        <v>49174</v>
      </c>
      <c r="D48" s="131" t="s">
        <v>53</v>
      </c>
      <c r="E48" s="130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17224.159999999785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30" t="s">
        <v>52</v>
      </c>
      <c r="C51" s="130">
        <v>51097603</v>
      </c>
      <c r="D51" s="131" t="s">
        <v>53</v>
      </c>
      <c r="E51" s="130">
        <v>7000</v>
      </c>
      <c r="F51" s="17">
        <v>1960.8358000000001</v>
      </c>
      <c r="G51" s="17">
        <v>1967.6664000000001</v>
      </c>
      <c r="H51" s="18">
        <f>(G51-F51)*E51</f>
        <v>47814.200000000026</v>
      </c>
      <c r="I51" s="43"/>
      <c r="J51" s="20"/>
    </row>
    <row r="52" spans="1:10" ht="15.75" x14ac:dyDescent="0.25">
      <c r="A52" s="27" t="s">
        <v>72</v>
      </c>
      <c r="B52" s="130" t="s">
        <v>52</v>
      </c>
      <c r="C52" s="130">
        <v>51097590</v>
      </c>
      <c r="D52" s="131" t="s">
        <v>53</v>
      </c>
      <c r="E52" s="130">
        <v>7000</v>
      </c>
      <c r="F52" s="21">
        <v>12.711499999999999</v>
      </c>
      <c r="G52" s="21">
        <v>12.7349</v>
      </c>
      <c r="H52" s="18">
        <f>(G52-F52)*E52</f>
        <v>163.80000000000371</v>
      </c>
      <c r="I52" s="43"/>
      <c r="J52" s="20"/>
    </row>
    <row r="53" spans="1:10" ht="15.75" x14ac:dyDescent="0.25">
      <c r="A53" s="15" t="s">
        <v>66</v>
      </c>
      <c r="B53" s="130" t="s">
        <v>67</v>
      </c>
      <c r="C53" s="130">
        <v>49174</v>
      </c>
      <c r="D53" s="131" t="s">
        <v>53</v>
      </c>
      <c r="E53" s="130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30"/>
      <c r="D54" s="131"/>
      <c r="E54" s="130"/>
      <c r="F54" s="21"/>
      <c r="G54" s="21"/>
      <c r="H54" s="48">
        <f>H51+H52+H53</f>
        <v>48078.000000000029</v>
      </c>
      <c r="I54" s="47"/>
      <c r="J54" s="59"/>
    </row>
    <row r="55" spans="1:10" ht="15.75" x14ac:dyDescent="0.25">
      <c r="A55" s="27" t="s">
        <v>74</v>
      </c>
      <c r="B55" s="130" t="s">
        <v>52</v>
      </c>
      <c r="C55" s="130">
        <v>51100980</v>
      </c>
      <c r="D55" s="130" t="s">
        <v>75</v>
      </c>
      <c r="E55" s="130">
        <v>12000</v>
      </c>
      <c r="F55" s="21">
        <v>1153.681</v>
      </c>
      <c r="G55" s="21">
        <v>1157.6787999999999</v>
      </c>
      <c r="H55" s="18">
        <f>(G55-F55)*E55</f>
        <v>47973.599999998441</v>
      </c>
      <c r="I55" s="47"/>
      <c r="J55" s="58"/>
    </row>
    <row r="56" spans="1:10" ht="15.75" x14ac:dyDescent="0.25">
      <c r="A56" s="27" t="s">
        <v>76</v>
      </c>
      <c r="B56" s="130" t="s">
        <v>52</v>
      </c>
      <c r="C56" s="130">
        <v>51097623</v>
      </c>
      <c r="D56" s="130" t="s">
        <v>75</v>
      </c>
      <c r="E56" s="130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30"/>
      <c r="C57" s="130"/>
      <c r="D57" s="130"/>
      <c r="E57" s="130"/>
      <c r="F57" s="21"/>
      <c r="G57" s="21"/>
      <c r="H57" s="48">
        <f>H55+H56</f>
        <v>47973.599999998441</v>
      </c>
      <c r="I57" s="61">
        <f>H54-H64-H53</f>
        <v>-95.799999999995634</v>
      </c>
      <c r="J57" s="25">
        <f>I57/H57</f>
        <v>-1.9969316457384635E-3</v>
      </c>
    </row>
    <row r="58" spans="1:10" ht="15.75" x14ac:dyDescent="0.25">
      <c r="A58" s="27" t="s">
        <v>78</v>
      </c>
      <c r="B58" s="130" t="s">
        <v>52</v>
      </c>
      <c r="C58" s="130">
        <v>51097675</v>
      </c>
      <c r="D58" s="130" t="s">
        <v>34</v>
      </c>
      <c r="E58" s="130">
        <v>4800</v>
      </c>
      <c r="F58" s="21">
        <v>519.7242</v>
      </c>
      <c r="G58" s="21">
        <v>522.73820000000001</v>
      </c>
      <c r="H58" s="18">
        <f t="shared" ref="H58:H63" si="2">(G58-F58)*E58</f>
        <v>14467.200000000048</v>
      </c>
      <c r="I58" s="62"/>
      <c r="J58" s="59"/>
    </row>
    <row r="59" spans="1:10" ht="15.75" x14ac:dyDescent="0.25">
      <c r="A59" s="27" t="s">
        <v>79</v>
      </c>
      <c r="B59" s="130" t="s">
        <v>52</v>
      </c>
      <c r="C59" s="130">
        <v>51100997</v>
      </c>
      <c r="D59" s="130" t="s">
        <v>21</v>
      </c>
      <c r="E59" s="130">
        <v>3600</v>
      </c>
      <c r="F59" s="21">
        <v>1386.9309000000001</v>
      </c>
      <c r="G59" s="21">
        <v>1389.7384999999999</v>
      </c>
      <c r="H59" s="18">
        <f t="shared" si="2"/>
        <v>10107.359999999517</v>
      </c>
      <c r="I59" s="62"/>
      <c r="J59" s="59"/>
    </row>
    <row r="60" spans="1:10" ht="15.75" x14ac:dyDescent="0.25">
      <c r="A60" s="27" t="s">
        <v>80</v>
      </c>
      <c r="B60" s="130" t="s">
        <v>52</v>
      </c>
      <c r="C60" s="130">
        <v>51555218</v>
      </c>
      <c r="D60" s="130">
        <f>400/5</f>
        <v>80</v>
      </c>
      <c r="E60" s="130">
        <v>4800</v>
      </c>
      <c r="F60" s="21">
        <v>65.976299999999995</v>
      </c>
      <c r="G60" s="21">
        <v>66.449100000000001</v>
      </c>
      <c r="H60" s="18">
        <f t="shared" si="2"/>
        <v>2269.4400000000314</v>
      </c>
      <c r="I60" s="62"/>
      <c r="J60" s="59"/>
    </row>
    <row r="61" spans="1:10" ht="15.75" x14ac:dyDescent="0.25">
      <c r="A61" s="27" t="s">
        <v>81</v>
      </c>
      <c r="B61" s="130" t="s">
        <v>52</v>
      </c>
      <c r="C61" s="130">
        <v>51555151</v>
      </c>
      <c r="D61" s="130">
        <f>400/5</f>
        <v>80</v>
      </c>
      <c r="E61" s="130">
        <v>4800</v>
      </c>
      <c r="F61" s="63">
        <v>0.30690000000000001</v>
      </c>
      <c r="G61" s="63">
        <v>0.30690000000000001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30" t="s">
        <v>52</v>
      </c>
      <c r="C62" s="130">
        <v>51097599</v>
      </c>
      <c r="D62" s="130" t="s">
        <v>21</v>
      </c>
      <c r="E62" s="130">
        <v>3600</v>
      </c>
      <c r="F62" s="21">
        <v>970.71669999999995</v>
      </c>
      <c r="G62" s="21">
        <v>973.13599999999997</v>
      </c>
      <c r="H62" s="18">
        <f t="shared" si="2"/>
        <v>8709.480000000076</v>
      </c>
      <c r="I62" s="62"/>
      <c r="J62" s="59"/>
    </row>
    <row r="63" spans="1:10" ht="15.75" x14ac:dyDescent="0.25">
      <c r="A63" s="27" t="s">
        <v>83</v>
      </c>
      <c r="B63" s="130" t="s">
        <v>52</v>
      </c>
      <c r="C63" s="130">
        <v>51097620</v>
      </c>
      <c r="D63" s="130" t="s">
        <v>34</v>
      </c>
      <c r="E63" s="130">
        <v>4800</v>
      </c>
      <c r="F63" s="21">
        <v>519.85979999999995</v>
      </c>
      <c r="G63" s="21">
        <v>522.46820000000002</v>
      </c>
      <c r="H63" s="18">
        <f t="shared" si="2"/>
        <v>12520.320000000356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48073.800000000025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30" t="s">
        <v>52</v>
      </c>
      <c r="C66" s="9">
        <v>51259238</v>
      </c>
      <c r="D66" s="74" t="s">
        <v>53</v>
      </c>
      <c r="E66" s="74">
        <v>7000</v>
      </c>
      <c r="F66" s="75">
        <v>564.19560000000001</v>
      </c>
      <c r="G66" s="75">
        <v>566.88419999999996</v>
      </c>
      <c r="H66" s="76">
        <f>(G66-F66)*E66</f>
        <v>18820.199999999659</v>
      </c>
      <c r="I66" s="77"/>
      <c r="J66" s="78"/>
    </row>
    <row r="67" spans="1:10" ht="15.75" x14ac:dyDescent="0.25">
      <c r="A67" s="27" t="s">
        <v>86</v>
      </c>
      <c r="B67" s="130" t="s">
        <v>52</v>
      </c>
      <c r="C67" s="130">
        <v>51259324</v>
      </c>
      <c r="D67" s="131" t="s">
        <v>53</v>
      </c>
      <c r="E67" s="131">
        <v>7000</v>
      </c>
      <c r="F67" s="21">
        <v>439.57459999999998</v>
      </c>
      <c r="G67" s="21">
        <v>441.64319999999998</v>
      </c>
      <c r="H67" s="18">
        <f>(G67-F67)*E67</f>
        <v>14480.200000000024</v>
      </c>
      <c r="I67" s="51"/>
      <c r="J67" s="58"/>
    </row>
    <row r="68" spans="1:10" s="129" customFormat="1" ht="15.75" x14ac:dyDescent="0.25">
      <c r="A68" s="27" t="s">
        <v>87</v>
      </c>
      <c r="B68" s="79" t="s">
        <v>88</v>
      </c>
      <c r="C68" s="130">
        <v>51491618</v>
      </c>
      <c r="D68" s="131" t="s">
        <v>63</v>
      </c>
      <c r="E68" s="130">
        <v>40</v>
      </c>
      <c r="F68" s="28">
        <v>1279.703</v>
      </c>
      <c r="G68" s="28">
        <v>1289.2190000000001</v>
      </c>
      <c r="H68" s="18">
        <f>(G68-F68)*E68</f>
        <v>380.64000000000306</v>
      </c>
      <c r="I68" s="51"/>
      <c r="J68" s="58"/>
    </row>
    <row r="69" spans="1:10" s="129" customFormat="1" ht="15.75" x14ac:dyDescent="0.25">
      <c r="A69" s="27" t="s">
        <v>89</v>
      </c>
      <c r="B69" s="79" t="s">
        <v>88</v>
      </c>
      <c r="C69" s="130">
        <v>51491624</v>
      </c>
      <c r="D69" s="131" t="s">
        <v>63</v>
      </c>
      <c r="E69" s="130">
        <v>40</v>
      </c>
      <c r="F69" s="28">
        <v>174.667</v>
      </c>
      <c r="G69" s="28">
        <v>175.39500000000001</v>
      </c>
      <c r="H69" s="18">
        <f>(G69-F69)*E69</f>
        <v>29.120000000000346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33300.399999999681</v>
      </c>
      <c r="I70" s="85">
        <f>H70-H73-H68-H69</f>
        <v>-87.760000000971104</v>
      </c>
      <c r="J70" s="25">
        <f>I70/H70</f>
        <v>-2.6354037789627733E-3</v>
      </c>
    </row>
    <row r="71" spans="1:10" ht="15.75" x14ac:dyDescent="0.25">
      <c r="A71" s="27" t="s">
        <v>91</v>
      </c>
      <c r="B71" s="130" t="s">
        <v>52</v>
      </c>
      <c r="C71" s="86">
        <v>51097588</v>
      </c>
      <c r="D71" s="131" t="s">
        <v>75</v>
      </c>
      <c r="E71" s="130">
        <v>12000</v>
      </c>
      <c r="F71" s="21">
        <v>338.03199999999998</v>
      </c>
      <c r="G71" s="21">
        <v>339.58300000000003</v>
      </c>
      <c r="H71" s="18">
        <f>(G71-F71)*E71</f>
        <v>18612.000000000535</v>
      </c>
      <c r="I71" s="51"/>
      <c r="J71" s="58"/>
    </row>
    <row r="72" spans="1:10" ht="15.75" x14ac:dyDescent="0.25">
      <c r="A72" s="27" t="s">
        <v>92</v>
      </c>
      <c r="B72" s="130" t="s">
        <v>52</v>
      </c>
      <c r="C72" s="86">
        <v>51431335</v>
      </c>
      <c r="D72" s="131" t="s">
        <v>75</v>
      </c>
      <c r="E72" s="130">
        <v>12000</v>
      </c>
      <c r="F72" s="21">
        <v>268.32679999999999</v>
      </c>
      <c r="G72" s="21">
        <v>269.524</v>
      </c>
      <c r="H72" s="18">
        <f>(G72-F72)*E72</f>
        <v>14366.400000000112</v>
      </c>
      <c r="I72" s="51"/>
      <c r="J72" s="58"/>
    </row>
    <row r="73" spans="1:10" ht="15.75" x14ac:dyDescent="0.25">
      <c r="A73" s="87" t="s">
        <v>93</v>
      </c>
      <c r="B73" s="130" t="s">
        <v>27</v>
      </c>
      <c r="C73" s="130"/>
      <c r="D73" s="131"/>
      <c r="E73" s="130"/>
      <c r="F73" s="21"/>
      <c r="G73" s="21"/>
      <c r="H73" s="48">
        <f>H71+ H72</f>
        <v>32978.400000000649</v>
      </c>
      <c r="I73" s="85">
        <f>H73-H81</f>
        <v>-61.919999999561696</v>
      </c>
      <c r="J73" s="25">
        <f>I73/H73</f>
        <v>-1.8775926060560996E-3</v>
      </c>
    </row>
    <row r="74" spans="1:10" ht="15.75" x14ac:dyDescent="0.25">
      <c r="A74" s="27" t="s">
        <v>94</v>
      </c>
      <c r="B74" s="130" t="s">
        <v>52</v>
      </c>
      <c r="C74" s="86">
        <v>51097676</v>
      </c>
      <c r="D74" s="88" t="s">
        <v>63</v>
      </c>
      <c r="E74" s="130">
        <v>2400</v>
      </c>
      <c r="F74" s="21">
        <v>709.31150000000002</v>
      </c>
      <c r="G74" s="21">
        <v>712.62850000000003</v>
      </c>
      <c r="H74" s="18">
        <f>(G74-F74)*E74</f>
        <v>7960.8000000000175</v>
      </c>
      <c r="I74" s="51"/>
      <c r="J74" s="58"/>
    </row>
    <row r="75" spans="1:10" ht="15.75" x14ac:dyDescent="0.25">
      <c r="A75" s="27" t="s">
        <v>95</v>
      </c>
      <c r="B75" s="130" t="s">
        <v>52</v>
      </c>
      <c r="C75" s="86">
        <v>51431355</v>
      </c>
      <c r="D75" s="131" t="s">
        <v>21</v>
      </c>
      <c r="E75" s="131">
        <v>3600</v>
      </c>
      <c r="F75" s="21">
        <v>369.77769999999998</v>
      </c>
      <c r="G75" s="21">
        <v>371.13619999999997</v>
      </c>
      <c r="H75" s="18">
        <f>(G75-F75)*E75</f>
        <v>4890.5999999999722</v>
      </c>
      <c r="I75" s="51"/>
      <c r="J75" s="52"/>
    </row>
    <row r="76" spans="1:10" ht="15.75" x14ac:dyDescent="0.25">
      <c r="A76" s="27" t="s">
        <v>96</v>
      </c>
      <c r="B76" s="130" t="s">
        <v>52</v>
      </c>
      <c r="C76" s="86">
        <v>51259331</v>
      </c>
      <c r="D76" s="88" t="s">
        <v>37</v>
      </c>
      <c r="E76" s="130">
        <v>600</v>
      </c>
      <c r="F76" s="21">
        <v>167.62209999999999</v>
      </c>
      <c r="G76" s="21">
        <v>168.38310000000001</v>
      </c>
      <c r="H76" s="18">
        <f>(G76-F76)*E76</f>
        <v>456.60000000001446</v>
      </c>
      <c r="I76" s="51"/>
      <c r="J76" s="52"/>
    </row>
    <row r="77" spans="1:10" ht="15.75" x14ac:dyDescent="0.25">
      <c r="A77" s="27" t="s">
        <v>97</v>
      </c>
      <c r="B77" s="130" t="s">
        <v>52</v>
      </c>
      <c r="C77" s="86">
        <v>51259326</v>
      </c>
      <c r="D77" s="88" t="s">
        <v>14</v>
      </c>
      <c r="E77" s="130">
        <v>7200</v>
      </c>
      <c r="F77" s="21">
        <v>335.60629999999998</v>
      </c>
      <c r="G77" s="21">
        <v>337.0933</v>
      </c>
      <c r="H77" s="18">
        <f>(G77-F77)*E77</f>
        <v>10706.400000000167</v>
      </c>
      <c r="I77" s="51"/>
      <c r="J77" s="52"/>
    </row>
    <row r="78" spans="1:10" ht="15.75" x14ac:dyDescent="0.25">
      <c r="A78" s="27" t="s">
        <v>98</v>
      </c>
      <c r="B78" s="130" t="s">
        <v>52</v>
      </c>
      <c r="C78" s="86">
        <v>51431351</v>
      </c>
      <c r="D78" s="88" t="s">
        <v>14</v>
      </c>
      <c r="E78" s="130">
        <v>7200</v>
      </c>
      <c r="F78" s="21">
        <v>241.60919999999999</v>
      </c>
      <c r="G78" s="21">
        <v>242.86279999999999</v>
      </c>
      <c r="H78" s="18">
        <f>(G78-F78)*E78</f>
        <v>9025.9200000000419</v>
      </c>
      <c r="I78" s="51"/>
      <c r="J78" s="52"/>
    </row>
    <row r="79" spans="1:10" ht="15.75" x14ac:dyDescent="0.25">
      <c r="A79" s="89" t="s">
        <v>99</v>
      </c>
      <c r="B79" s="130" t="s">
        <v>52</v>
      </c>
      <c r="C79" s="90">
        <v>51097666</v>
      </c>
      <c r="D79" s="88" t="s">
        <v>63</v>
      </c>
      <c r="E79" s="130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30" t="s">
        <v>52</v>
      </c>
      <c r="C80" s="90">
        <v>51259323</v>
      </c>
      <c r="D80" s="88" t="s">
        <v>63</v>
      </c>
      <c r="E80" s="130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33040.320000000211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30" t="s">
        <v>52</v>
      </c>
      <c r="C83" s="106">
        <v>51431297</v>
      </c>
      <c r="D83" s="131" t="s">
        <v>53</v>
      </c>
      <c r="E83" s="100">
        <v>7000</v>
      </c>
      <c r="F83" s="17">
        <v>285.94839999999999</v>
      </c>
      <c r="G83" s="17">
        <v>288.54270000000002</v>
      </c>
      <c r="H83" s="18">
        <f>(G83-F83)*E83</f>
        <v>18160.100000000228</v>
      </c>
      <c r="I83" s="107"/>
      <c r="J83" s="108"/>
    </row>
    <row r="84" spans="1:10" ht="15.75" x14ac:dyDescent="0.25">
      <c r="A84" s="105" t="s">
        <v>86</v>
      </c>
      <c r="B84" s="130" t="s">
        <v>52</v>
      </c>
      <c r="C84" s="106">
        <v>51431332</v>
      </c>
      <c r="D84" s="131" t="s">
        <v>53</v>
      </c>
      <c r="E84" s="100">
        <v>7000</v>
      </c>
      <c r="F84" s="17">
        <v>357.90559999999999</v>
      </c>
      <c r="G84" s="17">
        <v>358.01459999999997</v>
      </c>
      <c r="H84" s="18">
        <f>(G84-F84)*E84</f>
        <v>762.99999999986312</v>
      </c>
      <c r="I84" s="130"/>
      <c r="J84" s="58"/>
    </row>
    <row r="85" spans="1:10" s="129" customFormat="1" ht="15.75" x14ac:dyDescent="0.25">
      <c r="A85" s="27" t="s">
        <v>87</v>
      </c>
      <c r="B85" s="130" t="s">
        <v>103</v>
      </c>
      <c r="C85" s="109">
        <v>150773</v>
      </c>
      <c r="D85" s="131" t="s">
        <v>53</v>
      </c>
      <c r="E85" s="109">
        <v>20</v>
      </c>
      <c r="F85" s="17">
        <v>15689.1</v>
      </c>
      <c r="G85" s="17">
        <v>15692.4</v>
      </c>
      <c r="H85" s="18">
        <f>(G85-F85)*E85</f>
        <v>65.999999999985448</v>
      </c>
      <c r="I85" s="51"/>
      <c r="J85" s="58"/>
    </row>
    <row r="86" spans="1:10" s="129" customFormat="1" ht="15.75" x14ac:dyDescent="0.25">
      <c r="A86" s="27" t="s">
        <v>89</v>
      </c>
      <c r="B86" s="130" t="s">
        <v>103</v>
      </c>
      <c r="C86" s="109">
        <v>150791</v>
      </c>
      <c r="D86" s="131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32"/>
      <c r="C87" s="32"/>
      <c r="D87" s="82"/>
      <c r="E87" s="82"/>
      <c r="F87" s="21"/>
      <c r="G87" s="21"/>
      <c r="H87" s="48">
        <f>H83+H84</f>
        <v>18923.100000000089</v>
      </c>
      <c r="I87" s="85">
        <f>H87-H90-H85-H86</f>
        <v>345.90000000018699</v>
      </c>
      <c r="J87" s="25">
        <f>I87/H87</f>
        <v>1.8279246000929308E-2</v>
      </c>
    </row>
    <row r="88" spans="1:10" ht="15.75" x14ac:dyDescent="0.25">
      <c r="A88" s="27" t="s">
        <v>104</v>
      </c>
      <c r="B88" s="130" t="s">
        <v>52</v>
      </c>
      <c r="C88" s="106">
        <v>51431342</v>
      </c>
      <c r="D88" s="88" t="s">
        <v>34</v>
      </c>
      <c r="E88" s="130">
        <v>4800</v>
      </c>
      <c r="F88" s="21">
        <v>406.12720000000002</v>
      </c>
      <c r="G88" s="21">
        <v>409.86860000000001</v>
      </c>
      <c r="H88" s="18">
        <f>(G88-F88)*E88</f>
        <v>17958.719999999994</v>
      </c>
      <c r="I88" s="51"/>
      <c r="J88" s="52"/>
    </row>
    <row r="89" spans="1:10" ht="15.75" x14ac:dyDescent="0.25">
      <c r="A89" s="27" t="s">
        <v>105</v>
      </c>
      <c r="B89" s="130" t="s">
        <v>52</v>
      </c>
      <c r="C89" s="106">
        <v>51431343</v>
      </c>
      <c r="D89" s="88" t="s">
        <v>34</v>
      </c>
      <c r="E89" s="130">
        <v>4800</v>
      </c>
      <c r="F89" s="21">
        <v>505.46109999999999</v>
      </c>
      <c r="G89" s="21">
        <v>505.57619999999997</v>
      </c>
      <c r="H89" s="18">
        <f>(G89-F89)*E89</f>
        <v>552.47999999992317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18511.199999999917</v>
      </c>
      <c r="I90" s="85">
        <f>H90-H98</f>
        <v>-4.6800000000803266</v>
      </c>
      <c r="J90" s="25">
        <f>I90/H90</f>
        <v>-2.5281991443452327E-4</v>
      </c>
    </row>
    <row r="91" spans="1:10" ht="15.75" x14ac:dyDescent="0.25">
      <c r="A91" s="27" t="s">
        <v>107</v>
      </c>
      <c r="B91" s="130" t="s">
        <v>52</v>
      </c>
      <c r="C91" s="106">
        <v>51431347</v>
      </c>
      <c r="D91" s="131" t="s">
        <v>53</v>
      </c>
      <c r="E91" s="130">
        <v>1200</v>
      </c>
      <c r="F91" s="21">
        <v>1202.1474000000001</v>
      </c>
      <c r="G91" s="21">
        <v>1202.1474000000001</v>
      </c>
      <c r="H91" s="18">
        <f>(G91-F91)*E91</f>
        <v>0</v>
      </c>
      <c r="I91" s="51"/>
      <c r="J91" s="52"/>
    </row>
    <row r="92" spans="1:10" ht="15.75" x14ac:dyDescent="0.25">
      <c r="A92" s="27" t="s">
        <v>108</v>
      </c>
      <c r="B92" s="130" t="s">
        <v>52</v>
      </c>
      <c r="C92" s="106">
        <v>51431339</v>
      </c>
      <c r="D92" s="131" t="s">
        <v>53</v>
      </c>
      <c r="E92" s="130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30" t="s">
        <v>52</v>
      </c>
      <c r="C93" s="106">
        <v>51217244</v>
      </c>
      <c r="D93" s="130" t="s">
        <v>37</v>
      </c>
      <c r="E93" s="130">
        <v>600</v>
      </c>
      <c r="F93" s="30">
        <v>335.14909999999998</v>
      </c>
      <c r="G93" s="30">
        <v>335.9579</v>
      </c>
      <c r="H93" s="18">
        <f t="shared" si="4"/>
        <v>485.28000000001157</v>
      </c>
      <c r="I93" s="51"/>
      <c r="J93" s="52"/>
    </row>
    <row r="94" spans="1:10" ht="15.75" x14ac:dyDescent="0.25">
      <c r="A94" s="27" t="s">
        <v>110</v>
      </c>
      <c r="B94" s="130" t="s">
        <v>52</v>
      </c>
      <c r="C94" s="106">
        <v>51217267</v>
      </c>
      <c r="D94" s="88" t="s">
        <v>63</v>
      </c>
      <c r="E94" s="130">
        <v>2400</v>
      </c>
      <c r="F94" s="30">
        <v>20.3537</v>
      </c>
      <c r="G94" s="30">
        <v>20.383900000000001</v>
      </c>
      <c r="H94" s="18">
        <f t="shared" si="4"/>
        <v>72.48000000000161</v>
      </c>
      <c r="I94" s="51"/>
      <c r="J94" s="52"/>
    </row>
    <row r="95" spans="1:10" ht="15.75" x14ac:dyDescent="0.25">
      <c r="A95" s="27" t="s">
        <v>111</v>
      </c>
      <c r="B95" s="130" t="s">
        <v>52</v>
      </c>
      <c r="C95" s="130">
        <v>51555165</v>
      </c>
      <c r="D95" s="131" t="s">
        <v>53</v>
      </c>
      <c r="E95" s="130">
        <v>1200</v>
      </c>
      <c r="F95" s="30">
        <v>865.78599999999994</v>
      </c>
      <c r="G95" s="30">
        <v>874.42679999999996</v>
      </c>
      <c r="H95" s="18">
        <f t="shared" si="4"/>
        <v>10368.960000000015</v>
      </c>
      <c r="I95" s="51" t="s">
        <v>27</v>
      </c>
      <c r="J95" s="52"/>
    </row>
    <row r="96" spans="1:10" ht="15.75" x14ac:dyDescent="0.25">
      <c r="A96" s="113" t="s">
        <v>112</v>
      </c>
      <c r="B96" s="130" t="s">
        <v>52</v>
      </c>
      <c r="C96" s="106">
        <v>51431346</v>
      </c>
      <c r="D96" s="114" t="s">
        <v>37</v>
      </c>
      <c r="E96" s="114">
        <v>600</v>
      </c>
      <c r="F96" s="30">
        <v>356.25659999999999</v>
      </c>
      <c r="G96" s="30">
        <v>358.3168</v>
      </c>
      <c r="H96" s="115">
        <f t="shared" si="4"/>
        <v>1236.1200000000053</v>
      </c>
      <c r="I96" s="116"/>
      <c r="J96" s="117"/>
    </row>
    <row r="97" spans="1:10" ht="15.75" x14ac:dyDescent="0.25">
      <c r="A97" s="27" t="s">
        <v>113</v>
      </c>
      <c r="B97" s="130" t="s">
        <v>52</v>
      </c>
      <c r="C97" s="106">
        <v>51431352</v>
      </c>
      <c r="D97" s="88" t="s">
        <v>21</v>
      </c>
      <c r="E97" s="130">
        <v>3600</v>
      </c>
      <c r="F97" s="21">
        <v>233.9076</v>
      </c>
      <c r="G97" s="21">
        <v>235.654</v>
      </c>
      <c r="H97" s="18">
        <f t="shared" si="4"/>
        <v>6287.039999999979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18515.879999999997</v>
      </c>
      <c r="I98" s="51"/>
      <c r="J98" s="52"/>
    </row>
    <row r="99" spans="1:10" ht="15.75" x14ac:dyDescent="0.25">
      <c r="A99" s="45" t="s">
        <v>114</v>
      </c>
      <c r="B99" s="130" t="s">
        <v>52</v>
      </c>
      <c r="C99" s="120">
        <v>51431357</v>
      </c>
      <c r="D99" s="131" t="s">
        <v>63</v>
      </c>
      <c r="E99" s="131">
        <v>14000</v>
      </c>
      <c r="F99" s="28">
        <v>843.97479999999996</v>
      </c>
      <c r="G99" s="28">
        <v>847.23609999999996</v>
      </c>
      <c r="H99" s="121">
        <f t="shared" si="4"/>
        <v>45658.200000000077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opLeftCell="A71" zoomScaleNormal="100" workbookViewId="0">
      <selection activeCell="H98" sqref="H98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118</v>
      </c>
      <c r="G2" s="4" t="s">
        <v>119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33" t="s">
        <v>13</v>
      </c>
      <c r="C4" s="133">
        <v>51555166</v>
      </c>
      <c r="D4" s="133" t="s">
        <v>14</v>
      </c>
      <c r="E4" s="133">
        <v>132000</v>
      </c>
      <c r="F4" s="17">
        <v>3.6042000000000001</v>
      </c>
      <c r="G4" s="17">
        <v>4.5503</v>
      </c>
      <c r="H4" s="18">
        <f>(G4-F4)*E4</f>
        <v>124885.2</v>
      </c>
      <c r="I4" s="19"/>
      <c r="J4" s="20"/>
    </row>
    <row r="5" spans="1:10" ht="15.75" x14ac:dyDescent="0.25">
      <c r="A5" s="15" t="s">
        <v>15</v>
      </c>
      <c r="B5" s="133" t="s">
        <v>13</v>
      </c>
      <c r="C5" s="133">
        <v>51555191</v>
      </c>
      <c r="D5" s="133" t="s">
        <v>14</v>
      </c>
      <c r="E5" s="133">
        <v>132000</v>
      </c>
      <c r="F5" s="21">
        <v>378.31439999999998</v>
      </c>
      <c r="G5" s="21">
        <v>379.31670000000003</v>
      </c>
      <c r="H5" s="18">
        <f>(G5-F5)*E5</f>
        <v>132303.60000000632</v>
      </c>
      <c r="I5" s="19"/>
      <c r="J5" s="20"/>
    </row>
    <row r="6" spans="1:10" ht="15.75" x14ac:dyDescent="0.25">
      <c r="A6" s="218" t="s">
        <v>16</v>
      </c>
      <c r="B6" s="219"/>
      <c r="C6" s="133"/>
      <c r="D6" s="134"/>
      <c r="E6" s="133"/>
      <c r="H6" s="23">
        <f>H4+H5</f>
        <v>257188.80000000633</v>
      </c>
      <c r="I6" s="24">
        <f>H6-H9-H19</f>
        <v>1888.2000000056287</v>
      </c>
      <c r="J6" s="25">
        <f>I6/H6</f>
        <v>7.3416882850481134E-3</v>
      </c>
    </row>
    <row r="7" spans="1:10" ht="15.75" x14ac:dyDescent="0.25">
      <c r="A7" s="26" t="s">
        <v>17</v>
      </c>
      <c r="B7" s="133" t="s">
        <v>13</v>
      </c>
      <c r="C7" s="133">
        <v>51097629</v>
      </c>
      <c r="D7" s="134" t="s">
        <v>14</v>
      </c>
      <c r="E7" s="133">
        <v>42000</v>
      </c>
      <c r="F7" s="21">
        <v>1119.3693000000001</v>
      </c>
      <c r="G7" s="21">
        <v>1120.7697000000001</v>
      </c>
      <c r="H7" s="18">
        <f>(G7-F7)*E7</f>
        <v>58816.799999999603</v>
      </c>
      <c r="I7" s="19"/>
      <c r="J7" s="20"/>
    </row>
    <row r="8" spans="1:10" ht="15.75" x14ac:dyDescent="0.25">
      <c r="A8" s="26" t="s">
        <v>18</v>
      </c>
      <c r="B8" s="133" t="s">
        <v>13</v>
      </c>
      <c r="C8" s="133">
        <v>51616820</v>
      </c>
      <c r="D8" s="134" t="s">
        <v>14</v>
      </c>
      <c r="E8" s="133">
        <v>42000</v>
      </c>
      <c r="F8" s="21">
        <v>6.3578000000000001</v>
      </c>
      <c r="G8" s="21">
        <v>9.3055000000000003</v>
      </c>
      <c r="H8" s="18">
        <f>(G8-F8)*E8</f>
        <v>123803.40000000001</v>
      </c>
      <c r="I8" s="19"/>
      <c r="J8" s="20"/>
    </row>
    <row r="9" spans="1:10" ht="15.75" x14ac:dyDescent="0.25">
      <c r="A9" s="218" t="s">
        <v>19</v>
      </c>
      <c r="B9" s="219"/>
      <c r="C9" s="133"/>
      <c r="D9" s="134"/>
      <c r="E9" s="133"/>
      <c r="F9" s="21"/>
      <c r="G9" s="21"/>
      <c r="H9" s="23">
        <f>H7+H8</f>
        <v>182620.1999999996</v>
      </c>
      <c r="I9" s="24">
        <f>H9-H16</f>
        <v>-16.799999998940621</v>
      </c>
      <c r="J9" s="25">
        <f>I9/H9</f>
        <v>-9.1994204359324195E-5</v>
      </c>
    </row>
    <row r="10" spans="1:10" ht="15.75" x14ac:dyDescent="0.25">
      <c r="A10" s="27" t="s">
        <v>20</v>
      </c>
      <c r="B10" s="133" t="s">
        <v>13</v>
      </c>
      <c r="C10" s="133">
        <v>51217286</v>
      </c>
      <c r="D10" s="134" t="s">
        <v>21</v>
      </c>
      <c r="E10" s="133">
        <v>21000</v>
      </c>
      <c r="F10" s="21">
        <v>880.59960000000001</v>
      </c>
      <c r="G10" s="21">
        <v>883.69799999999998</v>
      </c>
      <c r="H10" s="18">
        <f t="shared" ref="H10:H15" si="0">(G10-F10)*E10</f>
        <v>65066.399999999361</v>
      </c>
      <c r="I10" s="19"/>
      <c r="J10" s="20"/>
    </row>
    <row r="11" spans="1:10" ht="15.75" x14ac:dyDescent="0.25">
      <c r="A11" s="27" t="s">
        <v>22</v>
      </c>
      <c r="B11" s="133" t="s">
        <v>13</v>
      </c>
      <c r="C11" s="133">
        <v>51217292</v>
      </c>
      <c r="D11" s="134" t="s">
        <v>21</v>
      </c>
      <c r="E11" s="133">
        <v>21000</v>
      </c>
      <c r="F11" s="28">
        <v>3.8994</v>
      </c>
      <c r="G11" s="28">
        <v>3.9056999999999999</v>
      </c>
      <c r="H11" s="18">
        <f>(G11-F11)*E11</f>
        <v>132.29999999999941</v>
      </c>
      <c r="I11" s="19"/>
      <c r="J11" s="20"/>
    </row>
    <row r="12" spans="1:10" ht="15.75" x14ac:dyDescent="0.25">
      <c r="A12" s="27" t="s">
        <v>23</v>
      </c>
      <c r="B12" s="133" t="s">
        <v>13</v>
      </c>
      <c r="C12" s="133">
        <v>51217271</v>
      </c>
      <c r="D12" s="134" t="s">
        <v>21</v>
      </c>
      <c r="E12" s="133">
        <v>21000</v>
      </c>
      <c r="F12" s="21">
        <v>654.95699999999999</v>
      </c>
      <c r="G12" s="21">
        <v>657.81190000000004</v>
      </c>
      <c r="H12" s="18">
        <f t="shared" si="0"/>
        <v>59952.900000000911</v>
      </c>
      <c r="I12" s="19"/>
      <c r="J12" s="20"/>
    </row>
    <row r="13" spans="1:10" ht="15.75" x14ac:dyDescent="0.25">
      <c r="A13" s="27" t="s">
        <v>24</v>
      </c>
      <c r="B13" s="133" t="s">
        <v>13</v>
      </c>
      <c r="C13" s="133">
        <v>51217276</v>
      </c>
      <c r="D13" s="134" t="s">
        <v>21</v>
      </c>
      <c r="E13" s="133">
        <v>21000</v>
      </c>
      <c r="F13" s="28">
        <v>0.57569999999999999</v>
      </c>
      <c r="G13" s="28">
        <v>0.58050000000000002</v>
      </c>
      <c r="H13" s="18">
        <f>(G13-F13)*E13</f>
        <v>100.80000000000055</v>
      </c>
      <c r="I13" s="19"/>
      <c r="J13" s="20"/>
    </row>
    <row r="14" spans="1:10" ht="15.75" x14ac:dyDescent="0.25">
      <c r="A14" s="27" t="s">
        <v>25</v>
      </c>
      <c r="B14" s="133" t="s">
        <v>13</v>
      </c>
      <c r="C14" s="133">
        <v>51100990</v>
      </c>
      <c r="D14" s="134" t="s">
        <v>21</v>
      </c>
      <c r="E14" s="133">
        <v>21000</v>
      </c>
      <c r="F14" s="29">
        <v>710.22360000000003</v>
      </c>
      <c r="G14" s="29">
        <v>711.07899999999995</v>
      </c>
      <c r="H14" s="18">
        <f t="shared" si="0"/>
        <v>17963.399999998273</v>
      </c>
      <c r="I14" s="19"/>
      <c r="J14" s="20"/>
    </row>
    <row r="15" spans="1:10" ht="15.75" x14ac:dyDescent="0.25">
      <c r="A15" s="27" t="s">
        <v>26</v>
      </c>
      <c r="B15" s="133" t="s">
        <v>13</v>
      </c>
      <c r="C15" s="133">
        <v>51097622</v>
      </c>
      <c r="D15" s="134" t="s">
        <v>21</v>
      </c>
      <c r="E15" s="133">
        <v>21000</v>
      </c>
      <c r="F15" s="21">
        <v>3.7222</v>
      </c>
      <c r="G15" s="21">
        <v>5.5994000000000002</v>
      </c>
      <c r="H15" s="18">
        <f t="shared" si="0"/>
        <v>39421.200000000004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33"/>
      <c r="D16" s="134"/>
      <c r="E16" s="133"/>
      <c r="F16" s="21"/>
      <c r="G16" s="21"/>
      <c r="H16" s="23">
        <f>H10+H11+H12+H13+H14+H15</f>
        <v>182636.99999999854</v>
      </c>
      <c r="I16" s="19"/>
      <c r="J16" s="20"/>
    </row>
    <row r="17" spans="1:10" ht="15.75" x14ac:dyDescent="0.25">
      <c r="A17" s="26" t="s">
        <v>29</v>
      </c>
      <c r="B17" s="133" t="s">
        <v>13</v>
      </c>
      <c r="C17" s="133">
        <v>51097617</v>
      </c>
      <c r="D17" s="134" t="s">
        <v>30</v>
      </c>
      <c r="E17" s="133">
        <v>18000</v>
      </c>
      <c r="F17" s="30">
        <v>865.62819999999999</v>
      </c>
      <c r="G17" s="30">
        <v>869.66600000000005</v>
      </c>
      <c r="H17" s="18">
        <f>(G17-F17)*E17</f>
        <v>72680.4000000011</v>
      </c>
      <c r="I17" s="19"/>
      <c r="J17" s="20"/>
    </row>
    <row r="18" spans="1:10" ht="15.75" x14ac:dyDescent="0.25">
      <c r="A18" s="26" t="s">
        <v>31</v>
      </c>
      <c r="B18" s="133" t="s">
        <v>13</v>
      </c>
      <c r="C18" s="133">
        <v>51097655</v>
      </c>
      <c r="D18" s="134" t="s">
        <v>30</v>
      </c>
      <c r="E18" s="133">
        <v>18000</v>
      </c>
      <c r="F18" s="30">
        <v>8.2071000000000005</v>
      </c>
      <c r="G18" s="30">
        <v>8.2071000000000005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33"/>
      <c r="D19" s="134"/>
      <c r="E19" s="133"/>
      <c r="F19" s="30"/>
      <c r="G19" s="30"/>
      <c r="H19" s="23">
        <f>H17+H18</f>
        <v>72680.4000000011</v>
      </c>
      <c r="I19" s="24">
        <f>H19-H34</f>
        <v>1234.2000000005501</v>
      </c>
      <c r="J19" s="25">
        <f>I19/H19</f>
        <v>1.6981194379785076E-2</v>
      </c>
    </row>
    <row r="20" spans="1:10" ht="15.75" x14ac:dyDescent="0.25">
      <c r="A20" s="15" t="s">
        <v>33</v>
      </c>
      <c r="B20" s="133" t="s">
        <v>13</v>
      </c>
      <c r="C20" s="133">
        <v>51217282</v>
      </c>
      <c r="D20" s="134" t="s">
        <v>34</v>
      </c>
      <c r="E20" s="133">
        <v>4800</v>
      </c>
      <c r="F20" s="21">
        <v>382.4461</v>
      </c>
      <c r="G20" s="21">
        <v>382.49149999999997</v>
      </c>
      <c r="H20" s="18">
        <f t="shared" ref="H20:H33" si="1">(G20-F20)*E20</f>
        <v>217.91999999986729</v>
      </c>
      <c r="I20" s="19" t="s">
        <v>27</v>
      </c>
      <c r="J20" s="20"/>
    </row>
    <row r="21" spans="1:10" ht="15.75" x14ac:dyDescent="0.25">
      <c r="A21" s="15" t="s">
        <v>35</v>
      </c>
      <c r="B21" s="133" t="s">
        <v>13</v>
      </c>
      <c r="C21" s="133">
        <v>51217274</v>
      </c>
      <c r="D21" s="134" t="s">
        <v>34</v>
      </c>
      <c r="E21" s="133">
        <v>4800</v>
      </c>
      <c r="F21" s="21">
        <v>1351.0346999999999</v>
      </c>
      <c r="G21" s="21">
        <v>1356.9591</v>
      </c>
      <c r="H21" s="18">
        <f t="shared" si="1"/>
        <v>28437.120000000505</v>
      </c>
      <c r="I21" s="19"/>
      <c r="J21" s="20"/>
    </row>
    <row r="22" spans="1:10" ht="15.75" x14ac:dyDescent="0.25">
      <c r="A22" s="15" t="s">
        <v>36</v>
      </c>
      <c r="B22" s="133" t="s">
        <v>13</v>
      </c>
      <c r="C22" s="133">
        <v>51097664</v>
      </c>
      <c r="D22" s="134" t="s">
        <v>37</v>
      </c>
      <c r="E22" s="133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33" t="s">
        <v>13</v>
      </c>
      <c r="C23" s="133">
        <v>51097615</v>
      </c>
      <c r="D23" s="134" t="s">
        <v>37</v>
      </c>
      <c r="E23" s="133">
        <v>600</v>
      </c>
      <c r="F23" s="21">
        <v>44.364699999999999</v>
      </c>
      <c r="G23" s="21">
        <v>44.658099999999997</v>
      </c>
      <c r="H23" s="18">
        <f t="shared" si="1"/>
        <v>176.039999999999</v>
      </c>
      <c r="I23" s="19"/>
      <c r="J23" s="20"/>
    </row>
    <row r="24" spans="1:10" ht="15.75" x14ac:dyDescent="0.25">
      <c r="A24" s="15" t="s">
        <v>39</v>
      </c>
      <c r="B24" s="133" t="s">
        <v>13</v>
      </c>
      <c r="C24" s="133">
        <v>51217264</v>
      </c>
      <c r="D24" s="134" t="s">
        <v>37</v>
      </c>
      <c r="E24" s="133">
        <v>600</v>
      </c>
      <c r="F24" s="21">
        <v>104.1658</v>
      </c>
      <c r="G24" s="21">
        <v>104.7291</v>
      </c>
      <c r="H24" s="18">
        <f t="shared" si="1"/>
        <v>337.97999999999888</v>
      </c>
      <c r="I24" s="19"/>
      <c r="J24" s="20"/>
    </row>
    <row r="25" spans="1:10" ht="15.75" x14ac:dyDescent="0.25">
      <c r="A25" s="15" t="s">
        <v>40</v>
      </c>
      <c r="B25" s="133" t="s">
        <v>13</v>
      </c>
      <c r="C25" s="133">
        <v>51217288</v>
      </c>
      <c r="D25" s="134" t="s">
        <v>37</v>
      </c>
      <c r="E25" s="133">
        <v>600</v>
      </c>
      <c r="F25" s="21">
        <v>20.484200000000001</v>
      </c>
      <c r="G25" s="21">
        <v>20.515000000000001</v>
      </c>
      <c r="H25" s="18">
        <f t="shared" si="1"/>
        <v>18.479999999999563</v>
      </c>
      <c r="I25" s="19" t="s">
        <v>27</v>
      </c>
      <c r="J25" s="20"/>
    </row>
    <row r="26" spans="1:10" ht="15.75" x14ac:dyDescent="0.25">
      <c r="A26" s="15" t="s">
        <v>41</v>
      </c>
      <c r="B26" s="133" t="s">
        <v>13</v>
      </c>
      <c r="C26" s="133">
        <v>51217279</v>
      </c>
      <c r="D26" s="134" t="s">
        <v>37</v>
      </c>
      <c r="E26" s="133">
        <v>600</v>
      </c>
      <c r="F26" s="21">
        <v>15.3185</v>
      </c>
      <c r="G26" s="21">
        <v>15.372400000000001</v>
      </c>
      <c r="H26" s="18">
        <f t="shared" si="1"/>
        <v>32.340000000000302</v>
      </c>
      <c r="I26" s="19" t="s">
        <v>27</v>
      </c>
      <c r="J26" s="20"/>
    </row>
    <row r="27" spans="1:10" ht="15.75" x14ac:dyDescent="0.25">
      <c r="A27" s="15" t="s">
        <v>42</v>
      </c>
      <c r="B27" s="133" t="s">
        <v>13</v>
      </c>
      <c r="C27" s="133">
        <v>51217272</v>
      </c>
      <c r="D27" s="134" t="s">
        <v>37</v>
      </c>
      <c r="E27" s="133">
        <v>600</v>
      </c>
      <c r="F27" s="31">
        <v>15.024699999999999</v>
      </c>
      <c r="G27" s="31">
        <v>15.077500000000001</v>
      </c>
      <c r="H27" s="18">
        <f t="shared" si="1"/>
        <v>31.680000000000774</v>
      </c>
      <c r="I27" s="19"/>
      <c r="J27" s="20"/>
    </row>
    <row r="28" spans="1:10" ht="15.75" x14ac:dyDescent="0.25">
      <c r="A28" s="15" t="s">
        <v>43</v>
      </c>
      <c r="B28" s="133" t="s">
        <v>13</v>
      </c>
      <c r="C28" s="133">
        <v>51616744</v>
      </c>
      <c r="D28" s="134">
        <f>300/5</f>
        <v>60</v>
      </c>
      <c r="E28" s="133">
        <v>3600</v>
      </c>
      <c r="F28" s="31">
        <v>109.78489999999999</v>
      </c>
      <c r="G28" s="31">
        <v>109.78489999999999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33" t="s">
        <v>13</v>
      </c>
      <c r="C29" s="133">
        <v>51555226</v>
      </c>
      <c r="D29" s="134">
        <f>300/5</f>
        <v>60</v>
      </c>
      <c r="E29" s="133">
        <v>3600</v>
      </c>
      <c r="F29" s="31">
        <v>520.53399999999999</v>
      </c>
      <c r="G29" s="31">
        <v>524.23419999999999</v>
      </c>
      <c r="H29" s="18">
        <f>(G29-F29)*E29</f>
        <v>13320.719999999983</v>
      </c>
      <c r="I29" s="19"/>
      <c r="J29" s="20"/>
    </row>
    <row r="30" spans="1:10" ht="15.75" x14ac:dyDescent="0.25">
      <c r="A30" s="15" t="s">
        <v>45</v>
      </c>
      <c r="B30" s="133" t="s">
        <v>13</v>
      </c>
      <c r="C30" s="133">
        <v>51097658</v>
      </c>
      <c r="D30" s="134" t="s">
        <v>34</v>
      </c>
      <c r="E30" s="133">
        <v>4800</v>
      </c>
      <c r="F30" s="31">
        <v>672.31949999999995</v>
      </c>
      <c r="G30" s="31">
        <v>675.82929999999999</v>
      </c>
      <c r="H30" s="18">
        <f t="shared" si="1"/>
        <v>16847.040000000197</v>
      </c>
      <c r="I30" s="19"/>
      <c r="J30" s="20"/>
    </row>
    <row r="31" spans="1:10" ht="15.75" x14ac:dyDescent="0.25">
      <c r="A31" s="15" t="s">
        <v>46</v>
      </c>
      <c r="B31" s="133" t="s">
        <v>13</v>
      </c>
      <c r="C31" s="133">
        <v>51097635</v>
      </c>
      <c r="D31" s="134" t="s">
        <v>34</v>
      </c>
      <c r="E31" s="133">
        <v>4800</v>
      </c>
      <c r="F31" s="31">
        <v>48.469200000000001</v>
      </c>
      <c r="G31" s="31">
        <v>48.4709</v>
      </c>
      <c r="H31" s="18">
        <f t="shared" si="1"/>
        <v>8.1599999999980355</v>
      </c>
      <c r="I31" s="19"/>
      <c r="J31" s="20"/>
    </row>
    <row r="32" spans="1:10" ht="15.75" x14ac:dyDescent="0.25">
      <c r="A32" s="15" t="s">
        <v>47</v>
      </c>
      <c r="B32" s="133" t="s">
        <v>13</v>
      </c>
      <c r="C32" s="32">
        <v>51097633</v>
      </c>
      <c r="D32" s="134" t="s">
        <v>34</v>
      </c>
      <c r="E32" s="133">
        <v>4800</v>
      </c>
      <c r="F32" s="31">
        <v>184.33</v>
      </c>
      <c r="G32" s="31">
        <v>186.80350000000001</v>
      </c>
      <c r="H32" s="33">
        <f t="shared" si="1"/>
        <v>11872.800000000007</v>
      </c>
      <c r="I32" s="34"/>
      <c r="J32" s="35"/>
    </row>
    <row r="33" spans="1:10" ht="15.75" x14ac:dyDescent="0.25">
      <c r="A33" s="15" t="s">
        <v>48</v>
      </c>
      <c r="B33" s="133" t="s">
        <v>13</v>
      </c>
      <c r="C33" s="32">
        <v>51097662</v>
      </c>
      <c r="D33" s="134" t="s">
        <v>34</v>
      </c>
      <c r="E33" s="133">
        <v>4800</v>
      </c>
      <c r="F33" s="31">
        <v>3.9043000000000001</v>
      </c>
      <c r="G33" s="31">
        <v>3.9346999999999999</v>
      </c>
      <c r="H33" s="33">
        <f t="shared" si="1"/>
        <v>145.91999999999885</v>
      </c>
      <c r="I33" s="34"/>
      <c r="J33" s="35"/>
    </row>
    <row r="34" spans="1:10" ht="15.75" x14ac:dyDescent="0.25">
      <c r="A34" s="218" t="s">
        <v>49</v>
      </c>
      <c r="B34" s="219"/>
      <c r="C34" s="133"/>
      <c r="D34" s="134"/>
      <c r="E34" s="133"/>
      <c r="F34" s="36"/>
      <c r="G34" s="36"/>
      <c r="H34" s="23">
        <f>H20+H21+H22+H23+H24+H25+H26+H27+H28+H29+H30+H31+H32+H33</f>
        <v>71446.20000000055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33" t="s">
        <v>52</v>
      </c>
      <c r="C36" s="133">
        <v>51555209</v>
      </c>
      <c r="D36" s="134" t="s">
        <v>53</v>
      </c>
      <c r="E36" s="133">
        <v>7000</v>
      </c>
      <c r="F36" s="17">
        <v>6.0035999999999996</v>
      </c>
      <c r="G36" s="17">
        <v>6.0434999999999999</v>
      </c>
      <c r="H36" s="41">
        <f>(G36-F36)*E36</f>
        <v>279.30000000000189</v>
      </c>
      <c r="I36" s="42"/>
      <c r="J36" s="14"/>
    </row>
    <row r="37" spans="1:10" ht="15.75" x14ac:dyDescent="0.25">
      <c r="A37" s="15" t="s">
        <v>54</v>
      </c>
      <c r="B37" s="133" t="s">
        <v>52</v>
      </c>
      <c r="C37" s="133">
        <v>51555209</v>
      </c>
      <c r="D37" s="134" t="s">
        <v>53</v>
      </c>
      <c r="E37" s="133">
        <v>7000</v>
      </c>
      <c r="F37" s="21">
        <v>10.3934</v>
      </c>
      <c r="G37" s="21">
        <v>10.4321</v>
      </c>
      <c r="H37" s="18">
        <f>(G37-F37)*E37</f>
        <v>270.90000000000282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33" t="s">
        <v>52</v>
      </c>
      <c r="C39" s="133">
        <v>51097674</v>
      </c>
      <c r="D39" s="133" t="s">
        <v>14</v>
      </c>
      <c r="E39" s="133">
        <v>7200</v>
      </c>
      <c r="F39" s="21">
        <v>601.90110000000004</v>
      </c>
      <c r="G39" s="21">
        <v>604.27200000000005</v>
      </c>
      <c r="H39" s="18">
        <f>(G39-F39)*E39</f>
        <v>17070.480000000043</v>
      </c>
      <c r="I39" s="47"/>
      <c r="J39" s="20"/>
    </row>
    <row r="40" spans="1:10" ht="15.75" x14ac:dyDescent="0.25">
      <c r="A40" s="27" t="s">
        <v>57</v>
      </c>
      <c r="B40" s="133" t="s">
        <v>52</v>
      </c>
      <c r="C40" s="133">
        <v>51259257</v>
      </c>
      <c r="D40" s="133" t="s">
        <v>14</v>
      </c>
      <c r="E40" s="133">
        <v>7200</v>
      </c>
      <c r="F40" s="21">
        <v>1.0555000000000001</v>
      </c>
      <c r="G40" s="21">
        <v>1.0555000000000001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33"/>
      <c r="C41" s="133"/>
      <c r="D41" s="133"/>
      <c r="E41" s="133"/>
      <c r="F41" s="21"/>
      <c r="G41" s="21"/>
      <c r="H41" s="48">
        <f>H39+H40</f>
        <v>17070.480000000043</v>
      </c>
      <c r="I41" s="24">
        <f>H41-H49</f>
        <v>-119.72000000007029</v>
      </c>
      <c r="J41" s="25">
        <f>I41/H41</f>
        <v>-7.0132767209867553E-3</v>
      </c>
    </row>
    <row r="42" spans="1:10" ht="15.75" x14ac:dyDescent="0.25">
      <c r="A42" s="15" t="s">
        <v>59</v>
      </c>
      <c r="B42" s="133"/>
      <c r="C42" s="133"/>
      <c r="D42" s="134"/>
      <c r="E42" s="133"/>
      <c r="H42" s="18"/>
      <c r="I42" s="43"/>
      <c r="J42" s="20"/>
    </row>
    <row r="43" spans="1:10" ht="15.75" x14ac:dyDescent="0.25">
      <c r="A43" s="27" t="s">
        <v>60</v>
      </c>
      <c r="B43" s="133" t="s">
        <v>52</v>
      </c>
      <c r="C43" s="32">
        <v>51097648</v>
      </c>
      <c r="D43" s="133" t="s">
        <v>53</v>
      </c>
      <c r="E43" s="133">
        <v>1200</v>
      </c>
      <c r="F43" s="21">
        <v>492.58249999999998</v>
      </c>
      <c r="G43" s="21">
        <v>494.51850000000002</v>
      </c>
      <c r="H43" s="33">
        <f>(G43-F43)*E43</f>
        <v>2323.2000000000426</v>
      </c>
      <c r="I43" s="43"/>
      <c r="J43" s="20"/>
    </row>
    <row r="44" spans="1:10" ht="15.75" x14ac:dyDescent="0.25">
      <c r="A44" s="27" t="s">
        <v>61</v>
      </c>
      <c r="B44" s="133" t="s">
        <v>52</v>
      </c>
      <c r="C44" s="32">
        <v>50555043</v>
      </c>
      <c r="D44" s="133" t="s">
        <v>53</v>
      </c>
      <c r="E44" s="133">
        <v>1200</v>
      </c>
      <c r="F44" s="21">
        <v>2061.5306</v>
      </c>
      <c r="G44" s="21">
        <v>2069.5859</v>
      </c>
      <c r="H44" s="33">
        <f>(G44-F44)*E44</f>
        <v>9666.359999999986</v>
      </c>
      <c r="I44" s="43"/>
      <c r="J44" s="20"/>
    </row>
    <row r="45" spans="1:10" ht="15.75" x14ac:dyDescent="0.25">
      <c r="A45" s="27" t="s">
        <v>62</v>
      </c>
      <c r="B45" s="133" t="s">
        <v>52</v>
      </c>
      <c r="C45" s="32">
        <v>51259336</v>
      </c>
      <c r="D45" s="133" t="s">
        <v>63</v>
      </c>
      <c r="E45" s="133">
        <v>2400</v>
      </c>
      <c r="F45" s="21">
        <v>4.1744000000000003</v>
      </c>
      <c r="G45" s="21">
        <v>4.1879</v>
      </c>
      <c r="H45" s="33">
        <f>(G45-F45)*E45</f>
        <v>32.399999999999096</v>
      </c>
      <c r="I45" s="43"/>
      <c r="J45" s="20"/>
    </row>
    <row r="46" spans="1:10" ht="15.75" x14ac:dyDescent="0.25">
      <c r="A46" s="27" t="s">
        <v>64</v>
      </c>
      <c r="B46" s="133" t="s">
        <v>52</v>
      </c>
      <c r="C46" s="32">
        <v>51259266</v>
      </c>
      <c r="D46" s="133" t="s">
        <v>53</v>
      </c>
      <c r="E46" s="133">
        <v>1200</v>
      </c>
      <c r="F46" s="21">
        <v>1000.5753999999999</v>
      </c>
      <c r="G46" s="21">
        <v>1004.4791</v>
      </c>
      <c r="H46" s="33">
        <f>(G46-F46)*E46</f>
        <v>4684.440000000086</v>
      </c>
      <c r="I46" s="43"/>
      <c r="J46" s="20"/>
    </row>
    <row r="47" spans="1:10" ht="15.75" x14ac:dyDescent="0.25">
      <c r="A47" s="27" t="s">
        <v>65</v>
      </c>
      <c r="B47" s="133" t="s">
        <v>52</v>
      </c>
      <c r="C47" s="32">
        <v>51431336</v>
      </c>
      <c r="D47" s="133" t="s">
        <v>53</v>
      </c>
      <c r="E47" s="133">
        <v>1200</v>
      </c>
      <c r="F47" s="21">
        <v>58.899799999999999</v>
      </c>
      <c r="G47" s="21">
        <v>59.261299999999999</v>
      </c>
      <c r="H47" s="33">
        <f>(G47-F47)*E47</f>
        <v>433.79999999999939</v>
      </c>
      <c r="I47" s="43"/>
      <c r="J47" s="20"/>
    </row>
    <row r="48" spans="1:10" ht="15.75" x14ac:dyDescent="0.25">
      <c r="A48" s="15" t="s">
        <v>66</v>
      </c>
      <c r="B48" s="133" t="s">
        <v>67</v>
      </c>
      <c r="C48" s="133">
        <v>49174</v>
      </c>
      <c r="D48" s="134" t="s">
        <v>53</v>
      </c>
      <c r="E48" s="133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17190.200000000114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33" t="s">
        <v>52</v>
      </c>
      <c r="C51" s="133">
        <v>51097603</v>
      </c>
      <c r="D51" s="134" t="s">
        <v>53</v>
      </c>
      <c r="E51" s="133">
        <v>7000</v>
      </c>
      <c r="F51" s="17">
        <v>1967.6664000000001</v>
      </c>
      <c r="G51" s="17">
        <v>1974.3280999999999</v>
      </c>
      <c r="H51" s="18">
        <f>(G51-F51)*E51</f>
        <v>46631.899999999179</v>
      </c>
      <c r="I51" s="43"/>
      <c r="J51" s="20"/>
    </row>
    <row r="52" spans="1:10" ht="15.75" x14ac:dyDescent="0.25">
      <c r="A52" s="27" t="s">
        <v>72</v>
      </c>
      <c r="B52" s="133" t="s">
        <v>52</v>
      </c>
      <c r="C52" s="133">
        <v>51097590</v>
      </c>
      <c r="D52" s="134" t="s">
        <v>53</v>
      </c>
      <c r="E52" s="133">
        <v>7000</v>
      </c>
      <c r="F52" s="21">
        <v>12.7349</v>
      </c>
      <c r="G52" s="21">
        <v>12.759</v>
      </c>
      <c r="H52" s="18">
        <f>(G52-F52)*E52</f>
        <v>168.70000000000474</v>
      </c>
      <c r="I52" s="43"/>
      <c r="J52" s="20"/>
    </row>
    <row r="53" spans="1:10" ht="15.75" x14ac:dyDescent="0.25">
      <c r="A53" s="15" t="s">
        <v>66</v>
      </c>
      <c r="B53" s="133" t="s">
        <v>67</v>
      </c>
      <c r="C53" s="133">
        <v>49174</v>
      </c>
      <c r="D53" s="134" t="s">
        <v>53</v>
      </c>
      <c r="E53" s="133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33"/>
      <c r="D54" s="134"/>
      <c r="E54" s="133"/>
      <c r="F54" s="21"/>
      <c r="G54" s="21"/>
      <c r="H54" s="48">
        <f>H51+H52+H53</f>
        <v>46900.599999999184</v>
      </c>
      <c r="I54" s="47"/>
      <c r="J54" s="59"/>
    </row>
    <row r="55" spans="1:10" ht="15.75" x14ac:dyDescent="0.25">
      <c r="A55" s="27" t="s">
        <v>74</v>
      </c>
      <c r="B55" s="133" t="s">
        <v>52</v>
      </c>
      <c r="C55" s="133">
        <v>51100980</v>
      </c>
      <c r="D55" s="133" t="s">
        <v>75</v>
      </c>
      <c r="E55" s="133">
        <v>12000</v>
      </c>
      <c r="F55" s="21">
        <v>1157.6787999999999</v>
      </c>
      <c r="G55" s="21">
        <v>1161.5762</v>
      </c>
      <c r="H55" s="18">
        <f>(G55-F55)*E55</f>
        <v>46768.800000000738</v>
      </c>
      <c r="I55" s="47"/>
      <c r="J55" s="58"/>
    </row>
    <row r="56" spans="1:10" ht="15.75" x14ac:dyDescent="0.25">
      <c r="A56" s="27" t="s">
        <v>76</v>
      </c>
      <c r="B56" s="133" t="s">
        <v>52</v>
      </c>
      <c r="C56" s="133">
        <v>51097623</v>
      </c>
      <c r="D56" s="133" t="s">
        <v>75</v>
      </c>
      <c r="E56" s="133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33"/>
      <c r="C57" s="133"/>
      <c r="D57" s="133"/>
      <c r="E57" s="133"/>
      <c r="F57" s="21"/>
      <c r="G57" s="21"/>
      <c r="H57" s="48">
        <f>H55+H56</f>
        <v>46768.800000000738</v>
      </c>
      <c r="I57" s="61">
        <f>H54-H64-H53</f>
        <v>-71.520000001262815</v>
      </c>
      <c r="J57" s="25">
        <f>I57/H57</f>
        <v>-1.5292246113062914E-3</v>
      </c>
    </row>
    <row r="58" spans="1:10" ht="15.75" x14ac:dyDescent="0.25">
      <c r="A58" s="27" t="s">
        <v>78</v>
      </c>
      <c r="B58" s="133" t="s">
        <v>52</v>
      </c>
      <c r="C58" s="133">
        <v>51097675</v>
      </c>
      <c r="D58" s="133" t="s">
        <v>34</v>
      </c>
      <c r="E58" s="133">
        <v>4800</v>
      </c>
      <c r="F58" s="21">
        <v>522.73820000000001</v>
      </c>
      <c r="G58" s="21">
        <v>525.59590000000003</v>
      </c>
      <c r="H58" s="18">
        <f t="shared" ref="H58:H63" si="2">(G58-F58)*E58</f>
        <v>13716.960000000108</v>
      </c>
      <c r="I58" s="62"/>
      <c r="J58" s="59"/>
    </row>
    <row r="59" spans="1:10" ht="15.75" x14ac:dyDescent="0.25">
      <c r="A59" s="27" t="s">
        <v>79</v>
      </c>
      <c r="B59" s="133" t="s">
        <v>52</v>
      </c>
      <c r="C59" s="133">
        <v>51100997</v>
      </c>
      <c r="D59" s="133" t="s">
        <v>21</v>
      </c>
      <c r="E59" s="133">
        <v>3600</v>
      </c>
      <c r="F59" s="21">
        <v>1389.7384999999999</v>
      </c>
      <c r="G59" s="21">
        <v>1392.5204000000001</v>
      </c>
      <c r="H59" s="18">
        <f t="shared" si="2"/>
        <v>10014.84000000064</v>
      </c>
      <c r="I59" s="62"/>
      <c r="J59" s="59"/>
    </row>
    <row r="60" spans="1:10" ht="15.75" x14ac:dyDescent="0.25">
      <c r="A60" s="27" t="s">
        <v>80</v>
      </c>
      <c r="B60" s="133" t="s">
        <v>52</v>
      </c>
      <c r="C60" s="133">
        <v>51555218</v>
      </c>
      <c r="D60" s="133">
        <f>400/5</f>
        <v>80</v>
      </c>
      <c r="E60" s="133">
        <v>4800</v>
      </c>
      <c r="F60" s="21">
        <v>66.449100000000001</v>
      </c>
      <c r="G60" s="21">
        <v>66.885599999999997</v>
      </c>
      <c r="H60" s="18">
        <f t="shared" si="2"/>
        <v>2095.1999999999771</v>
      </c>
      <c r="I60" s="62"/>
      <c r="J60" s="59"/>
    </row>
    <row r="61" spans="1:10" ht="15.75" x14ac:dyDescent="0.25">
      <c r="A61" s="27" t="s">
        <v>81</v>
      </c>
      <c r="B61" s="133" t="s">
        <v>52</v>
      </c>
      <c r="C61" s="133">
        <v>51555151</v>
      </c>
      <c r="D61" s="133">
        <f>400/5</f>
        <v>80</v>
      </c>
      <c r="E61" s="133">
        <v>4800</v>
      </c>
      <c r="F61" s="63">
        <v>0.30690000000000001</v>
      </c>
      <c r="G61" s="63">
        <v>0.30690000000000001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33" t="s">
        <v>52</v>
      </c>
      <c r="C62" s="133">
        <v>51097599</v>
      </c>
      <c r="D62" s="133" t="s">
        <v>21</v>
      </c>
      <c r="E62" s="133">
        <v>3600</v>
      </c>
      <c r="F62" s="21">
        <v>973.13599999999997</v>
      </c>
      <c r="G62" s="21">
        <v>975.54319999999996</v>
      </c>
      <c r="H62" s="18">
        <f t="shared" si="2"/>
        <v>8665.9199999999601</v>
      </c>
      <c r="I62" s="62"/>
      <c r="J62" s="59"/>
    </row>
    <row r="63" spans="1:10" ht="15.75" x14ac:dyDescent="0.25">
      <c r="A63" s="27" t="s">
        <v>83</v>
      </c>
      <c r="B63" s="133" t="s">
        <v>52</v>
      </c>
      <c r="C63" s="133">
        <v>51097620</v>
      </c>
      <c r="D63" s="133" t="s">
        <v>34</v>
      </c>
      <c r="E63" s="133">
        <v>4800</v>
      </c>
      <c r="F63" s="21">
        <v>522.46820000000002</v>
      </c>
      <c r="G63" s="21">
        <v>525.04719999999998</v>
      </c>
      <c r="H63" s="18">
        <f t="shared" si="2"/>
        <v>12379.199999999764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46872.120000000446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33" t="s">
        <v>52</v>
      </c>
      <c r="C66" s="9">
        <v>51259238</v>
      </c>
      <c r="D66" s="74" t="s">
        <v>53</v>
      </c>
      <c r="E66" s="74">
        <v>7000</v>
      </c>
      <c r="F66" s="75">
        <v>566.88419999999996</v>
      </c>
      <c r="G66" s="75">
        <v>569.45050000000003</v>
      </c>
      <c r="H66" s="76">
        <f>(G66-F66)*E66</f>
        <v>17964.100000000486</v>
      </c>
      <c r="I66" s="77"/>
      <c r="J66" s="78"/>
    </row>
    <row r="67" spans="1:10" ht="15.75" x14ac:dyDescent="0.25">
      <c r="A67" s="27" t="s">
        <v>86</v>
      </c>
      <c r="B67" s="133" t="s">
        <v>52</v>
      </c>
      <c r="C67" s="133">
        <v>51259324</v>
      </c>
      <c r="D67" s="134" t="s">
        <v>53</v>
      </c>
      <c r="E67" s="134">
        <v>7000</v>
      </c>
      <c r="F67" s="21">
        <v>441.64319999999998</v>
      </c>
      <c r="G67" s="21">
        <v>443.6678</v>
      </c>
      <c r="H67" s="18">
        <f>(G67-F67)*E67</f>
        <v>14172.200000000146</v>
      </c>
      <c r="I67" s="51"/>
      <c r="J67" s="58"/>
    </row>
    <row r="68" spans="1:10" s="129" customFormat="1" ht="15.75" x14ac:dyDescent="0.25">
      <c r="A68" s="27" t="s">
        <v>87</v>
      </c>
      <c r="B68" s="79" t="s">
        <v>88</v>
      </c>
      <c r="C68" s="133">
        <v>51491618</v>
      </c>
      <c r="D68" s="134" t="s">
        <v>63</v>
      </c>
      <c r="E68" s="133">
        <v>40</v>
      </c>
      <c r="F68" s="28">
        <v>1289.2190000000001</v>
      </c>
      <c r="G68" s="28">
        <v>1298.6510000000001</v>
      </c>
      <c r="H68" s="18">
        <f>(G68-F68)*E68</f>
        <v>377.28000000000065</v>
      </c>
      <c r="I68" s="51"/>
      <c r="J68" s="58"/>
    </row>
    <row r="69" spans="1:10" s="129" customFormat="1" ht="15.75" x14ac:dyDescent="0.25">
      <c r="A69" s="27" t="s">
        <v>89</v>
      </c>
      <c r="B69" s="79" t="s">
        <v>88</v>
      </c>
      <c r="C69" s="133">
        <v>51491624</v>
      </c>
      <c r="D69" s="134" t="s">
        <v>63</v>
      </c>
      <c r="E69" s="133">
        <v>40</v>
      </c>
      <c r="F69" s="28">
        <v>175.39500000000001</v>
      </c>
      <c r="G69" s="28">
        <v>176.15600000000001</v>
      </c>
      <c r="H69" s="18">
        <f>(G69-F69)*E69</f>
        <v>30.439999999999827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32136.300000000632</v>
      </c>
      <c r="I70" s="85">
        <f>H70-H73-H68-H69</f>
        <v>-191.41999999898621</v>
      </c>
      <c r="J70" s="25">
        <f>I70/H70</f>
        <v>-5.9565040156764294E-3</v>
      </c>
    </row>
    <row r="71" spans="1:10" ht="15.75" x14ac:dyDescent="0.25">
      <c r="A71" s="27" t="s">
        <v>91</v>
      </c>
      <c r="B71" s="133" t="s">
        <v>52</v>
      </c>
      <c r="C71" s="86">
        <v>51097588</v>
      </c>
      <c r="D71" s="134" t="s">
        <v>75</v>
      </c>
      <c r="E71" s="133">
        <v>12000</v>
      </c>
      <c r="F71" s="21">
        <v>339.58300000000003</v>
      </c>
      <c r="G71" s="21">
        <v>341.07139999999998</v>
      </c>
      <c r="H71" s="18">
        <f>(G71-F71)*E71</f>
        <v>17860.799999999472</v>
      </c>
      <c r="I71" s="51"/>
      <c r="J71" s="58"/>
    </row>
    <row r="72" spans="1:10" ht="15.75" x14ac:dyDescent="0.25">
      <c r="A72" s="27" t="s">
        <v>92</v>
      </c>
      <c r="B72" s="133" t="s">
        <v>52</v>
      </c>
      <c r="C72" s="86">
        <v>51431335</v>
      </c>
      <c r="D72" s="134" t="s">
        <v>75</v>
      </c>
      <c r="E72" s="133">
        <v>12000</v>
      </c>
      <c r="F72" s="21">
        <v>269.524</v>
      </c>
      <c r="G72" s="21">
        <v>270.69560000000001</v>
      </c>
      <c r="H72" s="18">
        <f>(G72-F72)*E72</f>
        <v>14059.200000000146</v>
      </c>
      <c r="I72" s="51"/>
      <c r="J72" s="58"/>
    </row>
    <row r="73" spans="1:10" ht="15.75" x14ac:dyDescent="0.25">
      <c r="A73" s="87" t="s">
        <v>93</v>
      </c>
      <c r="B73" s="133" t="s">
        <v>27</v>
      </c>
      <c r="C73" s="133"/>
      <c r="D73" s="134"/>
      <c r="E73" s="133"/>
      <c r="F73" s="21"/>
      <c r="G73" s="21"/>
      <c r="H73" s="48">
        <f>H71+ H72</f>
        <v>31919.999999999618</v>
      </c>
      <c r="I73" s="85">
        <f>H73-H81</f>
        <v>-55.560000000376021</v>
      </c>
      <c r="J73" s="25">
        <f>I73/H73</f>
        <v>-1.7406015037711995E-3</v>
      </c>
    </row>
    <row r="74" spans="1:10" ht="15.75" x14ac:dyDescent="0.25">
      <c r="A74" s="27" t="s">
        <v>94</v>
      </c>
      <c r="B74" s="133" t="s">
        <v>52</v>
      </c>
      <c r="C74" s="86">
        <v>51097676</v>
      </c>
      <c r="D74" s="88" t="s">
        <v>63</v>
      </c>
      <c r="E74" s="133">
        <v>2400</v>
      </c>
      <c r="F74" s="21">
        <v>712.62850000000003</v>
      </c>
      <c r="G74" s="21">
        <v>715.80359999999996</v>
      </c>
      <c r="H74" s="18">
        <f>(G74-F74)*E74</f>
        <v>7620.2399999998306</v>
      </c>
      <c r="I74" s="51"/>
      <c r="J74" s="58"/>
    </row>
    <row r="75" spans="1:10" ht="15.75" x14ac:dyDescent="0.25">
      <c r="A75" s="27" t="s">
        <v>95</v>
      </c>
      <c r="B75" s="133" t="s">
        <v>52</v>
      </c>
      <c r="C75" s="86">
        <v>51431355</v>
      </c>
      <c r="D75" s="134" t="s">
        <v>21</v>
      </c>
      <c r="E75" s="134">
        <v>3600</v>
      </c>
      <c r="F75" s="21">
        <v>371.13619999999997</v>
      </c>
      <c r="G75" s="21">
        <v>372.49810000000002</v>
      </c>
      <c r="H75" s="18">
        <f>(G75-F75)*E75</f>
        <v>4902.8400000001739</v>
      </c>
      <c r="I75" s="51"/>
      <c r="J75" s="52"/>
    </row>
    <row r="76" spans="1:10" ht="15.75" x14ac:dyDescent="0.25">
      <c r="A76" s="27" t="s">
        <v>96</v>
      </c>
      <c r="B76" s="133" t="s">
        <v>52</v>
      </c>
      <c r="C76" s="86">
        <v>51259331</v>
      </c>
      <c r="D76" s="88" t="s">
        <v>37</v>
      </c>
      <c r="E76" s="133">
        <v>600</v>
      </c>
      <c r="F76" s="21">
        <v>168.38310000000001</v>
      </c>
      <c r="G76" s="21">
        <v>169.18029999999999</v>
      </c>
      <c r="H76" s="18">
        <f>(G76-F76)*E76</f>
        <v>478.31999999998516</v>
      </c>
      <c r="I76" s="51"/>
      <c r="J76" s="52"/>
    </row>
    <row r="77" spans="1:10" ht="15.75" x14ac:dyDescent="0.25">
      <c r="A77" s="27" t="s">
        <v>97</v>
      </c>
      <c r="B77" s="133" t="s">
        <v>52</v>
      </c>
      <c r="C77" s="86">
        <v>51259326</v>
      </c>
      <c r="D77" s="88" t="s">
        <v>14</v>
      </c>
      <c r="E77" s="133">
        <v>7200</v>
      </c>
      <c r="F77" s="21">
        <v>337.0933</v>
      </c>
      <c r="G77" s="21">
        <v>338.5224</v>
      </c>
      <c r="H77" s="18">
        <f>(G77-F77)*E77</f>
        <v>10289.520000000039</v>
      </c>
      <c r="I77" s="51"/>
      <c r="J77" s="52"/>
    </row>
    <row r="78" spans="1:10" ht="15.75" x14ac:dyDescent="0.25">
      <c r="A78" s="27" t="s">
        <v>98</v>
      </c>
      <c r="B78" s="133" t="s">
        <v>52</v>
      </c>
      <c r="C78" s="86">
        <v>51431351</v>
      </c>
      <c r="D78" s="88" t="s">
        <v>14</v>
      </c>
      <c r="E78" s="133">
        <v>7200</v>
      </c>
      <c r="F78" s="21">
        <v>242.86279999999999</v>
      </c>
      <c r="G78" s="21">
        <v>244.06899999999999</v>
      </c>
      <c r="H78" s="18">
        <f>(G78-F78)*E78</f>
        <v>8684.6399999999667</v>
      </c>
      <c r="I78" s="51"/>
      <c r="J78" s="52"/>
    </row>
    <row r="79" spans="1:10" ht="15.75" x14ac:dyDescent="0.25">
      <c r="A79" s="89" t="s">
        <v>99</v>
      </c>
      <c r="B79" s="133" t="s">
        <v>52</v>
      </c>
      <c r="C79" s="90">
        <v>51097666</v>
      </c>
      <c r="D79" s="88" t="s">
        <v>63</v>
      </c>
      <c r="E79" s="133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33" t="s">
        <v>52</v>
      </c>
      <c r="C80" s="90">
        <v>51259323</v>
      </c>
      <c r="D80" s="88" t="s">
        <v>63</v>
      </c>
      <c r="E80" s="133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31975.559999999994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33" t="s">
        <v>52</v>
      </c>
      <c r="C83" s="106">
        <v>51431297</v>
      </c>
      <c r="D83" s="134" t="s">
        <v>53</v>
      </c>
      <c r="E83" s="100">
        <v>7000</v>
      </c>
      <c r="F83" s="17">
        <v>288.54270000000002</v>
      </c>
      <c r="G83" s="17">
        <v>291.11970000000002</v>
      </c>
      <c r="H83" s="18">
        <f>(G83-F83)*E83</f>
        <v>18038.999999999985</v>
      </c>
      <c r="I83" s="107"/>
      <c r="J83" s="108"/>
    </row>
    <row r="84" spans="1:10" ht="15.75" x14ac:dyDescent="0.25">
      <c r="A84" s="105" t="s">
        <v>86</v>
      </c>
      <c r="B84" s="133" t="s">
        <v>52</v>
      </c>
      <c r="C84" s="106">
        <v>51431332</v>
      </c>
      <c r="D84" s="134" t="s">
        <v>53</v>
      </c>
      <c r="E84" s="100">
        <v>7000</v>
      </c>
      <c r="F84" s="17">
        <v>358.01459999999997</v>
      </c>
      <c r="G84" s="17">
        <v>358.12450000000001</v>
      </c>
      <c r="H84" s="18">
        <f>(G84-F84)*E84</f>
        <v>769.30000000027121</v>
      </c>
      <c r="I84" s="133"/>
      <c r="J84" s="58"/>
    </row>
    <row r="85" spans="1:10" s="129" customFormat="1" ht="15.75" x14ac:dyDescent="0.25">
      <c r="A85" s="27" t="s">
        <v>87</v>
      </c>
      <c r="B85" s="133" t="s">
        <v>103</v>
      </c>
      <c r="C85" s="109">
        <v>150773</v>
      </c>
      <c r="D85" s="134" t="s">
        <v>53</v>
      </c>
      <c r="E85" s="109">
        <v>20</v>
      </c>
      <c r="F85" s="17">
        <v>15692.4</v>
      </c>
      <c r="G85" s="17">
        <v>15695.6</v>
      </c>
      <c r="H85" s="18">
        <f>(G85-F85)*E85</f>
        <v>64.000000000014552</v>
      </c>
      <c r="I85" s="51"/>
      <c r="J85" s="58"/>
    </row>
    <row r="86" spans="1:10" s="129" customFormat="1" ht="15.75" x14ac:dyDescent="0.25">
      <c r="A86" s="27" t="s">
        <v>89</v>
      </c>
      <c r="B86" s="133" t="s">
        <v>103</v>
      </c>
      <c r="C86" s="109">
        <v>150791</v>
      </c>
      <c r="D86" s="134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35"/>
      <c r="C87" s="32"/>
      <c r="D87" s="82"/>
      <c r="E87" s="82"/>
      <c r="F87" s="21"/>
      <c r="G87" s="21"/>
      <c r="H87" s="48">
        <f>H83+H84</f>
        <v>18808.300000000258</v>
      </c>
      <c r="I87" s="85">
        <f>H87-H90-H85-H86</f>
        <v>342.05999999998676</v>
      </c>
      <c r="J87" s="25">
        <f>I87/H87</f>
        <v>1.8186651637839786E-2</v>
      </c>
    </row>
    <row r="88" spans="1:10" ht="15.75" x14ac:dyDescent="0.25">
      <c r="A88" s="27" t="s">
        <v>104</v>
      </c>
      <c r="B88" s="133" t="s">
        <v>52</v>
      </c>
      <c r="C88" s="106">
        <v>51431342</v>
      </c>
      <c r="D88" s="88" t="s">
        <v>34</v>
      </c>
      <c r="E88" s="133">
        <v>4800</v>
      </c>
      <c r="F88" s="21">
        <v>409.86860000000001</v>
      </c>
      <c r="G88" s="21">
        <v>413.58550000000002</v>
      </c>
      <c r="H88" s="18">
        <f>(G88-F88)*E88</f>
        <v>17841.120000000046</v>
      </c>
      <c r="I88" s="51"/>
      <c r="J88" s="52"/>
    </row>
    <row r="89" spans="1:10" ht="15.75" x14ac:dyDescent="0.25">
      <c r="A89" s="27" t="s">
        <v>105</v>
      </c>
      <c r="B89" s="133" t="s">
        <v>52</v>
      </c>
      <c r="C89" s="106">
        <v>51431343</v>
      </c>
      <c r="D89" s="88" t="s">
        <v>34</v>
      </c>
      <c r="E89" s="133">
        <v>4800</v>
      </c>
      <c r="F89" s="21">
        <v>505.57619999999997</v>
      </c>
      <c r="G89" s="21">
        <v>505.69310000000002</v>
      </c>
      <c r="H89" s="18">
        <f>(G89-F89)*E89</f>
        <v>561.12000000020998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18402.240000000256</v>
      </c>
      <c r="I90" s="85">
        <f>H90-H98</f>
        <v>-5.4999999997598934</v>
      </c>
      <c r="J90" s="25">
        <f>I90/H90</f>
        <v>-2.9887665848069673E-4</v>
      </c>
    </row>
    <row r="91" spans="1:10" ht="15.75" x14ac:dyDescent="0.25">
      <c r="A91" s="27" t="s">
        <v>107</v>
      </c>
      <c r="B91" s="133" t="s">
        <v>52</v>
      </c>
      <c r="C91" s="106">
        <v>51431347</v>
      </c>
      <c r="D91" s="134" t="s">
        <v>53</v>
      </c>
      <c r="E91" s="133">
        <v>1200</v>
      </c>
      <c r="F91" s="21">
        <v>1202.1474000000001</v>
      </c>
      <c r="G91" s="21">
        <v>1202.1474000000001</v>
      </c>
      <c r="H91" s="18">
        <f>(G91-F91)*E91</f>
        <v>0</v>
      </c>
      <c r="I91" s="51"/>
      <c r="J91" s="52"/>
    </row>
    <row r="92" spans="1:10" ht="15.75" x14ac:dyDescent="0.25">
      <c r="A92" s="27" t="s">
        <v>108</v>
      </c>
      <c r="B92" s="133" t="s">
        <v>52</v>
      </c>
      <c r="C92" s="106">
        <v>51431339</v>
      </c>
      <c r="D92" s="134" t="s">
        <v>53</v>
      </c>
      <c r="E92" s="133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33" t="s">
        <v>52</v>
      </c>
      <c r="C93" s="106">
        <v>51217244</v>
      </c>
      <c r="D93" s="133" t="s">
        <v>37</v>
      </c>
      <c r="E93" s="133">
        <v>600</v>
      </c>
      <c r="F93" s="30">
        <v>335.9579</v>
      </c>
      <c r="G93" s="30">
        <v>336.78100000000001</v>
      </c>
      <c r="H93" s="18">
        <f t="shared" si="4"/>
        <v>493.86000000000649</v>
      </c>
      <c r="I93" s="51"/>
      <c r="J93" s="52"/>
    </row>
    <row r="94" spans="1:10" ht="15.75" x14ac:dyDescent="0.25">
      <c r="A94" s="27" t="s">
        <v>110</v>
      </c>
      <c r="B94" s="133" t="s">
        <v>52</v>
      </c>
      <c r="C94" s="106">
        <v>51217267</v>
      </c>
      <c r="D94" s="88" t="s">
        <v>63</v>
      </c>
      <c r="E94" s="133">
        <v>2400</v>
      </c>
      <c r="F94" s="30">
        <v>20.383900000000001</v>
      </c>
      <c r="G94" s="30">
        <v>20.414300000000001</v>
      </c>
      <c r="H94" s="18">
        <f t="shared" si="4"/>
        <v>72.960000000000491</v>
      </c>
      <c r="I94" s="51"/>
      <c r="J94" s="52"/>
    </row>
    <row r="95" spans="1:10" ht="15.75" x14ac:dyDescent="0.25">
      <c r="A95" s="27" t="s">
        <v>111</v>
      </c>
      <c r="B95" s="133" t="s">
        <v>52</v>
      </c>
      <c r="C95" s="133">
        <v>51555165</v>
      </c>
      <c r="D95" s="134" t="s">
        <v>53</v>
      </c>
      <c r="E95" s="133">
        <v>1200</v>
      </c>
      <c r="F95" s="30">
        <v>874.42679999999996</v>
      </c>
      <c r="G95" s="30">
        <v>883.06859999999995</v>
      </c>
      <c r="H95" s="18">
        <f t="shared" si="4"/>
        <v>10370.159999999987</v>
      </c>
      <c r="I95" s="51" t="s">
        <v>27</v>
      </c>
      <c r="J95" s="52"/>
    </row>
    <row r="96" spans="1:10" ht="15.75" x14ac:dyDescent="0.25">
      <c r="A96" s="113" t="s">
        <v>112</v>
      </c>
      <c r="B96" s="133" t="s">
        <v>52</v>
      </c>
      <c r="C96" s="106">
        <v>51431346</v>
      </c>
      <c r="D96" s="114" t="s">
        <v>37</v>
      </c>
      <c r="E96" s="114">
        <v>600</v>
      </c>
      <c r="F96" s="30">
        <v>358.3168</v>
      </c>
      <c r="G96" s="30">
        <v>360.35700000000003</v>
      </c>
      <c r="H96" s="115">
        <f t="shared" si="4"/>
        <v>1224.1200000000163</v>
      </c>
      <c r="I96" s="116"/>
      <c r="J96" s="117"/>
    </row>
    <row r="97" spans="1:10" ht="15.75" x14ac:dyDescent="0.25">
      <c r="A97" s="27" t="s">
        <v>113</v>
      </c>
      <c r="B97" s="133" t="s">
        <v>52</v>
      </c>
      <c r="C97" s="106">
        <v>51431352</v>
      </c>
      <c r="D97" s="88" t="s">
        <v>21</v>
      </c>
      <c r="E97" s="133">
        <v>3600</v>
      </c>
      <c r="F97" s="21">
        <v>235.654</v>
      </c>
      <c r="G97" s="21">
        <v>237.37139999999999</v>
      </c>
      <c r="H97" s="18">
        <f t="shared" si="4"/>
        <v>6182.6399999999921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18407.740000000016</v>
      </c>
      <c r="I98" s="51"/>
      <c r="J98" s="52"/>
    </row>
    <row r="99" spans="1:10" ht="15.75" x14ac:dyDescent="0.25">
      <c r="A99" s="45" t="s">
        <v>114</v>
      </c>
      <c r="B99" s="133" t="s">
        <v>52</v>
      </c>
      <c r="C99" s="120">
        <v>51431357</v>
      </c>
      <c r="D99" s="134" t="s">
        <v>63</v>
      </c>
      <c r="E99" s="134">
        <v>14000</v>
      </c>
      <c r="F99" s="28">
        <v>847.23609999999996</v>
      </c>
      <c r="G99" s="28">
        <v>850.39440000000002</v>
      </c>
      <c r="H99" s="121">
        <f t="shared" si="4"/>
        <v>44216.200000000754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opLeftCell="A76" zoomScaleNormal="100" workbookViewId="0">
      <selection activeCell="G108" sqref="G108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119</v>
      </c>
      <c r="G2" s="4" t="s">
        <v>120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33" t="s">
        <v>13</v>
      </c>
      <c r="C4" s="133">
        <v>51555166</v>
      </c>
      <c r="D4" s="133" t="s">
        <v>14</v>
      </c>
      <c r="E4" s="133">
        <v>132000</v>
      </c>
      <c r="F4" s="17">
        <v>4.5503</v>
      </c>
      <c r="G4" s="17">
        <v>6.4080000000000004</v>
      </c>
      <c r="H4" s="18">
        <f>(G4-F4)*E4</f>
        <v>245216.40000000005</v>
      </c>
      <c r="I4" s="19"/>
      <c r="J4" s="20"/>
    </row>
    <row r="5" spans="1:10" ht="15.75" x14ac:dyDescent="0.25">
      <c r="A5" s="15" t="s">
        <v>15</v>
      </c>
      <c r="B5" s="133" t="s">
        <v>13</v>
      </c>
      <c r="C5" s="133">
        <v>51555191</v>
      </c>
      <c r="D5" s="133" t="s">
        <v>14</v>
      </c>
      <c r="E5" s="133">
        <v>132000</v>
      </c>
      <c r="F5" s="21">
        <v>379.31670000000003</v>
      </c>
      <c r="G5" s="21">
        <v>379.51940000000002</v>
      </c>
      <c r="H5" s="18">
        <f>(G5-F5)*E5</f>
        <v>26756.399999999077</v>
      </c>
      <c r="I5" s="19"/>
      <c r="J5" s="20"/>
    </row>
    <row r="6" spans="1:10" ht="15.75" x14ac:dyDescent="0.25">
      <c r="A6" s="218" t="s">
        <v>16</v>
      </c>
      <c r="B6" s="219"/>
      <c r="C6" s="133"/>
      <c r="D6" s="134"/>
      <c r="E6" s="133"/>
      <c r="H6" s="23">
        <f>H4+H5</f>
        <v>271972.79999999912</v>
      </c>
      <c r="I6" s="24">
        <f>H6-H9-H19</f>
        <v>2209.8000000003231</v>
      </c>
      <c r="J6" s="25">
        <f>I6/H6</f>
        <v>8.1250772136049268E-3</v>
      </c>
    </row>
    <row r="7" spans="1:10" ht="15.75" x14ac:dyDescent="0.25">
      <c r="A7" s="26" t="s">
        <v>17</v>
      </c>
      <c r="B7" s="133" t="s">
        <v>13</v>
      </c>
      <c r="C7" s="133">
        <v>51097629</v>
      </c>
      <c r="D7" s="134" t="s">
        <v>14</v>
      </c>
      <c r="E7" s="133">
        <v>42000</v>
      </c>
      <c r="F7" s="21">
        <v>1120.7697000000001</v>
      </c>
      <c r="G7" s="21">
        <v>1120.7697000000001</v>
      </c>
      <c r="H7" s="18">
        <f>(G7-F7)*E7</f>
        <v>0</v>
      </c>
      <c r="I7" s="19"/>
      <c r="J7" s="20"/>
    </row>
    <row r="8" spans="1:10" ht="15.75" x14ac:dyDescent="0.25">
      <c r="A8" s="26" t="s">
        <v>18</v>
      </c>
      <c r="B8" s="133" t="s">
        <v>13</v>
      </c>
      <c r="C8" s="133">
        <v>51616820</v>
      </c>
      <c r="D8" s="134" t="s">
        <v>14</v>
      </c>
      <c r="E8" s="133">
        <v>42000</v>
      </c>
      <c r="F8" s="21">
        <v>9.3055000000000003</v>
      </c>
      <c r="G8" s="21">
        <v>14.015599999999999</v>
      </c>
      <c r="H8" s="18">
        <f>(G8-F8)*E8</f>
        <v>197824.19999999995</v>
      </c>
      <c r="I8" s="19"/>
      <c r="J8" s="20"/>
    </row>
    <row r="9" spans="1:10" ht="15.75" x14ac:dyDescent="0.25">
      <c r="A9" s="218" t="s">
        <v>19</v>
      </c>
      <c r="B9" s="219"/>
      <c r="C9" s="133"/>
      <c r="D9" s="134"/>
      <c r="E9" s="133"/>
      <c r="F9" s="21"/>
      <c r="G9" s="21"/>
      <c r="H9" s="23">
        <f>H7+H8</f>
        <v>197824.19999999995</v>
      </c>
      <c r="I9" s="24">
        <f>H9-H16</f>
        <v>-216.30000000086147</v>
      </c>
      <c r="J9" s="25">
        <f>I9/H9</f>
        <v>-1.0933950446955505E-3</v>
      </c>
    </row>
    <row r="10" spans="1:10" ht="15.75" x14ac:dyDescent="0.25">
      <c r="A10" s="27" t="s">
        <v>20</v>
      </c>
      <c r="B10" s="133" t="s">
        <v>13</v>
      </c>
      <c r="C10" s="133">
        <v>51217286</v>
      </c>
      <c r="D10" s="134" t="s">
        <v>21</v>
      </c>
      <c r="E10" s="133">
        <v>21000</v>
      </c>
      <c r="F10" s="21">
        <v>883.69799999999998</v>
      </c>
      <c r="G10" s="21">
        <v>886.81529999999998</v>
      </c>
      <c r="H10" s="18">
        <f t="shared" ref="H10:H15" si="0">(G10-F10)*E10</f>
        <v>65463.3</v>
      </c>
      <c r="I10" s="19"/>
      <c r="J10" s="20"/>
    </row>
    <row r="11" spans="1:10" ht="15.75" x14ac:dyDescent="0.25">
      <c r="A11" s="27" t="s">
        <v>22</v>
      </c>
      <c r="B11" s="133" t="s">
        <v>13</v>
      </c>
      <c r="C11" s="133">
        <v>51217292</v>
      </c>
      <c r="D11" s="134" t="s">
        <v>21</v>
      </c>
      <c r="E11" s="133">
        <v>21000</v>
      </c>
      <c r="F11" s="28">
        <v>3.9056999999999999</v>
      </c>
      <c r="G11" s="28">
        <v>3.9121000000000001</v>
      </c>
      <c r="H11" s="18">
        <f>(G11-F11)*E11</f>
        <v>134.40000000000384</v>
      </c>
      <c r="I11" s="19"/>
      <c r="J11" s="20"/>
    </row>
    <row r="12" spans="1:10" ht="15.75" x14ac:dyDescent="0.25">
      <c r="A12" s="27" t="s">
        <v>23</v>
      </c>
      <c r="B12" s="133" t="s">
        <v>13</v>
      </c>
      <c r="C12" s="133">
        <v>51217271</v>
      </c>
      <c r="D12" s="134" t="s">
        <v>21</v>
      </c>
      <c r="E12" s="133">
        <v>21000</v>
      </c>
      <c r="F12" s="21">
        <v>657.81190000000004</v>
      </c>
      <c r="G12" s="21">
        <v>661.2088</v>
      </c>
      <c r="H12" s="18">
        <f t="shared" si="0"/>
        <v>71334.89999999915</v>
      </c>
      <c r="I12" s="19"/>
      <c r="J12" s="20"/>
    </row>
    <row r="13" spans="1:10" ht="15.75" x14ac:dyDescent="0.25">
      <c r="A13" s="27" t="s">
        <v>24</v>
      </c>
      <c r="B13" s="133" t="s">
        <v>13</v>
      </c>
      <c r="C13" s="133">
        <v>51217276</v>
      </c>
      <c r="D13" s="134" t="s">
        <v>21</v>
      </c>
      <c r="E13" s="133">
        <v>21000</v>
      </c>
      <c r="F13" s="28">
        <v>0.58050000000000002</v>
      </c>
      <c r="G13" s="28">
        <v>0.58240000000000003</v>
      </c>
      <c r="H13" s="18">
        <f>(G13-F13)*E13</f>
        <v>39.900000000000269</v>
      </c>
      <c r="I13" s="19"/>
      <c r="J13" s="20"/>
    </row>
    <row r="14" spans="1:10" ht="15.75" x14ac:dyDescent="0.25">
      <c r="A14" s="27" t="s">
        <v>25</v>
      </c>
      <c r="B14" s="133" t="s">
        <v>13</v>
      </c>
      <c r="C14" s="133">
        <v>51100990</v>
      </c>
      <c r="D14" s="134" t="s">
        <v>21</v>
      </c>
      <c r="E14" s="133">
        <v>21000</v>
      </c>
      <c r="F14" s="29">
        <v>711.07899999999995</v>
      </c>
      <c r="G14" s="29">
        <v>711.10540000000003</v>
      </c>
      <c r="H14" s="18">
        <f t="shared" si="0"/>
        <v>554.40000000169221</v>
      </c>
      <c r="I14" s="19"/>
      <c r="J14" s="20"/>
    </row>
    <row r="15" spans="1:10" ht="15.75" x14ac:dyDescent="0.25">
      <c r="A15" s="27" t="s">
        <v>26</v>
      </c>
      <c r="B15" s="133" t="s">
        <v>13</v>
      </c>
      <c r="C15" s="133">
        <v>51097622</v>
      </c>
      <c r="D15" s="134" t="s">
        <v>21</v>
      </c>
      <c r="E15" s="133">
        <v>21000</v>
      </c>
      <c r="F15" s="21">
        <v>5.5994000000000002</v>
      </c>
      <c r="G15" s="21">
        <v>8.4809999999999999</v>
      </c>
      <c r="H15" s="18">
        <f t="shared" si="0"/>
        <v>60513.599999999991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33"/>
      <c r="D16" s="134"/>
      <c r="E16" s="133"/>
      <c r="F16" s="21"/>
      <c r="G16" s="21"/>
      <c r="H16" s="23">
        <f>H10+H11+H12+H13+H14+H15</f>
        <v>198040.50000000081</v>
      </c>
      <c r="I16" s="19"/>
      <c r="J16" s="20"/>
    </row>
    <row r="17" spans="1:10" ht="15.75" x14ac:dyDescent="0.25">
      <c r="A17" s="26" t="s">
        <v>29</v>
      </c>
      <c r="B17" s="133" t="s">
        <v>13</v>
      </c>
      <c r="C17" s="133">
        <v>51097617</v>
      </c>
      <c r="D17" s="134" t="s">
        <v>30</v>
      </c>
      <c r="E17" s="133">
        <v>18000</v>
      </c>
      <c r="F17" s="30">
        <v>869.66600000000005</v>
      </c>
      <c r="G17" s="30">
        <v>871.14179999999999</v>
      </c>
      <c r="H17" s="18">
        <f>(G17-F17)*E17</f>
        <v>26564.399999998841</v>
      </c>
      <c r="I17" s="19"/>
      <c r="J17" s="20"/>
    </row>
    <row r="18" spans="1:10" ht="15.75" x14ac:dyDescent="0.25">
      <c r="A18" s="26" t="s">
        <v>31</v>
      </c>
      <c r="B18" s="133" t="s">
        <v>13</v>
      </c>
      <c r="C18" s="133">
        <v>51097655</v>
      </c>
      <c r="D18" s="134" t="s">
        <v>30</v>
      </c>
      <c r="E18" s="133">
        <v>18000</v>
      </c>
      <c r="F18" s="30">
        <v>8.2071000000000005</v>
      </c>
      <c r="G18" s="30">
        <v>10.7279</v>
      </c>
      <c r="H18" s="18">
        <f>(G18-F18)*E18</f>
        <v>45374.399999999994</v>
      </c>
      <c r="I18" s="19"/>
      <c r="J18" s="20"/>
    </row>
    <row r="19" spans="1:10" ht="15.75" x14ac:dyDescent="0.25">
      <c r="A19" s="218" t="s">
        <v>32</v>
      </c>
      <c r="B19" s="219"/>
      <c r="C19" s="133"/>
      <c r="D19" s="134"/>
      <c r="E19" s="133"/>
      <c r="F19" s="30"/>
      <c r="G19" s="30"/>
      <c r="H19" s="23">
        <f>H17+H18</f>
        <v>71938.799999998839</v>
      </c>
      <c r="I19" s="24">
        <f>H19-H34</f>
        <v>688.43999999892549</v>
      </c>
      <c r="J19" s="25">
        <f>I19/H19</f>
        <v>9.5698009974997719E-3</v>
      </c>
    </row>
    <row r="20" spans="1:10" ht="15.75" x14ac:dyDescent="0.25">
      <c r="A20" s="15" t="s">
        <v>33</v>
      </c>
      <c r="B20" s="133" t="s">
        <v>13</v>
      </c>
      <c r="C20" s="133">
        <v>51217282</v>
      </c>
      <c r="D20" s="134" t="s">
        <v>34</v>
      </c>
      <c r="E20" s="133">
        <v>4800</v>
      </c>
      <c r="F20" s="21">
        <v>382.49149999999997</v>
      </c>
      <c r="G20" s="21">
        <v>382.54079999999999</v>
      </c>
      <c r="H20" s="18">
        <f t="shared" ref="H20:H33" si="1">(G20-F20)*E20</f>
        <v>236.64000000007945</v>
      </c>
      <c r="I20" s="19" t="s">
        <v>27</v>
      </c>
      <c r="J20" s="20"/>
    </row>
    <row r="21" spans="1:10" ht="15.75" x14ac:dyDescent="0.25">
      <c r="A21" s="15" t="s">
        <v>35</v>
      </c>
      <c r="B21" s="133" t="s">
        <v>13</v>
      </c>
      <c r="C21" s="133">
        <v>51217274</v>
      </c>
      <c r="D21" s="134" t="s">
        <v>34</v>
      </c>
      <c r="E21" s="133">
        <v>4800</v>
      </c>
      <c r="F21" s="21">
        <v>1356.9591</v>
      </c>
      <c r="G21" s="21">
        <v>1362.7971</v>
      </c>
      <c r="H21" s="18">
        <f t="shared" si="1"/>
        <v>28022.399999999834</v>
      </c>
      <c r="I21" s="19"/>
      <c r="J21" s="20"/>
    </row>
    <row r="22" spans="1:10" ht="15.75" x14ac:dyDescent="0.25">
      <c r="A22" s="15" t="s">
        <v>36</v>
      </c>
      <c r="B22" s="133" t="s">
        <v>13</v>
      </c>
      <c r="C22" s="133">
        <v>51097664</v>
      </c>
      <c r="D22" s="134" t="s">
        <v>37</v>
      </c>
      <c r="E22" s="133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33" t="s">
        <v>13</v>
      </c>
      <c r="C23" s="133">
        <v>51097615</v>
      </c>
      <c r="D23" s="134" t="s">
        <v>37</v>
      </c>
      <c r="E23" s="133">
        <v>600</v>
      </c>
      <c r="F23" s="21">
        <v>44.658099999999997</v>
      </c>
      <c r="G23" s="21">
        <v>44.950499999999998</v>
      </c>
      <c r="H23" s="18">
        <f t="shared" si="1"/>
        <v>175.4400000000004</v>
      </c>
      <c r="I23" s="19"/>
      <c r="J23" s="20"/>
    </row>
    <row r="24" spans="1:10" ht="15.75" x14ac:dyDescent="0.25">
      <c r="A24" s="15" t="s">
        <v>39</v>
      </c>
      <c r="B24" s="133" t="s">
        <v>13</v>
      </c>
      <c r="C24" s="133">
        <v>51217264</v>
      </c>
      <c r="D24" s="134" t="s">
        <v>37</v>
      </c>
      <c r="E24" s="133">
        <v>600</v>
      </c>
      <c r="F24" s="21">
        <v>104.7291</v>
      </c>
      <c r="G24" s="21">
        <v>105.3274</v>
      </c>
      <c r="H24" s="18">
        <f t="shared" si="1"/>
        <v>358.97999999999683</v>
      </c>
      <c r="I24" s="19"/>
      <c r="J24" s="20"/>
    </row>
    <row r="25" spans="1:10" ht="15.75" x14ac:dyDescent="0.25">
      <c r="A25" s="15" t="s">
        <v>40</v>
      </c>
      <c r="B25" s="133" t="s">
        <v>13</v>
      </c>
      <c r="C25" s="133">
        <v>51217288</v>
      </c>
      <c r="D25" s="134" t="s">
        <v>37</v>
      </c>
      <c r="E25" s="133">
        <v>600</v>
      </c>
      <c r="F25" s="21">
        <v>20.515000000000001</v>
      </c>
      <c r="G25" s="21">
        <v>20.5458</v>
      </c>
      <c r="H25" s="18">
        <f t="shared" si="1"/>
        <v>18.479999999999563</v>
      </c>
      <c r="I25" s="19" t="s">
        <v>27</v>
      </c>
      <c r="J25" s="20"/>
    </row>
    <row r="26" spans="1:10" ht="15.75" x14ac:dyDescent="0.25">
      <c r="A26" s="15" t="s">
        <v>41</v>
      </c>
      <c r="B26" s="133" t="s">
        <v>13</v>
      </c>
      <c r="C26" s="133">
        <v>51217279</v>
      </c>
      <c r="D26" s="134" t="s">
        <v>37</v>
      </c>
      <c r="E26" s="133">
        <v>600</v>
      </c>
      <c r="F26" s="21">
        <v>15.372400000000001</v>
      </c>
      <c r="G26" s="21">
        <v>15.426299999999999</v>
      </c>
      <c r="H26" s="18">
        <f t="shared" si="1"/>
        <v>32.339999999999236</v>
      </c>
      <c r="I26" s="19" t="s">
        <v>27</v>
      </c>
      <c r="J26" s="20"/>
    </row>
    <row r="27" spans="1:10" ht="15.75" x14ac:dyDescent="0.25">
      <c r="A27" s="15" t="s">
        <v>42</v>
      </c>
      <c r="B27" s="133" t="s">
        <v>13</v>
      </c>
      <c r="C27" s="133">
        <v>51217272</v>
      </c>
      <c r="D27" s="134" t="s">
        <v>37</v>
      </c>
      <c r="E27" s="133">
        <v>600</v>
      </c>
      <c r="F27" s="31">
        <v>15.077500000000001</v>
      </c>
      <c r="G27" s="31">
        <v>15.1303</v>
      </c>
      <c r="H27" s="18">
        <f t="shared" si="1"/>
        <v>31.679999999999708</v>
      </c>
      <c r="I27" s="19"/>
      <c r="J27" s="20"/>
    </row>
    <row r="28" spans="1:10" ht="15.75" x14ac:dyDescent="0.25">
      <c r="A28" s="15" t="s">
        <v>43</v>
      </c>
      <c r="B28" s="133" t="s">
        <v>13</v>
      </c>
      <c r="C28" s="133">
        <v>51616744</v>
      </c>
      <c r="D28" s="134">
        <f>300/5</f>
        <v>60</v>
      </c>
      <c r="E28" s="133">
        <v>3600</v>
      </c>
      <c r="F28" s="31">
        <v>109.78489999999999</v>
      </c>
      <c r="G28" s="31">
        <v>109.78489999999999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33" t="s">
        <v>13</v>
      </c>
      <c r="C29" s="133">
        <v>51555226</v>
      </c>
      <c r="D29" s="134">
        <f>300/5</f>
        <v>60</v>
      </c>
      <c r="E29" s="133">
        <v>3600</v>
      </c>
      <c r="F29" s="31">
        <v>524.23419999999999</v>
      </c>
      <c r="G29" s="31">
        <v>528.07539999999995</v>
      </c>
      <c r="H29" s="18">
        <f>(G29-F29)*E29</f>
        <v>13828.319999999849</v>
      </c>
      <c r="I29" s="19"/>
      <c r="J29" s="20"/>
    </row>
    <row r="30" spans="1:10" ht="15.75" x14ac:dyDescent="0.25">
      <c r="A30" s="15" t="s">
        <v>45</v>
      </c>
      <c r="B30" s="133" t="s">
        <v>13</v>
      </c>
      <c r="C30" s="133">
        <v>51097658</v>
      </c>
      <c r="D30" s="134" t="s">
        <v>34</v>
      </c>
      <c r="E30" s="133">
        <v>4800</v>
      </c>
      <c r="F30" s="31">
        <v>675.82929999999999</v>
      </c>
      <c r="G30" s="31">
        <v>679.29330000000004</v>
      </c>
      <c r="H30" s="18">
        <f t="shared" si="1"/>
        <v>16627.200000000266</v>
      </c>
      <c r="I30" s="19"/>
      <c r="J30" s="20"/>
    </row>
    <row r="31" spans="1:10" ht="15.75" x14ac:dyDescent="0.25">
      <c r="A31" s="15" t="s">
        <v>46</v>
      </c>
      <c r="B31" s="133" t="s">
        <v>13</v>
      </c>
      <c r="C31" s="133">
        <v>51097635</v>
      </c>
      <c r="D31" s="134" t="s">
        <v>34</v>
      </c>
      <c r="E31" s="133">
        <v>4800</v>
      </c>
      <c r="F31" s="31">
        <v>48.4709</v>
      </c>
      <c r="G31" s="31">
        <v>48.471800000000002</v>
      </c>
      <c r="H31" s="18">
        <f t="shared" si="1"/>
        <v>4.3200000000069849</v>
      </c>
      <c r="I31" s="19"/>
      <c r="J31" s="20"/>
    </row>
    <row r="32" spans="1:10" ht="15.75" x14ac:dyDescent="0.25">
      <c r="A32" s="15" t="s">
        <v>47</v>
      </c>
      <c r="B32" s="133" t="s">
        <v>13</v>
      </c>
      <c r="C32" s="32">
        <v>51097633</v>
      </c>
      <c r="D32" s="134" t="s">
        <v>34</v>
      </c>
      <c r="E32" s="133">
        <v>4800</v>
      </c>
      <c r="F32" s="31">
        <v>186.80350000000001</v>
      </c>
      <c r="G32" s="31">
        <v>189.26419999999999</v>
      </c>
      <c r="H32" s="33">
        <f t="shared" si="1"/>
        <v>11811.359999999877</v>
      </c>
      <c r="I32" s="34"/>
      <c r="J32" s="35"/>
    </row>
    <row r="33" spans="1:10" ht="15.75" x14ac:dyDescent="0.25">
      <c r="A33" s="15" t="s">
        <v>48</v>
      </c>
      <c r="B33" s="133" t="s">
        <v>13</v>
      </c>
      <c r="C33" s="32">
        <v>51097662</v>
      </c>
      <c r="D33" s="134" t="s">
        <v>34</v>
      </c>
      <c r="E33" s="133">
        <v>4800</v>
      </c>
      <c r="F33" s="31">
        <v>3.9346999999999999</v>
      </c>
      <c r="G33" s="31">
        <v>3.9561999999999999</v>
      </c>
      <c r="H33" s="33">
        <f t="shared" si="1"/>
        <v>103.20000000000036</v>
      </c>
      <c r="I33" s="34"/>
      <c r="J33" s="35"/>
    </row>
    <row r="34" spans="1:10" ht="15.75" x14ac:dyDescent="0.25">
      <c r="A34" s="218" t="s">
        <v>49</v>
      </c>
      <c r="B34" s="219"/>
      <c r="C34" s="133"/>
      <c r="D34" s="134"/>
      <c r="E34" s="133"/>
      <c r="F34" s="36"/>
      <c r="G34" s="36"/>
      <c r="H34" s="23">
        <f>H20+H21+H22+H23+H24+H25+H26+H27+H28+H29+H30+H31+H32+H33</f>
        <v>71250.359999999913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33" t="s">
        <v>52</v>
      </c>
      <c r="C36" s="133">
        <v>51555209</v>
      </c>
      <c r="D36" s="134" t="s">
        <v>53</v>
      </c>
      <c r="E36" s="133">
        <v>7000</v>
      </c>
      <c r="F36" s="17">
        <v>6.0434999999999999</v>
      </c>
      <c r="G36" s="17">
        <v>6.0576999999999996</v>
      </c>
      <c r="H36" s="41">
        <f>(G36-F36)*E36</f>
        <v>99.399999999998386</v>
      </c>
      <c r="I36" s="42"/>
      <c r="J36" s="14"/>
    </row>
    <row r="37" spans="1:10" ht="15.75" x14ac:dyDescent="0.25">
      <c r="A37" s="15" t="s">
        <v>54</v>
      </c>
      <c r="B37" s="133" t="s">
        <v>52</v>
      </c>
      <c r="C37" s="133">
        <v>51555209</v>
      </c>
      <c r="D37" s="134" t="s">
        <v>53</v>
      </c>
      <c r="E37" s="133">
        <v>7000</v>
      </c>
      <c r="F37" s="21">
        <v>10.4321</v>
      </c>
      <c r="G37" s="21">
        <v>10.473599999999999</v>
      </c>
      <c r="H37" s="18">
        <f>(G37-F37)*E37</f>
        <v>290.49999999999443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33" t="s">
        <v>52</v>
      </c>
      <c r="C39" s="133">
        <v>51097674</v>
      </c>
      <c r="D39" s="133" t="s">
        <v>14</v>
      </c>
      <c r="E39" s="133">
        <v>7200</v>
      </c>
      <c r="F39" s="21">
        <v>604.27200000000005</v>
      </c>
      <c r="G39" s="21">
        <v>606.5924</v>
      </c>
      <c r="H39" s="18">
        <f>(G39-F39)*E39</f>
        <v>16706.879999999637</v>
      </c>
      <c r="I39" s="47"/>
      <c r="J39" s="20"/>
    </row>
    <row r="40" spans="1:10" ht="15.75" x14ac:dyDescent="0.25">
      <c r="A40" s="27" t="s">
        <v>57</v>
      </c>
      <c r="B40" s="133" t="s">
        <v>52</v>
      </c>
      <c r="C40" s="133">
        <v>51259257</v>
      </c>
      <c r="D40" s="133" t="s">
        <v>14</v>
      </c>
      <c r="E40" s="133">
        <v>7200</v>
      </c>
      <c r="F40" s="21">
        <v>1.0555000000000001</v>
      </c>
      <c r="G40" s="21">
        <v>1.0555000000000001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33"/>
      <c r="C41" s="133"/>
      <c r="D41" s="133"/>
      <c r="E41" s="133"/>
      <c r="F41" s="21"/>
      <c r="G41" s="21"/>
      <c r="H41" s="48">
        <f>H39+H40</f>
        <v>16706.879999999637</v>
      </c>
      <c r="I41" s="24">
        <f>H41-H49</f>
        <v>-120.32000000015978</v>
      </c>
      <c r="J41" s="25">
        <f>I41/H41</f>
        <v>-7.2018234404127154E-3</v>
      </c>
    </row>
    <row r="42" spans="1:10" ht="15.75" x14ac:dyDescent="0.25">
      <c r="A42" s="15" t="s">
        <v>59</v>
      </c>
      <c r="B42" s="133"/>
      <c r="C42" s="133"/>
      <c r="D42" s="134"/>
      <c r="E42" s="133"/>
      <c r="H42" s="18"/>
      <c r="I42" s="43"/>
      <c r="J42" s="20"/>
    </row>
    <row r="43" spans="1:10" ht="15.75" x14ac:dyDescent="0.25">
      <c r="A43" s="27" t="s">
        <v>60</v>
      </c>
      <c r="B43" s="133" t="s">
        <v>52</v>
      </c>
      <c r="C43" s="32">
        <v>51097648</v>
      </c>
      <c r="D43" s="133" t="s">
        <v>53</v>
      </c>
      <c r="E43" s="133">
        <v>1200</v>
      </c>
      <c r="F43" s="21">
        <v>494.51850000000002</v>
      </c>
      <c r="G43" s="21">
        <v>496.50020000000001</v>
      </c>
      <c r="H43" s="33">
        <f>(G43-F43)*E43</f>
        <v>2378.0399999999872</v>
      </c>
      <c r="I43" s="43"/>
      <c r="J43" s="20"/>
    </row>
    <row r="44" spans="1:10" ht="15.75" x14ac:dyDescent="0.25">
      <c r="A44" s="27" t="s">
        <v>61</v>
      </c>
      <c r="B44" s="133" t="s">
        <v>52</v>
      </c>
      <c r="C44" s="32">
        <v>50555043</v>
      </c>
      <c r="D44" s="133" t="s">
        <v>53</v>
      </c>
      <c r="E44" s="133">
        <v>1200</v>
      </c>
      <c r="F44" s="21">
        <v>2069.5859</v>
      </c>
      <c r="G44" s="21">
        <v>2077.6570999999999</v>
      </c>
      <c r="H44" s="33">
        <f>(G44-F44)*E44</f>
        <v>9685.439999999835</v>
      </c>
      <c r="I44" s="43"/>
      <c r="J44" s="20"/>
    </row>
    <row r="45" spans="1:10" ht="15.75" x14ac:dyDescent="0.25">
      <c r="A45" s="27" t="s">
        <v>62</v>
      </c>
      <c r="B45" s="133" t="s">
        <v>52</v>
      </c>
      <c r="C45" s="32">
        <v>51259336</v>
      </c>
      <c r="D45" s="133" t="s">
        <v>63</v>
      </c>
      <c r="E45" s="133">
        <v>2400</v>
      </c>
      <c r="F45" s="21">
        <v>4.1879</v>
      </c>
      <c r="G45" s="21">
        <v>4.2015000000000002</v>
      </c>
      <c r="H45" s="33">
        <f>(G45-F45)*E45</f>
        <v>32.640000000000668</v>
      </c>
      <c r="I45" s="43"/>
      <c r="J45" s="20"/>
    </row>
    <row r="46" spans="1:10" ht="15.75" x14ac:dyDescent="0.25">
      <c r="A46" s="27" t="s">
        <v>64</v>
      </c>
      <c r="B46" s="133" t="s">
        <v>52</v>
      </c>
      <c r="C46" s="32">
        <v>51259266</v>
      </c>
      <c r="D46" s="133" t="s">
        <v>53</v>
      </c>
      <c r="E46" s="133">
        <v>1200</v>
      </c>
      <c r="F46" s="21">
        <v>1004.4791</v>
      </c>
      <c r="G46" s="21">
        <v>1008.0177</v>
      </c>
      <c r="H46" s="33">
        <f>(G46-F46)*E46</f>
        <v>4246.3199999999688</v>
      </c>
      <c r="I46" s="43"/>
      <c r="J46" s="20"/>
    </row>
    <row r="47" spans="1:10" ht="15.75" x14ac:dyDescent="0.25">
      <c r="A47" s="27" t="s">
        <v>65</v>
      </c>
      <c r="B47" s="133" t="s">
        <v>52</v>
      </c>
      <c r="C47" s="32">
        <v>51431336</v>
      </c>
      <c r="D47" s="133" t="s">
        <v>53</v>
      </c>
      <c r="E47" s="133">
        <v>1200</v>
      </c>
      <c r="F47" s="21">
        <v>59.261299999999999</v>
      </c>
      <c r="G47" s="21">
        <v>59.623600000000003</v>
      </c>
      <c r="H47" s="33">
        <f>(G47-F47)*E47</f>
        <v>434.76000000000568</v>
      </c>
      <c r="I47" s="43"/>
      <c r="J47" s="20"/>
    </row>
    <row r="48" spans="1:10" ht="15.75" x14ac:dyDescent="0.25">
      <c r="A48" s="15" t="s">
        <v>66</v>
      </c>
      <c r="B48" s="133" t="s">
        <v>67</v>
      </c>
      <c r="C48" s="133">
        <v>49174</v>
      </c>
      <c r="D48" s="134" t="s">
        <v>53</v>
      </c>
      <c r="E48" s="133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16827.199999999797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33" t="s">
        <v>52</v>
      </c>
      <c r="C51" s="133">
        <v>51097603</v>
      </c>
      <c r="D51" s="134" t="s">
        <v>53</v>
      </c>
      <c r="E51" s="133">
        <v>7000</v>
      </c>
      <c r="F51" s="17">
        <v>1974.3280999999999</v>
      </c>
      <c r="G51" s="17">
        <v>1981.0700999999999</v>
      </c>
      <c r="H51" s="18">
        <f>(G51-F51)*E51</f>
        <v>47193.999999999731</v>
      </c>
      <c r="I51" s="43"/>
      <c r="J51" s="20"/>
    </row>
    <row r="52" spans="1:10" ht="15.75" x14ac:dyDescent="0.25">
      <c r="A52" s="27" t="s">
        <v>72</v>
      </c>
      <c r="B52" s="133" t="s">
        <v>52</v>
      </c>
      <c r="C52" s="133">
        <v>51097590</v>
      </c>
      <c r="D52" s="134" t="s">
        <v>53</v>
      </c>
      <c r="E52" s="133">
        <v>7000</v>
      </c>
      <c r="F52" s="21">
        <v>12.759</v>
      </c>
      <c r="G52" s="21">
        <v>12.7835</v>
      </c>
      <c r="H52" s="18">
        <f>(G52-F52)*E52</f>
        <v>171.49999999999821</v>
      </c>
      <c r="I52" s="43"/>
      <c r="J52" s="20"/>
    </row>
    <row r="53" spans="1:10" ht="15.75" x14ac:dyDescent="0.25">
      <c r="A53" s="15" t="s">
        <v>66</v>
      </c>
      <c r="B53" s="133" t="s">
        <v>67</v>
      </c>
      <c r="C53" s="133">
        <v>49174</v>
      </c>
      <c r="D53" s="134" t="s">
        <v>53</v>
      </c>
      <c r="E53" s="133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33"/>
      <c r="D54" s="134"/>
      <c r="E54" s="133"/>
      <c r="F54" s="21"/>
      <c r="G54" s="21"/>
      <c r="H54" s="48">
        <f>H51+H52+H53</f>
        <v>47465.499999999731</v>
      </c>
      <c r="I54" s="47"/>
      <c r="J54" s="59"/>
    </row>
    <row r="55" spans="1:10" ht="15.75" x14ac:dyDescent="0.25">
      <c r="A55" s="27" t="s">
        <v>74</v>
      </c>
      <c r="B55" s="133" t="s">
        <v>52</v>
      </c>
      <c r="C55" s="133">
        <v>51100980</v>
      </c>
      <c r="D55" s="133" t="s">
        <v>75</v>
      </c>
      <c r="E55" s="133">
        <v>12000</v>
      </c>
      <c r="F55" s="21">
        <v>1161.5762</v>
      </c>
      <c r="G55" s="21">
        <v>1165.5227</v>
      </c>
      <c r="H55" s="18">
        <f>(G55-F55)*E55</f>
        <v>47358.000000000175</v>
      </c>
      <c r="I55" s="47"/>
      <c r="J55" s="58"/>
    </row>
    <row r="56" spans="1:10" ht="15.75" x14ac:dyDescent="0.25">
      <c r="A56" s="27" t="s">
        <v>76</v>
      </c>
      <c r="B56" s="133" t="s">
        <v>52</v>
      </c>
      <c r="C56" s="133">
        <v>51097623</v>
      </c>
      <c r="D56" s="133" t="s">
        <v>75</v>
      </c>
      <c r="E56" s="133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33"/>
      <c r="C57" s="133"/>
      <c r="D57" s="133"/>
      <c r="E57" s="133"/>
      <c r="F57" s="21"/>
      <c r="G57" s="21"/>
      <c r="H57" s="48">
        <f>H55+H56</f>
        <v>47358.000000000175</v>
      </c>
      <c r="I57" s="61">
        <f>H54-H64-H53</f>
        <v>-88.500000000974978</v>
      </c>
      <c r="J57" s="25">
        <f>I57/H57</f>
        <v>-1.8687444571344788E-3</v>
      </c>
    </row>
    <row r="58" spans="1:10" ht="15.75" x14ac:dyDescent="0.25">
      <c r="A58" s="27" t="s">
        <v>78</v>
      </c>
      <c r="B58" s="133" t="s">
        <v>52</v>
      </c>
      <c r="C58" s="133">
        <v>51097675</v>
      </c>
      <c r="D58" s="133" t="s">
        <v>34</v>
      </c>
      <c r="E58" s="133">
        <v>4800</v>
      </c>
      <c r="F58" s="21">
        <v>525.59590000000003</v>
      </c>
      <c r="G58" s="21">
        <v>528.42700000000002</v>
      </c>
      <c r="H58" s="18">
        <f t="shared" ref="H58:H63" si="2">(G58-F58)*E58</f>
        <v>13589.279999999962</v>
      </c>
      <c r="I58" s="62"/>
      <c r="J58" s="59"/>
    </row>
    <row r="59" spans="1:10" ht="15.75" x14ac:dyDescent="0.25">
      <c r="A59" s="27" t="s">
        <v>79</v>
      </c>
      <c r="B59" s="133" t="s">
        <v>52</v>
      </c>
      <c r="C59" s="133">
        <v>51100997</v>
      </c>
      <c r="D59" s="133" t="s">
        <v>21</v>
      </c>
      <c r="E59" s="133">
        <v>3600</v>
      </c>
      <c r="F59" s="21">
        <v>1392.5204000000001</v>
      </c>
      <c r="G59" s="21">
        <v>1395.3284000000001</v>
      </c>
      <c r="H59" s="18">
        <f t="shared" si="2"/>
        <v>10108.799999999974</v>
      </c>
      <c r="I59" s="62"/>
      <c r="J59" s="59"/>
    </row>
    <row r="60" spans="1:10" ht="15.75" x14ac:dyDescent="0.25">
      <c r="A60" s="27" t="s">
        <v>80</v>
      </c>
      <c r="B60" s="133" t="s">
        <v>52</v>
      </c>
      <c r="C60" s="133">
        <v>51555218</v>
      </c>
      <c r="D60" s="133">
        <f>400/5</f>
        <v>80</v>
      </c>
      <c r="E60" s="133">
        <v>4800</v>
      </c>
      <c r="F60" s="21">
        <v>66.885599999999997</v>
      </c>
      <c r="G60" s="21">
        <v>67.369100000000003</v>
      </c>
      <c r="H60" s="18">
        <f t="shared" si="2"/>
        <v>2320.8000000000311</v>
      </c>
      <c r="I60" s="62"/>
      <c r="J60" s="59"/>
    </row>
    <row r="61" spans="1:10" ht="15.75" x14ac:dyDescent="0.25">
      <c r="A61" s="27" t="s">
        <v>81</v>
      </c>
      <c r="B61" s="133" t="s">
        <v>52</v>
      </c>
      <c r="C61" s="133">
        <v>51555151</v>
      </c>
      <c r="D61" s="133">
        <f>400/5</f>
        <v>80</v>
      </c>
      <c r="E61" s="133">
        <v>4800</v>
      </c>
      <c r="F61" s="63">
        <v>0.30690000000000001</v>
      </c>
      <c r="G61" s="63">
        <v>0.30690000000000001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33" t="s">
        <v>52</v>
      </c>
      <c r="C62" s="133">
        <v>51097599</v>
      </c>
      <c r="D62" s="133" t="s">
        <v>21</v>
      </c>
      <c r="E62" s="133">
        <v>3600</v>
      </c>
      <c r="F62" s="21">
        <v>975.54319999999996</v>
      </c>
      <c r="G62" s="21">
        <v>977.99300000000005</v>
      </c>
      <c r="H62" s="18">
        <f t="shared" si="2"/>
        <v>8819.2800000003444</v>
      </c>
      <c r="I62" s="62"/>
      <c r="J62" s="59"/>
    </row>
    <row r="63" spans="1:10" ht="15.75" x14ac:dyDescent="0.25">
      <c r="A63" s="27" t="s">
        <v>83</v>
      </c>
      <c r="B63" s="133" t="s">
        <v>52</v>
      </c>
      <c r="C63" s="133">
        <v>51097620</v>
      </c>
      <c r="D63" s="133" t="s">
        <v>34</v>
      </c>
      <c r="E63" s="133">
        <v>4800</v>
      </c>
      <c r="F63" s="21">
        <v>525.04719999999998</v>
      </c>
      <c r="G63" s="21">
        <v>527.67550000000006</v>
      </c>
      <c r="H63" s="18">
        <f t="shared" si="2"/>
        <v>12615.840000000389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47454.000000000706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33" t="s">
        <v>52</v>
      </c>
      <c r="C66" s="9">
        <v>51259238</v>
      </c>
      <c r="D66" s="74" t="s">
        <v>53</v>
      </c>
      <c r="E66" s="74">
        <v>7000</v>
      </c>
      <c r="F66" s="75">
        <v>569.45050000000003</v>
      </c>
      <c r="G66" s="75">
        <v>573.51869999999997</v>
      </c>
      <c r="H66" s="76">
        <f>(G66-F66)*E66</f>
        <v>28477.399999999536</v>
      </c>
      <c r="I66" s="77"/>
      <c r="J66" s="78"/>
    </row>
    <row r="67" spans="1:10" ht="15.75" x14ac:dyDescent="0.25">
      <c r="A67" s="27" t="s">
        <v>86</v>
      </c>
      <c r="B67" s="133" t="s">
        <v>52</v>
      </c>
      <c r="C67" s="133">
        <v>51259324</v>
      </c>
      <c r="D67" s="134" t="s">
        <v>53</v>
      </c>
      <c r="E67" s="134">
        <v>7000</v>
      </c>
      <c r="F67" s="21">
        <v>443.6678</v>
      </c>
      <c r="G67" s="21">
        <v>444.42380000000003</v>
      </c>
      <c r="H67" s="18">
        <f>(G67-F67)*E67</f>
        <v>5292.0000000002001</v>
      </c>
      <c r="I67" s="51"/>
      <c r="J67" s="58"/>
    </row>
    <row r="68" spans="1:10" s="129" customFormat="1" ht="15.75" x14ac:dyDescent="0.25">
      <c r="A68" s="27" t="s">
        <v>87</v>
      </c>
      <c r="B68" s="79" t="s">
        <v>88</v>
      </c>
      <c r="C68" s="133">
        <v>51491618</v>
      </c>
      <c r="D68" s="134" t="s">
        <v>63</v>
      </c>
      <c r="E68" s="133">
        <v>40</v>
      </c>
      <c r="F68" s="28">
        <v>1298.6510000000001</v>
      </c>
      <c r="G68" s="28">
        <v>1308.2915</v>
      </c>
      <c r="H68" s="18">
        <f>(G68-F68)*E68</f>
        <v>385.61999999999898</v>
      </c>
      <c r="I68" s="51"/>
      <c r="J68" s="58"/>
    </row>
    <row r="69" spans="1:10" s="129" customFormat="1" ht="15.75" x14ac:dyDescent="0.25">
      <c r="A69" s="27" t="s">
        <v>89</v>
      </c>
      <c r="B69" s="79" t="s">
        <v>88</v>
      </c>
      <c r="C69" s="133">
        <v>51491624</v>
      </c>
      <c r="D69" s="134" t="s">
        <v>63</v>
      </c>
      <c r="E69" s="133">
        <v>40</v>
      </c>
      <c r="F69" s="28">
        <v>176.15600000000001</v>
      </c>
      <c r="G69" s="28">
        <v>176.9145</v>
      </c>
      <c r="H69" s="18">
        <f>(G69-F69)*E69</f>
        <v>30.339999999999918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33769.399999999732</v>
      </c>
      <c r="I70" s="85">
        <f>H70-H73-H68-H69</f>
        <v>261.03999999973917</v>
      </c>
      <c r="J70" s="25">
        <f>I70/H70</f>
        <v>7.730075156791096E-3</v>
      </c>
    </row>
    <row r="71" spans="1:10" ht="15.75" x14ac:dyDescent="0.25">
      <c r="A71" s="27" t="s">
        <v>91</v>
      </c>
      <c r="B71" s="133" t="s">
        <v>52</v>
      </c>
      <c r="C71" s="86">
        <v>51097588</v>
      </c>
      <c r="D71" s="134" t="s">
        <v>75</v>
      </c>
      <c r="E71" s="133">
        <v>12000</v>
      </c>
      <c r="F71" s="21">
        <v>341.07139999999998</v>
      </c>
      <c r="G71" s="21">
        <v>343.4051</v>
      </c>
      <c r="H71" s="18">
        <f>(G71-F71)*E71</f>
        <v>28004.40000000026</v>
      </c>
      <c r="I71" s="51"/>
      <c r="J71" s="58"/>
    </row>
    <row r="72" spans="1:10" ht="15.75" x14ac:dyDescent="0.25">
      <c r="A72" s="27" t="s">
        <v>92</v>
      </c>
      <c r="B72" s="133" t="s">
        <v>52</v>
      </c>
      <c r="C72" s="86">
        <v>51431335</v>
      </c>
      <c r="D72" s="134" t="s">
        <v>75</v>
      </c>
      <c r="E72" s="133">
        <v>12000</v>
      </c>
      <c r="F72" s="21">
        <v>270.69560000000001</v>
      </c>
      <c r="G72" s="21">
        <v>271.11959999999999</v>
      </c>
      <c r="H72" s="18">
        <f>(G72-F72)*E72</f>
        <v>5087.9999999997381</v>
      </c>
      <c r="I72" s="51"/>
      <c r="J72" s="58"/>
    </row>
    <row r="73" spans="1:10" ht="15.75" x14ac:dyDescent="0.25">
      <c r="A73" s="87" t="s">
        <v>93</v>
      </c>
      <c r="B73" s="133" t="s">
        <v>27</v>
      </c>
      <c r="C73" s="133"/>
      <c r="D73" s="134"/>
      <c r="E73" s="133"/>
      <c r="F73" s="21"/>
      <c r="G73" s="21"/>
      <c r="H73" s="48">
        <f>H71+ H72</f>
        <v>33092.399999999994</v>
      </c>
      <c r="I73" s="85">
        <f>H73-H81</f>
        <v>-51.060000000245054</v>
      </c>
      <c r="J73" s="25">
        <f>I73/H73</f>
        <v>-1.5429524603910584E-3</v>
      </c>
    </row>
    <row r="74" spans="1:10" ht="15.75" x14ac:dyDescent="0.25">
      <c r="A74" s="27" t="s">
        <v>94</v>
      </c>
      <c r="B74" s="133" t="s">
        <v>52</v>
      </c>
      <c r="C74" s="86">
        <v>51097676</v>
      </c>
      <c r="D74" s="88" t="s">
        <v>63</v>
      </c>
      <c r="E74" s="133">
        <v>2400</v>
      </c>
      <c r="F74" s="21">
        <v>715.80359999999996</v>
      </c>
      <c r="G74" s="21">
        <v>719.34580000000005</v>
      </c>
      <c r="H74" s="18">
        <f>(G74-F74)*E74</f>
        <v>8501.2800000002244</v>
      </c>
      <c r="I74" s="51"/>
      <c r="J74" s="58"/>
    </row>
    <row r="75" spans="1:10" ht="15.75" x14ac:dyDescent="0.25">
      <c r="A75" s="27" t="s">
        <v>95</v>
      </c>
      <c r="B75" s="133" t="s">
        <v>52</v>
      </c>
      <c r="C75" s="86">
        <v>51431355</v>
      </c>
      <c r="D75" s="134" t="s">
        <v>21</v>
      </c>
      <c r="E75" s="134">
        <v>3600</v>
      </c>
      <c r="F75" s="21">
        <v>372.49810000000002</v>
      </c>
      <c r="G75" s="21">
        <v>373.84840000000003</v>
      </c>
      <c r="H75" s="18">
        <f>(G75-F75)*E75</f>
        <v>4861.0800000000154</v>
      </c>
      <c r="I75" s="51"/>
      <c r="J75" s="52"/>
    </row>
    <row r="76" spans="1:10" ht="15.75" x14ac:dyDescent="0.25">
      <c r="A76" s="27" t="s">
        <v>96</v>
      </c>
      <c r="B76" s="133" t="s">
        <v>52</v>
      </c>
      <c r="C76" s="86">
        <v>51259331</v>
      </c>
      <c r="D76" s="88" t="s">
        <v>37</v>
      </c>
      <c r="E76" s="133">
        <v>600</v>
      </c>
      <c r="F76" s="21">
        <v>169.18029999999999</v>
      </c>
      <c r="G76" s="21">
        <v>170.01159999999999</v>
      </c>
      <c r="H76" s="18">
        <f>(G76-F76)*E76</f>
        <v>498.77999999999929</v>
      </c>
      <c r="I76" s="51"/>
      <c r="J76" s="52"/>
    </row>
    <row r="77" spans="1:10" ht="15.75" x14ac:dyDescent="0.25">
      <c r="A77" s="27" t="s">
        <v>97</v>
      </c>
      <c r="B77" s="133" t="s">
        <v>52</v>
      </c>
      <c r="C77" s="86">
        <v>51259326</v>
      </c>
      <c r="D77" s="88" t="s">
        <v>14</v>
      </c>
      <c r="E77" s="133">
        <v>7200</v>
      </c>
      <c r="F77" s="21">
        <v>338.5224</v>
      </c>
      <c r="G77" s="21">
        <v>339.96019999999999</v>
      </c>
      <c r="H77" s="18">
        <f>(G77-F77)*E77</f>
        <v>10352.159999999867</v>
      </c>
      <c r="I77" s="51"/>
      <c r="J77" s="52"/>
    </row>
    <row r="78" spans="1:10" ht="15.75" x14ac:dyDescent="0.25">
      <c r="A78" s="27" t="s">
        <v>98</v>
      </c>
      <c r="B78" s="133" t="s">
        <v>52</v>
      </c>
      <c r="C78" s="86">
        <v>51431351</v>
      </c>
      <c r="D78" s="88" t="s">
        <v>14</v>
      </c>
      <c r="E78" s="133">
        <v>7200</v>
      </c>
      <c r="F78" s="21">
        <v>244.06899999999999</v>
      </c>
      <c r="G78" s="21">
        <v>245.30930000000001</v>
      </c>
      <c r="H78" s="18">
        <f>(G78-F78)*E78</f>
        <v>8930.1600000001381</v>
      </c>
      <c r="I78" s="51"/>
      <c r="J78" s="52"/>
    </row>
    <row r="79" spans="1:10" ht="15.75" x14ac:dyDescent="0.25">
      <c r="A79" s="89" t="s">
        <v>99</v>
      </c>
      <c r="B79" s="133" t="s">
        <v>52</v>
      </c>
      <c r="C79" s="90">
        <v>51097666</v>
      </c>
      <c r="D79" s="88" t="s">
        <v>63</v>
      </c>
      <c r="E79" s="133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33" t="s">
        <v>52</v>
      </c>
      <c r="C80" s="90">
        <v>51259323</v>
      </c>
      <c r="D80" s="88" t="s">
        <v>63</v>
      </c>
      <c r="E80" s="133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33143.460000000239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33" t="s">
        <v>52</v>
      </c>
      <c r="C83" s="106">
        <v>51431297</v>
      </c>
      <c r="D83" s="134" t="s">
        <v>53</v>
      </c>
      <c r="E83" s="100">
        <v>7000</v>
      </c>
      <c r="F83" s="17">
        <v>291.11970000000002</v>
      </c>
      <c r="G83" s="17">
        <v>293.72030000000001</v>
      </c>
      <c r="H83" s="18">
        <f>(G83-F83)*E83</f>
        <v>18204.199999999903</v>
      </c>
      <c r="I83" s="107"/>
      <c r="J83" s="108"/>
    </row>
    <row r="84" spans="1:10" ht="15.75" x14ac:dyDescent="0.25">
      <c r="A84" s="105" t="s">
        <v>86</v>
      </c>
      <c r="B84" s="133" t="s">
        <v>52</v>
      </c>
      <c r="C84" s="106">
        <v>51431332</v>
      </c>
      <c r="D84" s="134" t="s">
        <v>53</v>
      </c>
      <c r="E84" s="100">
        <v>7000</v>
      </c>
      <c r="F84" s="17">
        <v>358.12450000000001</v>
      </c>
      <c r="G84" s="17">
        <v>358.23669999999998</v>
      </c>
      <c r="H84" s="18">
        <f>(G84-F84)*E84</f>
        <v>785.39999999981092</v>
      </c>
      <c r="I84" s="133"/>
      <c r="J84" s="58"/>
    </row>
    <row r="85" spans="1:10" s="129" customFormat="1" ht="15.75" x14ac:dyDescent="0.25">
      <c r="A85" s="27" t="s">
        <v>87</v>
      </c>
      <c r="B85" s="133" t="s">
        <v>103</v>
      </c>
      <c r="C85" s="109">
        <v>150773</v>
      </c>
      <c r="D85" s="134" t="s">
        <v>53</v>
      </c>
      <c r="E85" s="109">
        <v>20</v>
      </c>
      <c r="F85" s="17">
        <v>15695.6</v>
      </c>
      <c r="G85" s="17">
        <v>15698.8</v>
      </c>
      <c r="H85" s="18">
        <f>(G85-F85)*E85</f>
        <v>63.999999999978172</v>
      </c>
      <c r="I85" s="51"/>
      <c r="J85" s="58"/>
    </row>
    <row r="86" spans="1:10" s="129" customFormat="1" ht="15.75" x14ac:dyDescent="0.25">
      <c r="A86" s="27" t="s">
        <v>89</v>
      </c>
      <c r="B86" s="133" t="s">
        <v>103</v>
      </c>
      <c r="C86" s="109">
        <v>150791</v>
      </c>
      <c r="D86" s="134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35"/>
      <c r="C87" s="32"/>
      <c r="D87" s="82"/>
      <c r="E87" s="82"/>
      <c r="F87" s="21"/>
      <c r="G87" s="21"/>
      <c r="H87" s="48">
        <f>H83+H84</f>
        <v>18989.599999999715</v>
      </c>
      <c r="I87" s="85">
        <f>H87-H90-H85-H86</f>
        <v>357.75999999984924</v>
      </c>
      <c r="J87" s="25">
        <f>I87/H87</f>
        <v>1.8839785988112156E-2</v>
      </c>
    </row>
    <row r="88" spans="1:10" ht="15.75" x14ac:dyDescent="0.25">
      <c r="A88" s="27" t="s">
        <v>104</v>
      </c>
      <c r="B88" s="133" t="s">
        <v>52</v>
      </c>
      <c r="C88" s="106">
        <v>51431342</v>
      </c>
      <c r="D88" s="88" t="s">
        <v>34</v>
      </c>
      <c r="E88" s="133">
        <v>4800</v>
      </c>
      <c r="F88" s="21">
        <v>413.58550000000002</v>
      </c>
      <c r="G88" s="21">
        <v>417.33539999999999</v>
      </c>
      <c r="H88" s="18">
        <f>(G88-F88)*E88</f>
        <v>17999.519999999848</v>
      </c>
      <c r="I88" s="51"/>
      <c r="J88" s="52"/>
    </row>
    <row r="89" spans="1:10" ht="15.75" x14ac:dyDescent="0.25">
      <c r="A89" s="27" t="s">
        <v>105</v>
      </c>
      <c r="B89" s="133" t="s">
        <v>52</v>
      </c>
      <c r="C89" s="106">
        <v>51431343</v>
      </c>
      <c r="D89" s="88" t="s">
        <v>34</v>
      </c>
      <c r="E89" s="133">
        <v>4800</v>
      </c>
      <c r="F89" s="21">
        <v>505.69310000000002</v>
      </c>
      <c r="G89" s="21">
        <v>505.81150000000002</v>
      </c>
      <c r="H89" s="18">
        <f>(G89-F89)*E89</f>
        <v>568.32000000003973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18567.839999999887</v>
      </c>
      <c r="I90" s="85">
        <f>H90-H98</f>
        <v>2.419999999787251</v>
      </c>
      <c r="J90" s="25">
        <f>I90/H90</f>
        <v>1.3033287661824239E-4</v>
      </c>
    </row>
    <row r="91" spans="1:10" ht="15.75" x14ac:dyDescent="0.25">
      <c r="A91" s="27" t="s">
        <v>107</v>
      </c>
      <c r="B91" s="133" t="s">
        <v>52</v>
      </c>
      <c r="C91" s="106">
        <v>51431347</v>
      </c>
      <c r="D91" s="134" t="s">
        <v>53</v>
      </c>
      <c r="E91" s="133">
        <v>1200</v>
      </c>
      <c r="F91" s="21">
        <v>1202.1474000000001</v>
      </c>
      <c r="G91" s="21">
        <v>1202.1474000000001</v>
      </c>
      <c r="H91" s="18">
        <f>(G91-F91)*E91</f>
        <v>0</v>
      </c>
      <c r="I91" s="51"/>
      <c r="J91" s="52"/>
    </row>
    <row r="92" spans="1:10" ht="15.75" x14ac:dyDescent="0.25">
      <c r="A92" s="27" t="s">
        <v>108</v>
      </c>
      <c r="B92" s="133" t="s">
        <v>52</v>
      </c>
      <c r="C92" s="106">
        <v>51431339</v>
      </c>
      <c r="D92" s="134" t="s">
        <v>53</v>
      </c>
      <c r="E92" s="133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33" t="s">
        <v>52</v>
      </c>
      <c r="C93" s="106">
        <v>51217244</v>
      </c>
      <c r="D93" s="133" t="s">
        <v>37</v>
      </c>
      <c r="E93" s="133">
        <v>600</v>
      </c>
      <c r="F93" s="30">
        <v>336.78100000000001</v>
      </c>
      <c r="G93" s="30">
        <v>337.61369999999999</v>
      </c>
      <c r="H93" s="18">
        <f t="shared" si="4"/>
        <v>499.61999999999307</v>
      </c>
      <c r="I93" s="51"/>
      <c r="J93" s="52"/>
    </row>
    <row r="94" spans="1:10" ht="15.75" x14ac:dyDescent="0.25">
      <c r="A94" s="27" t="s">
        <v>110</v>
      </c>
      <c r="B94" s="133" t="s">
        <v>52</v>
      </c>
      <c r="C94" s="106">
        <v>51217267</v>
      </c>
      <c r="D94" s="88" t="s">
        <v>63</v>
      </c>
      <c r="E94" s="133">
        <v>2400</v>
      </c>
      <c r="F94" s="30">
        <v>20.414300000000001</v>
      </c>
      <c r="G94" s="30">
        <v>20.4451</v>
      </c>
      <c r="H94" s="18">
        <f t="shared" si="4"/>
        <v>73.919999999998254</v>
      </c>
      <c r="I94" s="51"/>
      <c r="J94" s="52"/>
    </row>
    <row r="95" spans="1:10" ht="15.75" x14ac:dyDescent="0.25">
      <c r="A95" s="27" t="s">
        <v>111</v>
      </c>
      <c r="B95" s="133" t="s">
        <v>52</v>
      </c>
      <c r="C95" s="133">
        <v>51555165</v>
      </c>
      <c r="D95" s="134" t="s">
        <v>53</v>
      </c>
      <c r="E95" s="133">
        <v>1200</v>
      </c>
      <c r="F95" s="30">
        <v>883.06859999999995</v>
      </c>
      <c r="G95" s="30">
        <v>891.71910000000003</v>
      </c>
      <c r="H95" s="18">
        <f t="shared" si="4"/>
        <v>10380.600000000095</v>
      </c>
      <c r="I95" s="51" t="s">
        <v>27</v>
      </c>
      <c r="J95" s="52"/>
    </row>
    <row r="96" spans="1:10" ht="15.75" x14ac:dyDescent="0.25">
      <c r="A96" s="113" t="s">
        <v>112</v>
      </c>
      <c r="B96" s="133" t="s">
        <v>52</v>
      </c>
      <c r="C96" s="106">
        <v>51431346</v>
      </c>
      <c r="D96" s="114" t="s">
        <v>37</v>
      </c>
      <c r="E96" s="114">
        <v>600</v>
      </c>
      <c r="F96" s="30">
        <v>360.35700000000003</v>
      </c>
      <c r="G96" s="30">
        <v>362.43279999999999</v>
      </c>
      <c r="H96" s="115">
        <f t="shared" si="4"/>
        <v>1245.479999999975</v>
      </c>
      <c r="I96" s="116"/>
      <c r="J96" s="117"/>
    </row>
    <row r="97" spans="1:10" ht="15.75" x14ac:dyDescent="0.25">
      <c r="A97" s="27" t="s">
        <v>113</v>
      </c>
      <c r="B97" s="133" t="s">
        <v>52</v>
      </c>
      <c r="C97" s="106">
        <v>51431352</v>
      </c>
      <c r="D97" s="88" t="s">
        <v>21</v>
      </c>
      <c r="E97" s="133">
        <v>3600</v>
      </c>
      <c r="F97" s="21">
        <v>237.37139999999999</v>
      </c>
      <c r="G97" s="21">
        <v>239.12190000000001</v>
      </c>
      <c r="H97" s="18">
        <f t="shared" si="4"/>
        <v>6301.8000000000593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18565.4200000001</v>
      </c>
      <c r="I98" s="51"/>
      <c r="J98" s="52"/>
    </row>
    <row r="99" spans="1:10" ht="15.75" x14ac:dyDescent="0.25">
      <c r="A99" s="45" t="s">
        <v>114</v>
      </c>
      <c r="B99" s="133" t="s">
        <v>52</v>
      </c>
      <c r="C99" s="120">
        <v>51431357</v>
      </c>
      <c r="D99" s="134" t="s">
        <v>63</v>
      </c>
      <c r="E99" s="134">
        <v>14000</v>
      </c>
      <c r="F99" s="28">
        <v>850.39440000000002</v>
      </c>
      <c r="G99" s="28">
        <v>852.82489999999996</v>
      </c>
      <c r="H99" s="121">
        <f t="shared" si="4"/>
        <v>34026.999999999134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>
      <selection sqref="A1:XFD104857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120</v>
      </c>
      <c r="G2" s="4" t="s">
        <v>121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36" t="s">
        <v>13</v>
      </c>
      <c r="C4" s="136">
        <v>51555166</v>
      </c>
      <c r="D4" s="136" t="s">
        <v>14</v>
      </c>
      <c r="E4" s="136">
        <v>132000</v>
      </c>
      <c r="F4" s="17">
        <v>6.4080000000000004</v>
      </c>
      <c r="G4" s="17">
        <v>6.9307999999999996</v>
      </c>
      <c r="H4" s="18">
        <f>(G4-F4)*E4</f>
        <v>69009.599999999904</v>
      </c>
      <c r="I4" s="19"/>
      <c r="J4" s="20"/>
    </row>
    <row r="5" spans="1:10" ht="15.75" x14ac:dyDescent="0.25">
      <c r="A5" s="15" t="s">
        <v>15</v>
      </c>
      <c r="B5" s="136" t="s">
        <v>13</v>
      </c>
      <c r="C5" s="136">
        <v>51555191</v>
      </c>
      <c r="D5" s="136" t="s">
        <v>14</v>
      </c>
      <c r="E5" s="136">
        <v>132000</v>
      </c>
      <c r="F5" s="21">
        <v>379.51940000000002</v>
      </c>
      <c r="G5" s="21">
        <v>381.01170000000002</v>
      </c>
      <c r="H5" s="18">
        <f>(G5-F5)*E5</f>
        <v>196983.60000000003</v>
      </c>
      <c r="I5" s="19"/>
      <c r="J5" s="20"/>
    </row>
    <row r="6" spans="1:10" ht="15.75" x14ac:dyDescent="0.25">
      <c r="A6" s="218" t="s">
        <v>16</v>
      </c>
      <c r="B6" s="219"/>
      <c r="C6" s="136"/>
      <c r="D6" s="137"/>
      <c r="E6" s="136"/>
      <c r="H6" s="23">
        <f>H4+H5</f>
        <v>265993.19999999995</v>
      </c>
      <c r="I6" s="24">
        <f>H6-H9-H19</f>
        <v>1923.6000000023196</v>
      </c>
      <c r="J6" s="25">
        <f>I6/H6</f>
        <v>7.2317638195349351E-3</v>
      </c>
    </row>
    <row r="7" spans="1:10" ht="15.75" x14ac:dyDescent="0.25">
      <c r="A7" s="26" t="s">
        <v>17</v>
      </c>
      <c r="B7" s="136" t="s">
        <v>13</v>
      </c>
      <c r="C7" s="136">
        <v>51097629</v>
      </c>
      <c r="D7" s="137" t="s">
        <v>14</v>
      </c>
      <c r="E7" s="136">
        <v>42000</v>
      </c>
      <c r="F7" s="21">
        <v>1120.7697000000001</v>
      </c>
      <c r="G7" s="21">
        <v>1124.0327</v>
      </c>
      <c r="H7" s="18">
        <f>(G7-F7)*E7</f>
        <v>137045.99999999662</v>
      </c>
      <c r="I7" s="19"/>
      <c r="J7" s="20"/>
    </row>
    <row r="8" spans="1:10" ht="15.75" x14ac:dyDescent="0.25">
      <c r="A8" s="26" t="s">
        <v>18</v>
      </c>
      <c r="B8" s="136" t="s">
        <v>13</v>
      </c>
      <c r="C8" s="136">
        <v>51616820</v>
      </c>
      <c r="D8" s="137" t="s">
        <v>14</v>
      </c>
      <c r="E8" s="136">
        <v>42000</v>
      </c>
      <c r="F8" s="21">
        <v>14.015599999999999</v>
      </c>
      <c r="G8" s="21">
        <v>15.2872</v>
      </c>
      <c r="H8" s="18">
        <f>(G8-F8)*E8</f>
        <v>53407.200000000048</v>
      </c>
      <c r="I8" s="19"/>
      <c r="J8" s="20"/>
    </row>
    <row r="9" spans="1:10" ht="15.75" x14ac:dyDescent="0.25">
      <c r="A9" s="218" t="s">
        <v>19</v>
      </c>
      <c r="B9" s="219"/>
      <c r="C9" s="136"/>
      <c r="D9" s="137"/>
      <c r="E9" s="136"/>
      <c r="F9" s="21"/>
      <c r="G9" s="21"/>
      <c r="H9" s="23">
        <f>H7+H8</f>
        <v>190453.19999999666</v>
      </c>
      <c r="I9" s="24">
        <f>H9-H16</f>
        <v>33.599999997386476</v>
      </c>
      <c r="J9" s="25">
        <f>I9/H9</f>
        <v>1.7642129403647229E-4</v>
      </c>
    </row>
    <row r="10" spans="1:10" ht="15.75" x14ac:dyDescent="0.25">
      <c r="A10" s="27" t="s">
        <v>20</v>
      </c>
      <c r="B10" s="136" t="s">
        <v>13</v>
      </c>
      <c r="C10" s="136">
        <v>51217286</v>
      </c>
      <c r="D10" s="137" t="s">
        <v>21</v>
      </c>
      <c r="E10" s="136">
        <v>21000</v>
      </c>
      <c r="F10" s="21">
        <v>886.81529999999998</v>
      </c>
      <c r="G10" s="21">
        <v>889.91269999999997</v>
      </c>
      <c r="H10" s="18">
        <f t="shared" ref="H10:H15" si="0">(G10-F10)*E10</f>
        <v>65045.399999999856</v>
      </c>
      <c r="I10" s="19"/>
      <c r="J10" s="20"/>
    </row>
    <row r="11" spans="1:10" ht="15.75" x14ac:dyDescent="0.25">
      <c r="A11" s="27" t="s">
        <v>22</v>
      </c>
      <c r="B11" s="136" t="s">
        <v>13</v>
      </c>
      <c r="C11" s="136">
        <v>51217292</v>
      </c>
      <c r="D11" s="137" t="s">
        <v>21</v>
      </c>
      <c r="E11" s="136">
        <v>21000</v>
      </c>
      <c r="F11" s="28">
        <v>3.9121000000000001</v>
      </c>
      <c r="G11" s="28">
        <v>3.9174000000000002</v>
      </c>
      <c r="H11" s="18">
        <f>(G11-F11)*E11</f>
        <v>111.30000000000173</v>
      </c>
      <c r="I11" s="19"/>
      <c r="J11" s="20"/>
    </row>
    <row r="12" spans="1:10" ht="15.75" x14ac:dyDescent="0.25">
      <c r="A12" s="27" t="s">
        <v>23</v>
      </c>
      <c r="B12" s="136" t="s">
        <v>13</v>
      </c>
      <c r="C12" s="136">
        <v>51217271</v>
      </c>
      <c r="D12" s="137" t="s">
        <v>21</v>
      </c>
      <c r="E12" s="136">
        <v>21000</v>
      </c>
      <c r="F12" s="21">
        <v>661.2088</v>
      </c>
      <c r="G12" s="21">
        <v>664.22329999999999</v>
      </c>
      <c r="H12" s="18">
        <f t="shared" si="0"/>
        <v>63304.499999999964</v>
      </c>
      <c r="I12" s="19"/>
      <c r="J12" s="20"/>
    </row>
    <row r="13" spans="1:10" ht="15.75" x14ac:dyDescent="0.25">
      <c r="A13" s="27" t="s">
        <v>24</v>
      </c>
      <c r="B13" s="136" t="s">
        <v>13</v>
      </c>
      <c r="C13" s="136">
        <v>51217276</v>
      </c>
      <c r="D13" s="137" t="s">
        <v>21</v>
      </c>
      <c r="E13" s="136">
        <v>21000</v>
      </c>
      <c r="F13" s="28">
        <v>0.58240000000000003</v>
      </c>
      <c r="G13" s="28">
        <v>0.58930000000000005</v>
      </c>
      <c r="H13" s="18">
        <f>(G13-F13)*E13</f>
        <v>144.90000000000038</v>
      </c>
      <c r="I13" s="19"/>
      <c r="J13" s="20"/>
    </row>
    <row r="14" spans="1:10" ht="15.75" x14ac:dyDescent="0.25">
      <c r="A14" s="27" t="s">
        <v>25</v>
      </c>
      <c r="B14" s="136" t="s">
        <v>13</v>
      </c>
      <c r="C14" s="136">
        <v>51100990</v>
      </c>
      <c r="D14" s="137" t="s">
        <v>21</v>
      </c>
      <c r="E14" s="136">
        <v>21000</v>
      </c>
      <c r="F14" s="29">
        <v>711.10540000000003</v>
      </c>
      <c r="G14" s="29">
        <v>713.2604</v>
      </c>
      <c r="H14" s="18">
        <f t="shared" si="0"/>
        <v>45254.999999999425</v>
      </c>
      <c r="I14" s="19"/>
      <c r="J14" s="20"/>
    </row>
    <row r="15" spans="1:10" ht="15.75" x14ac:dyDescent="0.25">
      <c r="A15" s="27" t="s">
        <v>26</v>
      </c>
      <c r="B15" s="136" t="s">
        <v>13</v>
      </c>
      <c r="C15" s="136">
        <v>51097622</v>
      </c>
      <c r="D15" s="137" t="s">
        <v>21</v>
      </c>
      <c r="E15" s="136">
        <v>21000</v>
      </c>
      <c r="F15" s="21">
        <v>8.4809999999999999</v>
      </c>
      <c r="G15" s="21">
        <v>9.2695000000000007</v>
      </c>
      <c r="H15" s="18">
        <f t="shared" si="0"/>
        <v>16558.500000000018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36"/>
      <c r="D16" s="137"/>
      <c r="E16" s="136"/>
      <c r="F16" s="21"/>
      <c r="G16" s="21"/>
      <c r="H16" s="23">
        <f>H10+H11+H12+H13+H14+H15</f>
        <v>190419.59999999928</v>
      </c>
      <c r="I16" s="19"/>
      <c r="J16" s="20"/>
    </row>
    <row r="17" spans="1:10" ht="15.75" x14ac:dyDescent="0.25">
      <c r="A17" s="26" t="s">
        <v>29</v>
      </c>
      <c r="B17" s="136" t="s">
        <v>13</v>
      </c>
      <c r="C17" s="136">
        <v>51097617</v>
      </c>
      <c r="D17" s="137" t="s">
        <v>30</v>
      </c>
      <c r="E17" s="136">
        <v>18000</v>
      </c>
      <c r="F17" s="30">
        <v>871.14179999999999</v>
      </c>
      <c r="G17" s="30">
        <v>874.41740000000004</v>
      </c>
      <c r="H17" s="18">
        <f>(G17-F17)*E17</f>
        <v>58960.800000000971</v>
      </c>
      <c r="I17" s="19"/>
      <c r="J17" s="20"/>
    </row>
    <row r="18" spans="1:10" ht="15.75" x14ac:dyDescent="0.25">
      <c r="A18" s="26" t="s">
        <v>31</v>
      </c>
      <c r="B18" s="136" t="s">
        <v>13</v>
      </c>
      <c r="C18" s="136">
        <v>51097655</v>
      </c>
      <c r="D18" s="137" t="s">
        <v>30</v>
      </c>
      <c r="E18" s="136">
        <v>18000</v>
      </c>
      <c r="F18" s="30">
        <v>10.7279</v>
      </c>
      <c r="G18" s="30">
        <v>11.5421</v>
      </c>
      <c r="H18" s="18">
        <f>(G18-F18)*E18</f>
        <v>14655.599999999993</v>
      </c>
      <c r="I18" s="19"/>
      <c r="J18" s="20"/>
    </row>
    <row r="19" spans="1:10" ht="15.75" x14ac:dyDescent="0.25">
      <c r="A19" s="218" t="s">
        <v>32</v>
      </c>
      <c r="B19" s="219"/>
      <c r="C19" s="136"/>
      <c r="D19" s="137"/>
      <c r="E19" s="136"/>
      <c r="F19" s="30"/>
      <c r="G19" s="30"/>
      <c r="H19" s="23">
        <f>H17+H18</f>
        <v>73616.400000000969</v>
      </c>
      <c r="I19" s="24">
        <f>H19-H34</f>
        <v>1723.3200000013167</v>
      </c>
      <c r="J19" s="25">
        <f>I19/H19</f>
        <v>2.3409457675209518E-2</v>
      </c>
    </row>
    <row r="20" spans="1:10" ht="15.75" x14ac:dyDescent="0.25">
      <c r="A20" s="15" t="s">
        <v>33</v>
      </c>
      <c r="B20" s="136" t="s">
        <v>13</v>
      </c>
      <c r="C20" s="136">
        <v>51217282</v>
      </c>
      <c r="D20" s="137" t="s">
        <v>34</v>
      </c>
      <c r="E20" s="136">
        <v>4800</v>
      </c>
      <c r="F20" s="21">
        <v>382.54079999999999</v>
      </c>
      <c r="G20" s="21">
        <v>382.58850000000001</v>
      </c>
      <c r="H20" s="18">
        <f t="shared" ref="H20:H33" si="1">(G20-F20)*E20</f>
        <v>228.96000000009735</v>
      </c>
      <c r="I20" s="19" t="s">
        <v>27</v>
      </c>
      <c r="J20" s="20"/>
    </row>
    <row r="21" spans="1:10" ht="15.75" x14ac:dyDescent="0.25">
      <c r="A21" s="15" t="s">
        <v>35</v>
      </c>
      <c r="B21" s="136" t="s">
        <v>13</v>
      </c>
      <c r="C21" s="136">
        <v>51217274</v>
      </c>
      <c r="D21" s="137" t="s">
        <v>34</v>
      </c>
      <c r="E21" s="136">
        <v>4800</v>
      </c>
      <c r="F21" s="21">
        <v>1362.7971</v>
      </c>
      <c r="G21" s="21">
        <v>1368.7846999999999</v>
      </c>
      <c r="H21" s="18">
        <f t="shared" si="1"/>
        <v>28740.479999999661</v>
      </c>
      <c r="I21" s="19"/>
      <c r="J21" s="20"/>
    </row>
    <row r="22" spans="1:10" ht="15.75" x14ac:dyDescent="0.25">
      <c r="A22" s="15" t="s">
        <v>36</v>
      </c>
      <c r="B22" s="136" t="s">
        <v>13</v>
      </c>
      <c r="C22" s="136">
        <v>51097664</v>
      </c>
      <c r="D22" s="137" t="s">
        <v>37</v>
      </c>
      <c r="E22" s="136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36" t="s">
        <v>13</v>
      </c>
      <c r="C23" s="136">
        <v>51097615</v>
      </c>
      <c r="D23" s="137" t="s">
        <v>37</v>
      </c>
      <c r="E23" s="136">
        <v>600</v>
      </c>
      <c r="F23" s="21">
        <v>44.950499999999998</v>
      </c>
      <c r="G23" s="21">
        <v>45.246699999999997</v>
      </c>
      <c r="H23" s="18">
        <f t="shared" si="1"/>
        <v>177.71999999999935</v>
      </c>
      <c r="I23" s="19"/>
      <c r="J23" s="20"/>
    </row>
    <row r="24" spans="1:10" ht="15.75" x14ac:dyDescent="0.25">
      <c r="A24" s="15" t="s">
        <v>39</v>
      </c>
      <c r="B24" s="136" t="s">
        <v>13</v>
      </c>
      <c r="C24" s="136">
        <v>51217264</v>
      </c>
      <c r="D24" s="137" t="s">
        <v>37</v>
      </c>
      <c r="E24" s="136">
        <v>600</v>
      </c>
      <c r="F24" s="21">
        <v>105.3274</v>
      </c>
      <c r="G24" s="21">
        <v>105.9243</v>
      </c>
      <c r="H24" s="18">
        <f t="shared" si="1"/>
        <v>358.14000000000306</v>
      </c>
      <c r="I24" s="19"/>
      <c r="J24" s="20"/>
    </row>
    <row r="25" spans="1:10" ht="15.75" x14ac:dyDescent="0.25">
      <c r="A25" s="15" t="s">
        <v>40</v>
      </c>
      <c r="B25" s="136" t="s">
        <v>13</v>
      </c>
      <c r="C25" s="136">
        <v>51217288</v>
      </c>
      <c r="D25" s="137" t="s">
        <v>37</v>
      </c>
      <c r="E25" s="136">
        <v>600</v>
      </c>
      <c r="F25" s="21">
        <v>20.5458</v>
      </c>
      <c r="G25" s="21">
        <v>20.577000000000002</v>
      </c>
      <c r="H25" s="18">
        <f t="shared" si="1"/>
        <v>18.720000000001136</v>
      </c>
      <c r="I25" s="19" t="s">
        <v>27</v>
      </c>
      <c r="J25" s="20"/>
    </row>
    <row r="26" spans="1:10" ht="15.75" x14ac:dyDescent="0.25">
      <c r="A26" s="15" t="s">
        <v>41</v>
      </c>
      <c r="B26" s="136" t="s">
        <v>13</v>
      </c>
      <c r="C26" s="136">
        <v>51217279</v>
      </c>
      <c r="D26" s="137" t="s">
        <v>37</v>
      </c>
      <c r="E26" s="136">
        <v>600</v>
      </c>
      <c r="F26" s="21">
        <v>15.426299999999999</v>
      </c>
      <c r="G26" s="21">
        <v>15.4808</v>
      </c>
      <c r="H26" s="18">
        <f t="shared" si="1"/>
        <v>32.700000000000529</v>
      </c>
      <c r="I26" s="19" t="s">
        <v>27</v>
      </c>
      <c r="J26" s="20"/>
    </row>
    <row r="27" spans="1:10" ht="15.75" x14ac:dyDescent="0.25">
      <c r="A27" s="15" t="s">
        <v>42</v>
      </c>
      <c r="B27" s="136" t="s">
        <v>13</v>
      </c>
      <c r="C27" s="136">
        <v>51217272</v>
      </c>
      <c r="D27" s="137" t="s">
        <v>37</v>
      </c>
      <c r="E27" s="136">
        <v>600</v>
      </c>
      <c r="F27" s="31">
        <v>15.1303</v>
      </c>
      <c r="G27" s="31">
        <v>15.1839</v>
      </c>
      <c r="H27" s="18">
        <f t="shared" si="1"/>
        <v>32.159999999999656</v>
      </c>
      <c r="I27" s="19"/>
      <c r="J27" s="20"/>
    </row>
    <row r="28" spans="1:10" ht="15.75" x14ac:dyDescent="0.25">
      <c r="A28" s="15" t="s">
        <v>43</v>
      </c>
      <c r="B28" s="136" t="s">
        <v>13</v>
      </c>
      <c r="C28" s="136">
        <v>51616744</v>
      </c>
      <c r="D28" s="137">
        <f>300/5</f>
        <v>60</v>
      </c>
      <c r="E28" s="136">
        <v>3600</v>
      </c>
      <c r="F28" s="31">
        <v>109.78489999999999</v>
      </c>
      <c r="G28" s="31">
        <v>109.78489999999999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36" t="s">
        <v>13</v>
      </c>
      <c r="C29" s="136">
        <v>51555226</v>
      </c>
      <c r="D29" s="137">
        <f>300/5</f>
        <v>60</v>
      </c>
      <c r="E29" s="136">
        <v>3600</v>
      </c>
      <c r="F29" s="31">
        <v>528.07539999999995</v>
      </c>
      <c r="G29" s="31">
        <v>531.78790000000004</v>
      </c>
      <c r="H29" s="18">
        <f>(G29-F29)*E29</f>
        <v>13365.000000000327</v>
      </c>
      <c r="I29" s="19"/>
      <c r="J29" s="20"/>
    </row>
    <row r="30" spans="1:10" ht="15.75" x14ac:dyDescent="0.25">
      <c r="A30" s="15" t="s">
        <v>45</v>
      </c>
      <c r="B30" s="136" t="s">
        <v>13</v>
      </c>
      <c r="C30" s="136">
        <v>51097658</v>
      </c>
      <c r="D30" s="137" t="s">
        <v>34</v>
      </c>
      <c r="E30" s="136">
        <v>4800</v>
      </c>
      <c r="F30" s="31">
        <v>679.29330000000004</v>
      </c>
      <c r="G30" s="31">
        <v>682.83079999999995</v>
      </c>
      <c r="H30" s="18">
        <f t="shared" si="1"/>
        <v>16979.999999999563</v>
      </c>
      <c r="I30" s="19"/>
      <c r="J30" s="20"/>
    </row>
    <row r="31" spans="1:10" ht="15.75" x14ac:dyDescent="0.25">
      <c r="A31" s="15" t="s">
        <v>46</v>
      </c>
      <c r="B31" s="136" t="s">
        <v>13</v>
      </c>
      <c r="C31" s="136">
        <v>51097635</v>
      </c>
      <c r="D31" s="137" t="s">
        <v>34</v>
      </c>
      <c r="E31" s="136">
        <v>4800</v>
      </c>
      <c r="F31" s="31">
        <v>48.471800000000002</v>
      </c>
      <c r="G31" s="31">
        <v>48.4739</v>
      </c>
      <c r="H31" s="18">
        <f t="shared" si="1"/>
        <v>10.079999999993561</v>
      </c>
      <c r="I31" s="19"/>
      <c r="J31" s="20"/>
    </row>
    <row r="32" spans="1:10" ht="15.75" x14ac:dyDescent="0.25">
      <c r="A32" s="15" t="s">
        <v>47</v>
      </c>
      <c r="B32" s="136" t="s">
        <v>13</v>
      </c>
      <c r="C32" s="32">
        <v>51097633</v>
      </c>
      <c r="D32" s="137" t="s">
        <v>34</v>
      </c>
      <c r="E32" s="136">
        <v>4800</v>
      </c>
      <c r="F32" s="31">
        <v>189.26419999999999</v>
      </c>
      <c r="G32" s="31">
        <v>191.71029999999999</v>
      </c>
      <c r="H32" s="33">
        <f t="shared" si="1"/>
        <v>11741.280000000006</v>
      </c>
      <c r="I32" s="34"/>
      <c r="J32" s="35"/>
    </row>
    <row r="33" spans="1:10" ht="15.75" x14ac:dyDescent="0.25">
      <c r="A33" s="15" t="s">
        <v>48</v>
      </c>
      <c r="B33" s="136" t="s">
        <v>13</v>
      </c>
      <c r="C33" s="32">
        <v>51097662</v>
      </c>
      <c r="D33" s="137" t="s">
        <v>34</v>
      </c>
      <c r="E33" s="136">
        <v>4800</v>
      </c>
      <c r="F33" s="31">
        <v>3.9561999999999999</v>
      </c>
      <c r="G33" s="31">
        <v>3.9994999999999998</v>
      </c>
      <c r="H33" s="33">
        <f t="shared" si="1"/>
        <v>207.83999999999949</v>
      </c>
      <c r="I33" s="34"/>
      <c r="J33" s="35"/>
    </row>
    <row r="34" spans="1:10" ht="15.75" x14ac:dyDescent="0.25">
      <c r="A34" s="218" t="s">
        <v>49</v>
      </c>
      <c r="B34" s="219"/>
      <c r="C34" s="136"/>
      <c r="D34" s="137"/>
      <c r="E34" s="136"/>
      <c r="F34" s="36"/>
      <c r="G34" s="36"/>
      <c r="H34" s="23">
        <f>H20+H21+H22+H23+H24+H25+H26+H27+H28+H29+H30+H31+H32+H33</f>
        <v>71893.079999999653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36" t="s">
        <v>52</v>
      </c>
      <c r="C36" s="136">
        <v>51555209</v>
      </c>
      <c r="D36" s="137" t="s">
        <v>53</v>
      </c>
      <c r="E36" s="136">
        <v>7000</v>
      </c>
      <c r="F36" s="17">
        <v>6.0576999999999996</v>
      </c>
      <c r="G36" s="17">
        <v>6.0717999999999996</v>
      </c>
      <c r="H36" s="41">
        <f>(G36-F36)*E36</f>
        <v>98.700000000000017</v>
      </c>
      <c r="I36" s="42"/>
      <c r="J36" s="14"/>
    </row>
    <row r="37" spans="1:10" ht="15.75" x14ac:dyDescent="0.25">
      <c r="A37" s="15" t="s">
        <v>54</v>
      </c>
      <c r="B37" s="136" t="s">
        <v>52</v>
      </c>
      <c r="C37" s="136">
        <v>51555209</v>
      </c>
      <c r="D37" s="137" t="s">
        <v>53</v>
      </c>
      <c r="E37" s="136">
        <v>7000</v>
      </c>
      <c r="F37" s="21">
        <v>10.473599999999999</v>
      </c>
      <c r="G37" s="21">
        <v>10.5235</v>
      </c>
      <c r="H37" s="18">
        <f>(G37-F37)*E37</f>
        <v>349.30000000000661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36" t="s">
        <v>52</v>
      </c>
      <c r="C39" s="136">
        <v>51097674</v>
      </c>
      <c r="D39" s="136" t="s">
        <v>14</v>
      </c>
      <c r="E39" s="136">
        <v>7200</v>
      </c>
      <c r="F39" s="21">
        <v>606.5924</v>
      </c>
      <c r="G39" s="21">
        <v>608.96199999999999</v>
      </c>
      <c r="H39" s="18">
        <f>(G39-F39)*E39</f>
        <v>17061.119999999937</v>
      </c>
      <c r="I39" s="47"/>
      <c r="J39" s="20"/>
    </row>
    <row r="40" spans="1:10" ht="15.75" x14ac:dyDescent="0.25">
      <c r="A40" s="27" t="s">
        <v>57</v>
      </c>
      <c r="B40" s="136" t="s">
        <v>52</v>
      </c>
      <c r="C40" s="136">
        <v>51259257</v>
      </c>
      <c r="D40" s="136" t="s">
        <v>14</v>
      </c>
      <c r="E40" s="136">
        <v>7200</v>
      </c>
      <c r="F40" s="21">
        <v>1.0555000000000001</v>
      </c>
      <c r="G40" s="21">
        <v>1.0555000000000001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36"/>
      <c r="C41" s="136"/>
      <c r="D41" s="136"/>
      <c r="E41" s="136"/>
      <c r="F41" s="21"/>
      <c r="G41" s="21"/>
      <c r="H41" s="48">
        <f>H39+H40</f>
        <v>17061.119999999937</v>
      </c>
      <c r="I41" s="24">
        <f>H41-H49</f>
        <v>-123.44000000027154</v>
      </c>
      <c r="J41" s="25">
        <f>I41/H41</f>
        <v>-7.2351639282926322E-3</v>
      </c>
    </row>
    <row r="42" spans="1:10" ht="15.75" x14ac:dyDescent="0.25">
      <c r="A42" s="15" t="s">
        <v>59</v>
      </c>
      <c r="B42" s="136"/>
      <c r="C42" s="136"/>
      <c r="D42" s="137"/>
      <c r="E42" s="136"/>
      <c r="H42" s="18"/>
      <c r="I42" s="43"/>
      <c r="J42" s="20"/>
    </row>
    <row r="43" spans="1:10" ht="15.75" x14ac:dyDescent="0.25">
      <c r="A43" s="27" t="s">
        <v>60</v>
      </c>
      <c r="B43" s="136" t="s">
        <v>52</v>
      </c>
      <c r="C43" s="32">
        <v>51097648</v>
      </c>
      <c r="D43" s="136" t="s">
        <v>53</v>
      </c>
      <c r="E43" s="136">
        <v>1200</v>
      </c>
      <c r="F43" s="21">
        <v>496.50020000000001</v>
      </c>
      <c r="G43" s="21">
        <v>498.47910000000002</v>
      </c>
      <c r="H43" s="33">
        <f>(G43-F43)*E43</f>
        <v>2374.6800000000121</v>
      </c>
      <c r="I43" s="43"/>
      <c r="J43" s="20"/>
    </row>
    <row r="44" spans="1:10" ht="15.75" x14ac:dyDescent="0.25">
      <c r="A44" s="27" t="s">
        <v>61</v>
      </c>
      <c r="B44" s="136" t="s">
        <v>52</v>
      </c>
      <c r="C44" s="32">
        <v>50555043</v>
      </c>
      <c r="D44" s="136" t="s">
        <v>53</v>
      </c>
      <c r="E44" s="136">
        <v>1200</v>
      </c>
      <c r="F44" s="21">
        <v>2077.6570999999999</v>
      </c>
      <c r="G44" s="21">
        <v>2085.5295000000001</v>
      </c>
      <c r="H44" s="33">
        <f>(G44-F44)*E44</f>
        <v>9446.8800000002375</v>
      </c>
      <c r="I44" s="43"/>
      <c r="J44" s="20"/>
    </row>
    <row r="45" spans="1:10" ht="15.75" x14ac:dyDescent="0.25">
      <c r="A45" s="27" t="s">
        <v>62</v>
      </c>
      <c r="B45" s="136" t="s">
        <v>52</v>
      </c>
      <c r="C45" s="32">
        <v>51259336</v>
      </c>
      <c r="D45" s="136" t="s">
        <v>63</v>
      </c>
      <c r="E45" s="136">
        <v>2400</v>
      </c>
      <c r="F45" s="21">
        <v>4.2015000000000002</v>
      </c>
      <c r="G45" s="21">
        <v>4.2153</v>
      </c>
      <c r="H45" s="33">
        <f>(G45-F45)*E45</f>
        <v>33.11999999999955</v>
      </c>
      <c r="I45" s="43"/>
      <c r="J45" s="20"/>
    </row>
    <row r="46" spans="1:10" ht="15.75" x14ac:dyDescent="0.25">
      <c r="A46" s="27" t="s">
        <v>64</v>
      </c>
      <c r="B46" s="136" t="s">
        <v>52</v>
      </c>
      <c r="C46" s="32">
        <v>51259266</v>
      </c>
      <c r="D46" s="136" t="s">
        <v>53</v>
      </c>
      <c r="E46" s="136">
        <v>1200</v>
      </c>
      <c r="F46" s="21">
        <v>1008.0177</v>
      </c>
      <c r="G46" s="21">
        <v>1012.0228</v>
      </c>
      <c r="H46" s="33">
        <f>(G46-F46)*E46</f>
        <v>4806.1199999999644</v>
      </c>
      <c r="I46" s="43"/>
      <c r="J46" s="20"/>
    </row>
    <row r="47" spans="1:10" ht="15.75" x14ac:dyDescent="0.25">
      <c r="A47" s="27" t="s">
        <v>65</v>
      </c>
      <c r="B47" s="136" t="s">
        <v>52</v>
      </c>
      <c r="C47" s="32">
        <v>51431336</v>
      </c>
      <c r="D47" s="136" t="s">
        <v>53</v>
      </c>
      <c r="E47" s="136">
        <v>1200</v>
      </c>
      <c r="F47" s="21">
        <v>59.623600000000003</v>
      </c>
      <c r="G47" s="21">
        <v>60.0184</v>
      </c>
      <c r="H47" s="33">
        <f>(G47-F47)*E47</f>
        <v>473.75999999999578</v>
      </c>
      <c r="I47" s="43"/>
      <c r="J47" s="20"/>
    </row>
    <row r="48" spans="1:10" ht="15.75" x14ac:dyDescent="0.25">
      <c r="A48" s="15" t="s">
        <v>66</v>
      </c>
      <c r="B48" s="136" t="s">
        <v>67</v>
      </c>
      <c r="C48" s="136">
        <v>49174</v>
      </c>
      <c r="D48" s="137" t="s">
        <v>53</v>
      </c>
      <c r="E48" s="136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17184.560000000209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36" t="s">
        <v>52</v>
      </c>
      <c r="C51" s="136">
        <v>51097603</v>
      </c>
      <c r="D51" s="137" t="s">
        <v>53</v>
      </c>
      <c r="E51" s="136">
        <v>7000</v>
      </c>
      <c r="F51" s="17">
        <v>1981.0700999999999</v>
      </c>
      <c r="G51" s="17">
        <v>1987.6976</v>
      </c>
      <c r="H51" s="18">
        <f>(G51-F51)*E51</f>
        <v>46392.500000000378</v>
      </c>
      <c r="I51" s="43"/>
      <c r="J51" s="20"/>
    </row>
    <row r="52" spans="1:10" ht="15.75" x14ac:dyDescent="0.25">
      <c r="A52" s="27" t="s">
        <v>72</v>
      </c>
      <c r="B52" s="136" t="s">
        <v>52</v>
      </c>
      <c r="C52" s="136">
        <v>51097590</v>
      </c>
      <c r="D52" s="137" t="s">
        <v>53</v>
      </c>
      <c r="E52" s="136">
        <v>7000</v>
      </c>
      <c r="F52" s="21">
        <v>12.7835</v>
      </c>
      <c r="G52" s="21">
        <v>12.807</v>
      </c>
      <c r="H52" s="18">
        <f>(G52-F52)*E52</f>
        <v>164.5000000000021</v>
      </c>
      <c r="I52" s="43"/>
      <c r="J52" s="20"/>
    </row>
    <row r="53" spans="1:10" ht="15.75" x14ac:dyDescent="0.25">
      <c r="A53" s="15" t="s">
        <v>66</v>
      </c>
      <c r="B53" s="136" t="s">
        <v>67</v>
      </c>
      <c r="C53" s="136">
        <v>49174</v>
      </c>
      <c r="D53" s="137" t="s">
        <v>53</v>
      </c>
      <c r="E53" s="136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36"/>
      <c r="D54" s="137"/>
      <c r="E54" s="136"/>
      <c r="F54" s="21"/>
      <c r="G54" s="21"/>
      <c r="H54" s="48">
        <f>H51+H52+H53</f>
        <v>46657.000000000378</v>
      </c>
      <c r="I54" s="47"/>
      <c r="J54" s="59"/>
    </row>
    <row r="55" spans="1:10" ht="15.75" x14ac:dyDescent="0.25">
      <c r="A55" s="27" t="s">
        <v>74</v>
      </c>
      <c r="B55" s="136" t="s">
        <v>52</v>
      </c>
      <c r="C55" s="136">
        <v>51100980</v>
      </c>
      <c r="D55" s="136" t="s">
        <v>75</v>
      </c>
      <c r="E55" s="136">
        <v>12000</v>
      </c>
      <c r="F55" s="21">
        <v>1165.5227</v>
      </c>
      <c r="G55" s="21">
        <v>1169.4005999999999</v>
      </c>
      <c r="H55" s="18">
        <f>(G55-F55)*E55</f>
        <v>46534.79999999945</v>
      </c>
      <c r="I55" s="47"/>
      <c r="J55" s="58"/>
    </row>
    <row r="56" spans="1:10" ht="15.75" x14ac:dyDescent="0.25">
      <c r="A56" s="27" t="s">
        <v>76</v>
      </c>
      <c r="B56" s="136" t="s">
        <v>52</v>
      </c>
      <c r="C56" s="136">
        <v>51097623</v>
      </c>
      <c r="D56" s="136" t="s">
        <v>75</v>
      </c>
      <c r="E56" s="136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36"/>
      <c r="C57" s="136"/>
      <c r="D57" s="136"/>
      <c r="E57" s="136"/>
      <c r="F57" s="21"/>
      <c r="G57" s="21"/>
      <c r="H57" s="48">
        <f>H55+H56</f>
        <v>46534.79999999945</v>
      </c>
      <c r="I57" s="61">
        <f>H54-H64-H53</f>
        <v>-73.799999998300336</v>
      </c>
      <c r="J57" s="25">
        <f>I57/H57</f>
        <v>-1.5859098996514696E-3</v>
      </c>
    </row>
    <row r="58" spans="1:10" ht="15.75" x14ac:dyDescent="0.25">
      <c r="A58" s="27" t="s">
        <v>78</v>
      </c>
      <c r="B58" s="136" t="s">
        <v>52</v>
      </c>
      <c r="C58" s="136">
        <v>51097675</v>
      </c>
      <c r="D58" s="136" t="s">
        <v>34</v>
      </c>
      <c r="E58" s="136">
        <v>4800</v>
      </c>
      <c r="F58" s="21">
        <v>528.42700000000002</v>
      </c>
      <c r="G58" s="21">
        <v>531.14959999999996</v>
      </c>
      <c r="H58" s="18">
        <f t="shared" ref="H58:H63" si="2">(G58-F58)*E58</f>
        <v>13068.479999999727</v>
      </c>
      <c r="I58" s="62"/>
      <c r="J58" s="59"/>
    </row>
    <row r="59" spans="1:10" ht="15.75" x14ac:dyDescent="0.25">
      <c r="A59" s="27" t="s">
        <v>79</v>
      </c>
      <c r="B59" s="136" t="s">
        <v>52</v>
      </c>
      <c r="C59" s="136">
        <v>51100997</v>
      </c>
      <c r="D59" s="136" t="s">
        <v>21</v>
      </c>
      <c r="E59" s="136">
        <v>3600</v>
      </c>
      <c r="F59" s="21">
        <v>1395.3284000000001</v>
      </c>
      <c r="G59" s="21">
        <v>1398.1166000000001</v>
      </c>
      <c r="H59" s="18">
        <f t="shared" si="2"/>
        <v>10037.519999999859</v>
      </c>
      <c r="I59" s="62"/>
      <c r="J59" s="59"/>
    </row>
    <row r="60" spans="1:10" ht="15.75" x14ac:dyDescent="0.25">
      <c r="A60" s="27" t="s">
        <v>80</v>
      </c>
      <c r="B60" s="136" t="s">
        <v>52</v>
      </c>
      <c r="C60" s="136">
        <v>51555218</v>
      </c>
      <c r="D60" s="136">
        <f>400/5</f>
        <v>80</v>
      </c>
      <c r="E60" s="136">
        <v>4800</v>
      </c>
      <c r="F60" s="21">
        <v>67.369100000000003</v>
      </c>
      <c r="G60" s="21">
        <v>67.825999999999993</v>
      </c>
      <c r="H60" s="18">
        <f t="shared" si="2"/>
        <v>2193.1199999999535</v>
      </c>
      <c r="I60" s="62"/>
      <c r="J60" s="59"/>
    </row>
    <row r="61" spans="1:10" ht="15.75" x14ac:dyDescent="0.25">
      <c r="A61" s="27" t="s">
        <v>81</v>
      </c>
      <c r="B61" s="136" t="s">
        <v>52</v>
      </c>
      <c r="C61" s="136">
        <v>51555151</v>
      </c>
      <c r="D61" s="136">
        <f>400/5</f>
        <v>80</v>
      </c>
      <c r="E61" s="136">
        <v>4800</v>
      </c>
      <c r="F61" s="63">
        <v>0.30690000000000001</v>
      </c>
      <c r="G61" s="63">
        <v>0.30690000000000001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36" t="s">
        <v>52</v>
      </c>
      <c r="C62" s="136">
        <v>51097599</v>
      </c>
      <c r="D62" s="136" t="s">
        <v>21</v>
      </c>
      <c r="E62" s="136">
        <v>3600</v>
      </c>
      <c r="F62" s="21">
        <v>977.99300000000005</v>
      </c>
      <c r="G62" s="21">
        <v>980.46979999999996</v>
      </c>
      <c r="H62" s="18">
        <f t="shared" si="2"/>
        <v>8916.4799999996831</v>
      </c>
      <c r="I62" s="62"/>
      <c r="J62" s="59"/>
    </row>
    <row r="63" spans="1:10" ht="15.75" x14ac:dyDescent="0.25">
      <c r="A63" s="27" t="s">
        <v>83</v>
      </c>
      <c r="B63" s="136" t="s">
        <v>52</v>
      </c>
      <c r="C63" s="136">
        <v>51097620</v>
      </c>
      <c r="D63" s="136" t="s">
        <v>34</v>
      </c>
      <c r="E63" s="136">
        <v>4800</v>
      </c>
      <c r="F63" s="21">
        <v>527.67550000000006</v>
      </c>
      <c r="G63" s="21">
        <v>530.26199999999994</v>
      </c>
      <c r="H63" s="18">
        <f t="shared" si="2"/>
        <v>12415.199999999459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46630.799999998679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36" t="s">
        <v>52</v>
      </c>
      <c r="C66" s="9">
        <v>51259238</v>
      </c>
      <c r="D66" s="74" t="s">
        <v>53</v>
      </c>
      <c r="E66" s="74">
        <v>7000</v>
      </c>
      <c r="F66" s="75">
        <v>573.51869999999997</v>
      </c>
      <c r="G66" s="75">
        <v>576.57950000000005</v>
      </c>
      <c r="H66" s="76">
        <f>(G66-F66)*E66</f>
        <v>21425.600000000599</v>
      </c>
      <c r="I66" s="77"/>
      <c r="J66" s="78"/>
    </row>
    <row r="67" spans="1:10" ht="15.75" x14ac:dyDescent="0.25">
      <c r="A67" s="27" t="s">
        <v>86</v>
      </c>
      <c r="B67" s="136" t="s">
        <v>52</v>
      </c>
      <c r="C67" s="136">
        <v>51259324</v>
      </c>
      <c r="D67" s="137" t="s">
        <v>53</v>
      </c>
      <c r="E67" s="137">
        <v>7000</v>
      </c>
      <c r="F67" s="21">
        <v>444.42380000000003</v>
      </c>
      <c r="G67" s="21">
        <v>446.03160000000003</v>
      </c>
      <c r="H67" s="18">
        <f>(G67-F67)*E67</f>
        <v>11254.599999999982</v>
      </c>
      <c r="I67" s="51"/>
      <c r="J67" s="58"/>
    </row>
    <row r="68" spans="1:10" s="129" customFormat="1" ht="15.75" x14ac:dyDescent="0.25">
      <c r="A68" s="27" t="s">
        <v>87</v>
      </c>
      <c r="B68" s="79" t="s">
        <v>88</v>
      </c>
      <c r="C68" s="136">
        <v>51491618</v>
      </c>
      <c r="D68" s="137" t="s">
        <v>63</v>
      </c>
      <c r="E68" s="136">
        <v>40</v>
      </c>
      <c r="F68" s="28">
        <v>1308.2915</v>
      </c>
      <c r="G68" s="28">
        <v>1317.587</v>
      </c>
      <c r="H68" s="18">
        <f>(G68-F68)*E68</f>
        <v>371.81999999999789</v>
      </c>
      <c r="I68" s="51"/>
      <c r="J68" s="58"/>
    </row>
    <row r="69" spans="1:10" s="129" customFormat="1" ht="15.75" x14ac:dyDescent="0.25">
      <c r="A69" s="27" t="s">
        <v>89</v>
      </c>
      <c r="B69" s="79" t="s">
        <v>88</v>
      </c>
      <c r="C69" s="136">
        <v>51491624</v>
      </c>
      <c r="D69" s="137" t="s">
        <v>63</v>
      </c>
      <c r="E69" s="136">
        <v>40</v>
      </c>
      <c r="F69" s="28">
        <v>176.9145</v>
      </c>
      <c r="G69" s="28">
        <v>177.67750000000001</v>
      </c>
      <c r="H69" s="18">
        <f>(G69-F69)*E69</f>
        <v>30.520000000000209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32680.200000000579</v>
      </c>
      <c r="I70" s="85">
        <f>H70-H73-H68-H69</f>
        <v>240.26000000046974</v>
      </c>
      <c r="J70" s="25">
        <f>I70/H70</f>
        <v>7.3518521918612949E-3</v>
      </c>
    </row>
    <row r="71" spans="1:10" ht="15.75" x14ac:dyDescent="0.25">
      <c r="A71" s="27" t="s">
        <v>91</v>
      </c>
      <c r="B71" s="136" t="s">
        <v>52</v>
      </c>
      <c r="C71" s="86">
        <v>51097588</v>
      </c>
      <c r="D71" s="137" t="s">
        <v>75</v>
      </c>
      <c r="E71" s="136">
        <v>12000</v>
      </c>
      <c r="F71" s="21">
        <v>343.4051</v>
      </c>
      <c r="G71" s="21">
        <v>345.13740000000001</v>
      </c>
      <c r="H71" s="18">
        <f>(G71-F71)*E71</f>
        <v>20787.600000000111</v>
      </c>
      <c r="I71" s="51"/>
      <c r="J71" s="58"/>
    </row>
    <row r="72" spans="1:10" ht="15.75" x14ac:dyDescent="0.25">
      <c r="A72" s="27" t="s">
        <v>92</v>
      </c>
      <c r="B72" s="136" t="s">
        <v>52</v>
      </c>
      <c r="C72" s="86">
        <v>51431335</v>
      </c>
      <c r="D72" s="137" t="s">
        <v>75</v>
      </c>
      <c r="E72" s="136">
        <v>12000</v>
      </c>
      <c r="F72" s="21">
        <v>271.11959999999999</v>
      </c>
      <c r="G72" s="21">
        <v>272.05709999999999</v>
      </c>
      <c r="H72" s="18">
        <f>(G72-F72)*E72</f>
        <v>11250</v>
      </c>
      <c r="I72" s="51"/>
      <c r="J72" s="58"/>
    </row>
    <row r="73" spans="1:10" ht="15.75" x14ac:dyDescent="0.25">
      <c r="A73" s="87" t="s">
        <v>93</v>
      </c>
      <c r="B73" s="136" t="s">
        <v>27</v>
      </c>
      <c r="C73" s="136"/>
      <c r="D73" s="137"/>
      <c r="E73" s="136"/>
      <c r="F73" s="21"/>
      <c r="G73" s="21"/>
      <c r="H73" s="48">
        <f>H71+ H72</f>
        <v>32037.600000000111</v>
      </c>
      <c r="I73" s="85">
        <f>H73-H81</f>
        <v>-39.719999999633728</v>
      </c>
      <c r="J73" s="25">
        <f>I73/H73</f>
        <v>-1.2397932429281092E-3</v>
      </c>
    </row>
    <row r="74" spans="1:10" ht="15.75" x14ac:dyDescent="0.25">
      <c r="A74" s="27" t="s">
        <v>94</v>
      </c>
      <c r="B74" s="136" t="s">
        <v>52</v>
      </c>
      <c r="C74" s="86">
        <v>51097676</v>
      </c>
      <c r="D74" s="88" t="s">
        <v>63</v>
      </c>
      <c r="E74" s="136">
        <v>2400</v>
      </c>
      <c r="F74" s="21">
        <v>719.34580000000005</v>
      </c>
      <c r="G74" s="21">
        <v>722.58090000000004</v>
      </c>
      <c r="H74" s="18">
        <f>(G74-F74)*E74</f>
        <v>7764.2399999999725</v>
      </c>
      <c r="I74" s="51"/>
      <c r="J74" s="58"/>
    </row>
    <row r="75" spans="1:10" ht="15.75" x14ac:dyDescent="0.25">
      <c r="A75" s="27" t="s">
        <v>95</v>
      </c>
      <c r="B75" s="136" t="s">
        <v>52</v>
      </c>
      <c r="C75" s="86">
        <v>51431355</v>
      </c>
      <c r="D75" s="137" t="s">
        <v>21</v>
      </c>
      <c r="E75" s="137">
        <v>3600</v>
      </c>
      <c r="F75" s="21">
        <v>373.84840000000003</v>
      </c>
      <c r="G75" s="21">
        <v>375.11989999999997</v>
      </c>
      <c r="H75" s="18">
        <f>(G75-F75)*E75</f>
        <v>4577.3999999998068</v>
      </c>
      <c r="I75" s="51"/>
      <c r="J75" s="52"/>
    </row>
    <row r="76" spans="1:10" ht="15.75" x14ac:dyDescent="0.25">
      <c r="A76" s="27" t="s">
        <v>96</v>
      </c>
      <c r="B76" s="136" t="s">
        <v>52</v>
      </c>
      <c r="C76" s="86">
        <v>51259331</v>
      </c>
      <c r="D76" s="88" t="s">
        <v>37</v>
      </c>
      <c r="E76" s="136">
        <v>600</v>
      </c>
      <c r="F76" s="21">
        <v>170.01159999999999</v>
      </c>
      <c r="G76" s="21">
        <v>170.80080000000001</v>
      </c>
      <c r="H76" s="18">
        <f>(G76-F76)*E76</f>
        <v>473.5200000000134</v>
      </c>
      <c r="I76" s="51"/>
      <c r="J76" s="52"/>
    </row>
    <row r="77" spans="1:10" ht="15.75" x14ac:dyDescent="0.25">
      <c r="A77" s="27" t="s">
        <v>97</v>
      </c>
      <c r="B77" s="136" t="s">
        <v>52</v>
      </c>
      <c r="C77" s="86">
        <v>51259326</v>
      </c>
      <c r="D77" s="88" t="s">
        <v>14</v>
      </c>
      <c r="E77" s="136">
        <v>7200</v>
      </c>
      <c r="F77" s="21">
        <v>339.96019999999999</v>
      </c>
      <c r="G77" s="21">
        <v>341.4083</v>
      </c>
      <c r="H77" s="18">
        <f>(G77-F77)*E77</f>
        <v>10426.320000000078</v>
      </c>
      <c r="I77" s="51"/>
      <c r="J77" s="52"/>
    </row>
    <row r="78" spans="1:10" ht="15.75" x14ac:dyDescent="0.25">
      <c r="A78" s="27" t="s">
        <v>98</v>
      </c>
      <c r="B78" s="136" t="s">
        <v>52</v>
      </c>
      <c r="C78" s="86">
        <v>51431351</v>
      </c>
      <c r="D78" s="88" t="s">
        <v>14</v>
      </c>
      <c r="E78" s="136">
        <v>7200</v>
      </c>
      <c r="F78" s="21">
        <v>245.30930000000001</v>
      </c>
      <c r="G78" s="21">
        <v>246.53649999999999</v>
      </c>
      <c r="H78" s="18">
        <f>(G78-F78)*E78</f>
        <v>8835.839999999871</v>
      </c>
      <c r="I78" s="51"/>
      <c r="J78" s="52"/>
    </row>
    <row r="79" spans="1:10" ht="15.75" x14ac:dyDescent="0.25">
      <c r="A79" s="89" t="s">
        <v>99</v>
      </c>
      <c r="B79" s="136" t="s">
        <v>52</v>
      </c>
      <c r="C79" s="90">
        <v>51097666</v>
      </c>
      <c r="D79" s="88" t="s">
        <v>63</v>
      </c>
      <c r="E79" s="136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36" t="s">
        <v>52</v>
      </c>
      <c r="C80" s="90">
        <v>51259323</v>
      </c>
      <c r="D80" s="88" t="s">
        <v>63</v>
      </c>
      <c r="E80" s="136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32077.319999999745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38" t="s">
        <v>52</v>
      </c>
      <c r="C83" s="106">
        <v>51431297</v>
      </c>
      <c r="D83" s="139" t="s">
        <v>53</v>
      </c>
      <c r="E83" s="100">
        <v>7000</v>
      </c>
      <c r="F83" s="17">
        <v>293.72030000000001</v>
      </c>
      <c r="G83" s="17">
        <v>296.35120000000001</v>
      </c>
      <c r="H83" s="18">
        <f>(G83-F83)*E83</f>
        <v>18416.299999999977</v>
      </c>
      <c r="I83" s="107"/>
      <c r="J83" s="108"/>
    </row>
    <row r="84" spans="1:10" ht="15.75" x14ac:dyDescent="0.25">
      <c r="A84" s="105" t="s">
        <v>86</v>
      </c>
      <c r="B84" s="138" t="s">
        <v>52</v>
      </c>
      <c r="C84" s="106">
        <v>51431332</v>
      </c>
      <c r="D84" s="139" t="s">
        <v>53</v>
      </c>
      <c r="E84" s="100">
        <v>7000</v>
      </c>
      <c r="F84" s="17">
        <v>358.23669999999998</v>
      </c>
      <c r="G84" s="17">
        <v>358.34780000000001</v>
      </c>
      <c r="H84" s="18">
        <f>(G84-F84)*E84</f>
        <v>777.70000000015216</v>
      </c>
      <c r="I84" s="138"/>
      <c r="J84" s="58"/>
    </row>
    <row r="85" spans="1:10" s="129" customFormat="1" ht="15.75" x14ac:dyDescent="0.25">
      <c r="A85" s="27" t="s">
        <v>87</v>
      </c>
      <c r="B85" s="138" t="s">
        <v>103</v>
      </c>
      <c r="C85" s="109">
        <v>150773</v>
      </c>
      <c r="D85" s="139" t="s">
        <v>53</v>
      </c>
      <c r="E85" s="109">
        <v>20</v>
      </c>
      <c r="F85" s="17">
        <v>15698.8</v>
      </c>
      <c r="G85" s="17">
        <v>15702.2</v>
      </c>
      <c r="H85" s="18">
        <f>(G85-F85)*E85</f>
        <v>68.000000000029104</v>
      </c>
      <c r="I85" s="51"/>
      <c r="J85" s="58"/>
    </row>
    <row r="86" spans="1:10" s="129" customFormat="1" ht="15.75" x14ac:dyDescent="0.25">
      <c r="A86" s="27" t="s">
        <v>89</v>
      </c>
      <c r="B86" s="138" t="s">
        <v>103</v>
      </c>
      <c r="C86" s="109">
        <v>150791</v>
      </c>
      <c r="D86" s="139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40"/>
      <c r="C87" s="32"/>
      <c r="D87" s="82"/>
      <c r="E87" s="82"/>
      <c r="F87" s="21"/>
      <c r="G87" s="21"/>
      <c r="H87" s="48">
        <f>H83+H84</f>
        <v>19194.000000000131</v>
      </c>
      <c r="I87" s="85">
        <f>H87-H90-H85-H86</f>
        <v>347.44000000017695</v>
      </c>
      <c r="J87" s="25">
        <f>I87/H87</f>
        <v>1.8101490048982732E-2</v>
      </c>
    </row>
    <row r="88" spans="1:10" ht="15.75" x14ac:dyDescent="0.25">
      <c r="A88" s="27" t="s">
        <v>104</v>
      </c>
      <c r="B88" s="138" t="s">
        <v>52</v>
      </c>
      <c r="C88" s="106">
        <v>51431342</v>
      </c>
      <c r="D88" s="88" t="s">
        <v>34</v>
      </c>
      <c r="E88" s="138">
        <v>4800</v>
      </c>
      <c r="F88" s="21">
        <v>417.33539999999999</v>
      </c>
      <c r="G88" s="21">
        <v>421.12950000000001</v>
      </c>
      <c r="H88" s="18">
        <f>(G88-F88)*E88</f>
        <v>18211.680000000069</v>
      </c>
      <c r="I88" s="51"/>
      <c r="J88" s="52"/>
    </row>
    <row r="89" spans="1:10" ht="15.75" x14ac:dyDescent="0.25">
      <c r="A89" s="27" t="s">
        <v>105</v>
      </c>
      <c r="B89" s="138" t="s">
        <v>52</v>
      </c>
      <c r="C89" s="106">
        <v>51431343</v>
      </c>
      <c r="D89" s="88" t="s">
        <v>34</v>
      </c>
      <c r="E89" s="138">
        <v>4800</v>
      </c>
      <c r="F89" s="21">
        <v>505.81150000000002</v>
      </c>
      <c r="G89" s="21">
        <v>505.92959999999999</v>
      </c>
      <c r="H89" s="18">
        <f>(G89-F89)*E89</f>
        <v>566.8799999998555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18778.559999999925</v>
      </c>
      <c r="I90" s="85">
        <f>H90-H98</f>
        <v>-7.4000000000742148</v>
      </c>
      <c r="J90" s="25">
        <f>I90/H90</f>
        <v>-3.9406642469253471E-4</v>
      </c>
    </row>
    <row r="91" spans="1:10" ht="15.75" x14ac:dyDescent="0.25">
      <c r="A91" s="27" t="s">
        <v>107</v>
      </c>
      <c r="B91" s="138" t="s">
        <v>52</v>
      </c>
      <c r="C91" s="106">
        <v>51431347</v>
      </c>
      <c r="D91" s="139" t="s">
        <v>53</v>
      </c>
      <c r="E91" s="138">
        <v>1200</v>
      </c>
      <c r="F91" s="21">
        <v>1202.1474000000001</v>
      </c>
      <c r="G91" s="21">
        <v>1202.1474000000001</v>
      </c>
      <c r="H91" s="18">
        <f>(G91-F91)*E91</f>
        <v>0</v>
      </c>
      <c r="I91" s="51"/>
      <c r="J91" s="52"/>
    </row>
    <row r="92" spans="1:10" ht="15.75" x14ac:dyDescent="0.25">
      <c r="A92" s="27" t="s">
        <v>108</v>
      </c>
      <c r="B92" s="138" t="s">
        <v>52</v>
      </c>
      <c r="C92" s="106">
        <v>51431339</v>
      </c>
      <c r="D92" s="139" t="s">
        <v>53</v>
      </c>
      <c r="E92" s="138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38" t="s">
        <v>52</v>
      </c>
      <c r="C93" s="106">
        <v>51217244</v>
      </c>
      <c r="D93" s="138" t="s">
        <v>37</v>
      </c>
      <c r="E93" s="138">
        <v>600</v>
      </c>
      <c r="F93" s="30">
        <v>337.61369999999999</v>
      </c>
      <c r="G93" s="30">
        <v>338.44209999999998</v>
      </c>
      <c r="H93" s="18">
        <f t="shared" si="4"/>
        <v>497.03999999999269</v>
      </c>
      <c r="I93" s="51"/>
      <c r="J93" s="52"/>
    </row>
    <row r="94" spans="1:10" ht="15.75" x14ac:dyDescent="0.25">
      <c r="A94" s="27" t="s">
        <v>110</v>
      </c>
      <c r="B94" s="138" t="s">
        <v>52</v>
      </c>
      <c r="C94" s="106">
        <v>51217267</v>
      </c>
      <c r="D94" s="88" t="s">
        <v>63</v>
      </c>
      <c r="E94" s="138">
        <v>2400</v>
      </c>
      <c r="F94" s="30">
        <v>20.4451</v>
      </c>
      <c r="G94" s="30">
        <v>20.476199999999999</v>
      </c>
      <c r="H94" s="18">
        <f t="shared" si="4"/>
        <v>74.639999999996576</v>
      </c>
      <c r="I94" s="51"/>
      <c r="J94" s="52"/>
    </row>
    <row r="95" spans="1:10" ht="15.75" x14ac:dyDescent="0.25">
      <c r="A95" s="27" t="s">
        <v>111</v>
      </c>
      <c r="B95" s="138" t="s">
        <v>52</v>
      </c>
      <c r="C95" s="138">
        <v>51555165</v>
      </c>
      <c r="D95" s="139" t="s">
        <v>53</v>
      </c>
      <c r="E95" s="138">
        <v>1200</v>
      </c>
      <c r="F95" s="30">
        <v>891.71910000000003</v>
      </c>
      <c r="G95" s="30">
        <v>900.36990000000003</v>
      </c>
      <c r="H95" s="18">
        <f t="shared" si="4"/>
        <v>10380.960000000005</v>
      </c>
      <c r="I95" s="51" t="s">
        <v>27</v>
      </c>
      <c r="J95" s="52"/>
    </row>
    <row r="96" spans="1:10" ht="15.75" x14ac:dyDescent="0.25">
      <c r="A96" s="113" t="s">
        <v>112</v>
      </c>
      <c r="B96" s="138" t="s">
        <v>52</v>
      </c>
      <c r="C96" s="106">
        <v>51431346</v>
      </c>
      <c r="D96" s="114" t="s">
        <v>37</v>
      </c>
      <c r="E96" s="114">
        <v>600</v>
      </c>
      <c r="F96" s="30">
        <v>362.43279999999999</v>
      </c>
      <c r="G96" s="30">
        <v>364.53179999999998</v>
      </c>
      <c r="H96" s="115">
        <f t="shared" si="4"/>
        <v>1259.3999999999937</v>
      </c>
      <c r="I96" s="116"/>
      <c r="J96" s="117"/>
    </row>
    <row r="97" spans="1:10" ht="15.75" x14ac:dyDescent="0.25">
      <c r="A97" s="27" t="s">
        <v>113</v>
      </c>
      <c r="B97" s="138" t="s">
        <v>52</v>
      </c>
      <c r="C97" s="106">
        <v>51431352</v>
      </c>
      <c r="D97" s="88" t="s">
        <v>21</v>
      </c>
      <c r="E97" s="138">
        <v>3600</v>
      </c>
      <c r="F97" s="21">
        <v>239.12190000000001</v>
      </c>
      <c r="G97" s="21">
        <v>240.92910000000001</v>
      </c>
      <c r="H97" s="18">
        <f t="shared" si="4"/>
        <v>6505.9199999999801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18785.96</v>
      </c>
      <c r="I98" s="51"/>
      <c r="J98" s="52"/>
    </row>
    <row r="99" spans="1:10" ht="15.75" x14ac:dyDescent="0.25">
      <c r="A99" s="45" t="s">
        <v>114</v>
      </c>
      <c r="B99" s="138" t="s">
        <v>52</v>
      </c>
      <c r="C99" s="120">
        <v>51431357</v>
      </c>
      <c r="D99" s="139" t="s">
        <v>63</v>
      </c>
      <c r="E99" s="139">
        <v>14000</v>
      </c>
      <c r="F99" s="28">
        <v>852.82489999999996</v>
      </c>
      <c r="G99" s="28">
        <v>855.81060000000002</v>
      </c>
      <c r="H99" s="121">
        <f t="shared" si="4"/>
        <v>41799.800000000912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>
      <selection sqref="A1:XFD104857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121</v>
      </c>
      <c r="G2" s="4" t="s">
        <v>122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41" t="s">
        <v>13</v>
      </c>
      <c r="C4" s="141">
        <v>51555166</v>
      </c>
      <c r="D4" s="141" t="s">
        <v>14</v>
      </c>
      <c r="E4" s="141">
        <v>132000</v>
      </c>
      <c r="F4" s="17">
        <v>6.9307999999999996</v>
      </c>
      <c r="G4" s="17">
        <v>6.9390999999999998</v>
      </c>
      <c r="H4" s="18">
        <f>(G4-F4)*E4</f>
        <v>1095.6000000000258</v>
      </c>
      <c r="I4" s="19"/>
      <c r="J4" s="20"/>
    </row>
    <row r="5" spans="1:10" ht="15.75" x14ac:dyDescent="0.25">
      <c r="A5" s="15" t="s">
        <v>15</v>
      </c>
      <c r="B5" s="141" t="s">
        <v>13</v>
      </c>
      <c r="C5" s="141">
        <v>51555191</v>
      </c>
      <c r="D5" s="141" t="s">
        <v>14</v>
      </c>
      <c r="E5" s="141">
        <v>132000</v>
      </c>
      <c r="F5" s="21">
        <v>381.01170000000002</v>
      </c>
      <c r="G5" s="21">
        <v>382.98669999999998</v>
      </c>
      <c r="H5" s="18">
        <f>(G5-F5)*E5</f>
        <v>260699.99999999549</v>
      </c>
      <c r="I5" s="19"/>
      <c r="J5" s="20"/>
    </row>
    <row r="6" spans="1:10" ht="15.75" x14ac:dyDescent="0.25">
      <c r="A6" s="218" t="s">
        <v>16</v>
      </c>
      <c r="B6" s="219"/>
      <c r="C6" s="141"/>
      <c r="D6" s="142"/>
      <c r="E6" s="141"/>
      <c r="H6" s="23">
        <f>H4+H5</f>
        <v>261795.59999999552</v>
      </c>
      <c r="I6" s="24">
        <f>H6-H9-H19</f>
        <v>1777.1999999921682</v>
      </c>
      <c r="J6" s="25">
        <f>I6/H6</f>
        <v>6.7885021749494586E-3</v>
      </c>
    </row>
    <row r="7" spans="1:10" ht="15.75" x14ac:dyDescent="0.25">
      <c r="A7" s="26" t="s">
        <v>17</v>
      </c>
      <c r="B7" s="141" t="s">
        <v>13</v>
      </c>
      <c r="C7" s="141">
        <v>51097629</v>
      </c>
      <c r="D7" s="142" t="s">
        <v>14</v>
      </c>
      <c r="E7" s="141">
        <v>42000</v>
      </c>
      <c r="F7" s="21">
        <v>1124.0327</v>
      </c>
      <c r="G7" s="21">
        <v>1128.4390000000001</v>
      </c>
      <c r="H7" s="18">
        <f>(G7-F7)*E7</f>
        <v>185064.60000000425</v>
      </c>
      <c r="I7" s="19"/>
      <c r="J7" s="20"/>
    </row>
    <row r="8" spans="1:10" ht="15.75" x14ac:dyDescent="0.25">
      <c r="A8" s="26" t="s">
        <v>18</v>
      </c>
      <c r="B8" s="141" t="s">
        <v>13</v>
      </c>
      <c r="C8" s="141">
        <v>51616820</v>
      </c>
      <c r="D8" s="142" t="s">
        <v>14</v>
      </c>
      <c r="E8" s="141">
        <v>42000</v>
      </c>
      <c r="F8" s="21">
        <v>15.2872</v>
      </c>
      <c r="G8" s="21">
        <v>15.299799999999999</v>
      </c>
      <c r="H8" s="18">
        <f>(G8-F8)*E8</f>
        <v>529.19999999996037</v>
      </c>
      <c r="I8" s="19"/>
      <c r="J8" s="20"/>
    </row>
    <row r="9" spans="1:10" ht="15.75" x14ac:dyDescent="0.25">
      <c r="A9" s="218" t="s">
        <v>19</v>
      </c>
      <c r="B9" s="219"/>
      <c r="C9" s="141"/>
      <c r="D9" s="142"/>
      <c r="E9" s="141"/>
      <c r="F9" s="21"/>
      <c r="G9" s="21"/>
      <c r="H9" s="23">
        <f>H7+H8</f>
        <v>185593.80000000421</v>
      </c>
      <c r="I9" s="24">
        <f>H9-H16</f>
        <v>81.900000002817251</v>
      </c>
      <c r="J9" s="25">
        <f>I9/H9</f>
        <v>4.4128629298400803E-4</v>
      </c>
    </row>
    <row r="10" spans="1:10" ht="15.75" x14ac:dyDescent="0.25">
      <c r="A10" s="27" t="s">
        <v>20</v>
      </c>
      <c r="B10" s="141" t="s">
        <v>13</v>
      </c>
      <c r="C10" s="141">
        <v>51217286</v>
      </c>
      <c r="D10" s="142" t="s">
        <v>21</v>
      </c>
      <c r="E10" s="141">
        <v>21000</v>
      </c>
      <c r="F10" s="21">
        <v>889.91269999999997</v>
      </c>
      <c r="G10" s="21">
        <v>892.99739999999997</v>
      </c>
      <c r="H10" s="18">
        <f t="shared" ref="H10:H15" si="0">(G10-F10)*E10</f>
        <v>64778.699999999961</v>
      </c>
      <c r="I10" s="19"/>
      <c r="J10" s="20"/>
    </row>
    <row r="11" spans="1:10" ht="15.75" x14ac:dyDescent="0.25">
      <c r="A11" s="27" t="s">
        <v>22</v>
      </c>
      <c r="B11" s="141" t="s">
        <v>13</v>
      </c>
      <c r="C11" s="141">
        <v>51217292</v>
      </c>
      <c r="D11" s="142" t="s">
        <v>21</v>
      </c>
      <c r="E11" s="141">
        <v>21000</v>
      </c>
      <c r="F11" s="28">
        <v>3.9174000000000002</v>
      </c>
      <c r="G11" s="28">
        <v>3.9215</v>
      </c>
      <c r="H11" s="18">
        <f>(G11-F11)*E11</f>
        <v>86.099999999995177</v>
      </c>
      <c r="I11" s="19"/>
      <c r="J11" s="20"/>
    </row>
    <row r="12" spans="1:10" ht="15.75" x14ac:dyDescent="0.25">
      <c r="A12" s="27" t="s">
        <v>23</v>
      </c>
      <c r="B12" s="141" t="s">
        <v>13</v>
      </c>
      <c r="C12" s="141">
        <v>51217271</v>
      </c>
      <c r="D12" s="142" t="s">
        <v>21</v>
      </c>
      <c r="E12" s="141">
        <v>21000</v>
      </c>
      <c r="F12" s="21">
        <v>664.22329999999999</v>
      </c>
      <c r="G12" s="21">
        <v>667.02250000000004</v>
      </c>
      <c r="H12" s="18">
        <f t="shared" si="0"/>
        <v>58783.200000000877</v>
      </c>
      <c r="I12" s="19"/>
      <c r="J12" s="20"/>
    </row>
    <row r="13" spans="1:10" ht="15.75" x14ac:dyDescent="0.25">
      <c r="A13" s="27" t="s">
        <v>24</v>
      </c>
      <c r="B13" s="141" t="s">
        <v>13</v>
      </c>
      <c r="C13" s="141">
        <v>51217276</v>
      </c>
      <c r="D13" s="142" t="s">
        <v>21</v>
      </c>
      <c r="E13" s="141">
        <v>21000</v>
      </c>
      <c r="F13" s="28">
        <v>0.58930000000000005</v>
      </c>
      <c r="G13" s="28">
        <v>0.59289999999999998</v>
      </c>
      <c r="H13" s="18">
        <f>(G13-F13)*E13</f>
        <v>75.599999999998673</v>
      </c>
      <c r="I13" s="19"/>
      <c r="J13" s="20"/>
    </row>
    <row r="14" spans="1:10" ht="15.75" x14ac:dyDescent="0.25">
      <c r="A14" s="27" t="s">
        <v>25</v>
      </c>
      <c r="B14" s="141" t="s">
        <v>13</v>
      </c>
      <c r="C14" s="141">
        <v>51100990</v>
      </c>
      <c r="D14" s="142" t="s">
        <v>21</v>
      </c>
      <c r="E14" s="141">
        <v>21000</v>
      </c>
      <c r="F14" s="29">
        <v>713.2604</v>
      </c>
      <c r="G14" s="29">
        <v>716.19100000000003</v>
      </c>
      <c r="H14" s="18">
        <f t="shared" si="0"/>
        <v>61542.600000000559</v>
      </c>
      <c r="I14" s="19"/>
      <c r="J14" s="20"/>
    </row>
    <row r="15" spans="1:10" ht="15.75" x14ac:dyDescent="0.25">
      <c r="A15" s="27" t="s">
        <v>26</v>
      </c>
      <c r="B15" s="141" t="s">
        <v>13</v>
      </c>
      <c r="C15" s="141">
        <v>51097622</v>
      </c>
      <c r="D15" s="142" t="s">
        <v>21</v>
      </c>
      <c r="E15" s="141">
        <v>21000</v>
      </c>
      <c r="F15" s="21">
        <v>9.2695000000000007</v>
      </c>
      <c r="G15" s="21">
        <v>9.2812000000000001</v>
      </c>
      <c r="H15" s="18">
        <f t="shared" si="0"/>
        <v>245.69999999998691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41"/>
      <c r="D16" s="142"/>
      <c r="E16" s="141"/>
      <c r="F16" s="21"/>
      <c r="G16" s="21"/>
      <c r="H16" s="23">
        <f>H10+H11+H12+H13+H14+H15</f>
        <v>185511.90000000139</v>
      </c>
      <c r="I16" s="19"/>
      <c r="J16" s="20"/>
    </row>
    <row r="17" spans="1:10" ht="15.75" x14ac:dyDescent="0.25">
      <c r="A17" s="26" t="s">
        <v>29</v>
      </c>
      <c r="B17" s="141" t="s">
        <v>13</v>
      </c>
      <c r="C17" s="141">
        <v>51097617</v>
      </c>
      <c r="D17" s="142" t="s">
        <v>30</v>
      </c>
      <c r="E17" s="141">
        <v>18000</v>
      </c>
      <c r="F17" s="30">
        <v>874.41740000000004</v>
      </c>
      <c r="G17" s="30">
        <v>878.5521</v>
      </c>
      <c r="H17" s="18">
        <f>(G17-F17)*E17</f>
        <v>74424.599999999147</v>
      </c>
      <c r="I17" s="19"/>
      <c r="J17" s="20"/>
    </row>
    <row r="18" spans="1:10" ht="15.75" x14ac:dyDescent="0.25">
      <c r="A18" s="26" t="s">
        <v>31</v>
      </c>
      <c r="B18" s="141" t="s">
        <v>13</v>
      </c>
      <c r="C18" s="141">
        <v>51097655</v>
      </c>
      <c r="D18" s="142" t="s">
        <v>30</v>
      </c>
      <c r="E18" s="141">
        <v>18000</v>
      </c>
      <c r="F18" s="30">
        <v>11.5421</v>
      </c>
      <c r="G18" s="30">
        <v>11.5421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41"/>
      <c r="D19" s="142"/>
      <c r="E19" s="141"/>
      <c r="F19" s="30"/>
      <c r="G19" s="30"/>
      <c r="H19" s="23">
        <f>H17+H18</f>
        <v>74424.599999999147</v>
      </c>
      <c r="I19" s="24">
        <f>H19-H34</f>
        <v>2907.1799999993236</v>
      </c>
      <c r="J19" s="25">
        <f>I19/H19</f>
        <v>3.9062084310824065E-2</v>
      </c>
    </row>
    <row r="20" spans="1:10" ht="15.75" x14ac:dyDescent="0.25">
      <c r="A20" s="15" t="s">
        <v>33</v>
      </c>
      <c r="B20" s="141" t="s">
        <v>13</v>
      </c>
      <c r="C20" s="141">
        <v>51217282</v>
      </c>
      <c r="D20" s="142" t="s">
        <v>34</v>
      </c>
      <c r="E20" s="141">
        <v>4800</v>
      </c>
      <c r="F20" s="21">
        <v>382.58850000000001</v>
      </c>
      <c r="G20" s="21">
        <v>382.63839999999999</v>
      </c>
      <c r="H20" s="18">
        <f t="shared" ref="H20:H33" si="1">(G20-F20)*E20</f>
        <v>239.51999999990221</v>
      </c>
      <c r="I20" s="19" t="s">
        <v>27</v>
      </c>
      <c r="J20" s="20"/>
    </row>
    <row r="21" spans="1:10" ht="15.75" x14ac:dyDescent="0.25">
      <c r="A21" s="15" t="s">
        <v>35</v>
      </c>
      <c r="B21" s="141" t="s">
        <v>13</v>
      </c>
      <c r="C21" s="141">
        <v>51217274</v>
      </c>
      <c r="D21" s="142" t="s">
        <v>34</v>
      </c>
      <c r="E21" s="141">
        <v>4800</v>
      </c>
      <c r="F21" s="21">
        <v>1368.7846999999999</v>
      </c>
      <c r="G21" s="21">
        <v>1374.7983999999999</v>
      </c>
      <c r="H21" s="18">
        <f t="shared" si="1"/>
        <v>28865.759999999864</v>
      </c>
      <c r="I21" s="19"/>
      <c r="J21" s="20"/>
    </row>
    <row r="22" spans="1:10" ht="15.75" x14ac:dyDescent="0.25">
      <c r="A22" s="15" t="s">
        <v>36</v>
      </c>
      <c r="B22" s="141" t="s">
        <v>13</v>
      </c>
      <c r="C22" s="141">
        <v>51097664</v>
      </c>
      <c r="D22" s="142" t="s">
        <v>37</v>
      </c>
      <c r="E22" s="141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41" t="s">
        <v>13</v>
      </c>
      <c r="C23" s="141">
        <v>51097615</v>
      </c>
      <c r="D23" s="142" t="s">
        <v>37</v>
      </c>
      <c r="E23" s="141">
        <v>600</v>
      </c>
      <c r="F23" s="21">
        <v>45.246699999999997</v>
      </c>
      <c r="G23" s="21">
        <v>45.540900000000001</v>
      </c>
      <c r="H23" s="18">
        <f t="shared" si="1"/>
        <v>176.52000000000214</v>
      </c>
      <c r="I23" s="19"/>
      <c r="J23" s="20"/>
    </row>
    <row r="24" spans="1:10" ht="15.75" x14ac:dyDescent="0.25">
      <c r="A24" s="15" t="s">
        <v>39</v>
      </c>
      <c r="B24" s="141" t="s">
        <v>13</v>
      </c>
      <c r="C24" s="141">
        <v>51217264</v>
      </c>
      <c r="D24" s="142" t="s">
        <v>37</v>
      </c>
      <c r="E24" s="141">
        <v>600</v>
      </c>
      <c r="F24" s="21">
        <v>105.9243</v>
      </c>
      <c r="G24" s="21">
        <v>106.51220000000001</v>
      </c>
      <c r="H24" s="18">
        <f t="shared" si="1"/>
        <v>352.74000000000285</v>
      </c>
      <c r="I24" s="19"/>
      <c r="J24" s="20"/>
    </row>
    <row r="25" spans="1:10" ht="15.75" x14ac:dyDescent="0.25">
      <c r="A25" s="15" t="s">
        <v>40</v>
      </c>
      <c r="B25" s="141" t="s">
        <v>13</v>
      </c>
      <c r="C25" s="141">
        <v>51217288</v>
      </c>
      <c r="D25" s="142" t="s">
        <v>37</v>
      </c>
      <c r="E25" s="141">
        <v>600</v>
      </c>
      <c r="F25" s="21">
        <v>20.577000000000002</v>
      </c>
      <c r="G25" s="21">
        <v>20.6081</v>
      </c>
      <c r="H25" s="18">
        <f t="shared" si="1"/>
        <v>18.659999999999144</v>
      </c>
      <c r="I25" s="19" t="s">
        <v>27</v>
      </c>
      <c r="J25" s="20"/>
    </row>
    <row r="26" spans="1:10" ht="15.75" x14ac:dyDescent="0.25">
      <c r="A26" s="15" t="s">
        <v>41</v>
      </c>
      <c r="B26" s="141" t="s">
        <v>13</v>
      </c>
      <c r="C26" s="141">
        <v>51217279</v>
      </c>
      <c r="D26" s="142" t="s">
        <v>37</v>
      </c>
      <c r="E26" s="141">
        <v>600</v>
      </c>
      <c r="F26" s="21">
        <v>15.4808</v>
      </c>
      <c r="G26" s="21">
        <v>15.5352</v>
      </c>
      <c r="H26" s="18">
        <f t="shared" si="1"/>
        <v>32.639999999999603</v>
      </c>
      <c r="I26" s="19" t="s">
        <v>27</v>
      </c>
      <c r="J26" s="20"/>
    </row>
    <row r="27" spans="1:10" ht="15.75" x14ac:dyDescent="0.25">
      <c r="A27" s="15" t="s">
        <v>42</v>
      </c>
      <c r="B27" s="141" t="s">
        <v>13</v>
      </c>
      <c r="C27" s="141">
        <v>51217272</v>
      </c>
      <c r="D27" s="142" t="s">
        <v>37</v>
      </c>
      <c r="E27" s="141">
        <v>600</v>
      </c>
      <c r="F27" s="31">
        <v>15.1839</v>
      </c>
      <c r="G27" s="31">
        <v>15.2372</v>
      </c>
      <c r="H27" s="18">
        <f t="shared" si="1"/>
        <v>31.980000000000075</v>
      </c>
      <c r="I27" s="19"/>
      <c r="J27" s="20"/>
    </row>
    <row r="28" spans="1:10" ht="15.75" x14ac:dyDescent="0.25">
      <c r="A28" s="15" t="s">
        <v>43</v>
      </c>
      <c r="B28" s="141" t="s">
        <v>13</v>
      </c>
      <c r="C28" s="141">
        <v>51616744</v>
      </c>
      <c r="D28" s="142">
        <f>300/5</f>
        <v>60</v>
      </c>
      <c r="E28" s="141">
        <v>3600</v>
      </c>
      <c r="F28" s="31">
        <v>109.78489999999999</v>
      </c>
      <c r="G28" s="31">
        <v>109.78489999999999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41" t="s">
        <v>13</v>
      </c>
      <c r="C29" s="141">
        <v>51555226</v>
      </c>
      <c r="D29" s="142">
        <f>300/5</f>
        <v>60</v>
      </c>
      <c r="E29" s="141">
        <v>3600</v>
      </c>
      <c r="F29" s="31">
        <v>531.78790000000004</v>
      </c>
      <c r="G29" s="31">
        <v>535.45249999999999</v>
      </c>
      <c r="H29" s="18">
        <f>(G29-F29)*E29</f>
        <v>13192.559999999821</v>
      </c>
      <c r="I29" s="19"/>
      <c r="J29" s="20"/>
    </row>
    <row r="30" spans="1:10" ht="15.75" x14ac:dyDescent="0.25">
      <c r="A30" s="15" t="s">
        <v>45</v>
      </c>
      <c r="B30" s="141" t="s">
        <v>13</v>
      </c>
      <c r="C30" s="141">
        <v>51097658</v>
      </c>
      <c r="D30" s="142" t="s">
        <v>34</v>
      </c>
      <c r="E30" s="141">
        <v>4800</v>
      </c>
      <c r="F30" s="31">
        <v>682.83079999999995</v>
      </c>
      <c r="G30" s="31">
        <v>686.30439999999999</v>
      </c>
      <c r="H30" s="18">
        <f t="shared" si="1"/>
        <v>16673.280000000159</v>
      </c>
      <c r="I30" s="19"/>
      <c r="J30" s="20"/>
    </row>
    <row r="31" spans="1:10" ht="15.75" x14ac:dyDescent="0.25">
      <c r="A31" s="15" t="s">
        <v>46</v>
      </c>
      <c r="B31" s="141" t="s">
        <v>13</v>
      </c>
      <c r="C31" s="141">
        <v>51097635</v>
      </c>
      <c r="D31" s="142" t="s">
        <v>34</v>
      </c>
      <c r="E31" s="141">
        <v>4800</v>
      </c>
      <c r="F31" s="31">
        <v>48.4739</v>
      </c>
      <c r="G31" s="31">
        <v>48.475700000000003</v>
      </c>
      <c r="H31" s="18">
        <f t="shared" si="1"/>
        <v>8.6400000000139698</v>
      </c>
      <c r="I31" s="19"/>
      <c r="J31" s="20"/>
    </row>
    <row r="32" spans="1:10" ht="15.75" x14ac:dyDescent="0.25">
      <c r="A32" s="15" t="s">
        <v>47</v>
      </c>
      <c r="B32" s="141" t="s">
        <v>13</v>
      </c>
      <c r="C32" s="32">
        <v>51097633</v>
      </c>
      <c r="D32" s="142" t="s">
        <v>34</v>
      </c>
      <c r="E32" s="141">
        <v>4800</v>
      </c>
      <c r="F32" s="31">
        <v>191.71029999999999</v>
      </c>
      <c r="G32" s="31">
        <v>194.1456</v>
      </c>
      <c r="H32" s="33">
        <f t="shared" si="1"/>
        <v>11689.440000000059</v>
      </c>
      <c r="I32" s="34"/>
      <c r="J32" s="35"/>
    </row>
    <row r="33" spans="1:10" ht="15.75" x14ac:dyDescent="0.25">
      <c r="A33" s="15" t="s">
        <v>48</v>
      </c>
      <c r="B33" s="141" t="s">
        <v>13</v>
      </c>
      <c r="C33" s="32">
        <v>51097662</v>
      </c>
      <c r="D33" s="142" t="s">
        <v>34</v>
      </c>
      <c r="E33" s="141">
        <v>4800</v>
      </c>
      <c r="F33" s="31">
        <v>3.9994999999999998</v>
      </c>
      <c r="G33" s="31">
        <v>4.0486000000000004</v>
      </c>
      <c r="H33" s="33">
        <f t="shared" si="1"/>
        <v>235.68000000000282</v>
      </c>
      <c r="I33" s="34"/>
      <c r="J33" s="35"/>
    </row>
    <row r="34" spans="1:10" ht="15.75" x14ac:dyDescent="0.25">
      <c r="A34" s="218" t="s">
        <v>49</v>
      </c>
      <c r="B34" s="219"/>
      <c r="C34" s="141"/>
      <c r="D34" s="142"/>
      <c r="E34" s="141"/>
      <c r="F34" s="36"/>
      <c r="G34" s="36"/>
      <c r="H34" s="23">
        <f>H20+H21+H22+H23+H24+H25+H26+H27+H28+H29+H30+H31+H32+H33</f>
        <v>71517.419999999824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41" t="s">
        <v>52</v>
      </c>
      <c r="C36" s="141">
        <v>51555209</v>
      </c>
      <c r="D36" s="142" t="s">
        <v>53</v>
      </c>
      <c r="E36" s="141">
        <v>7000</v>
      </c>
      <c r="F36" s="17">
        <v>6.0717999999999996</v>
      </c>
      <c r="G36" s="17">
        <v>6.0861000000000001</v>
      </c>
      <c r="H36" s="41">
        <f>(G36-F36)*E36</f>
        <v>100.10000000000296</v>
      </c>
      <c r="I36" s="42"/>
      <c r="J36" s="14"/>
    </row>
    <row r="37" spans="1:10" ht="15.75" x14ac:dyDescent="0.25">
      <c r="A37" s="15" t="s">
        <v>54</v>
      </c>
      <c r="B37" s="141" t="s">
        <v>52</v>
      </c>
      <c r="C37" s="141">
        <v>51555209</v>
      </c>
      <c r="D37" s="142" t="s">
        <v>53</v>
      </c>
      <c r="E37" s="141">
        <v>7000</v>
      </c>
      <c r="F37" s="21">
        <v>10.5235</v>
      </c>
      <c r="G37" s="21">
        <v>10.573499999999999</v>
      </c>
      <c r="H37" s="18">
        <f>(G37-F37)*E37</f>
        <v>349.99999999999255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41" t="s">
        <v>52</v>
      </c>
      <c r="C39" s="141">
        <v>51097674</v>
      </c>
      <c r="D39" s="141" t="s">
        <v>14</v>
      </c>
      <c r="E39" s="141">
        <v>7200</v>
      </c>
      <c r="F39" s="21">
        <v>608.96199999999999</v>
      </c>
      <c r="G39" s="21">
        <v>611.29459999999995</v>
      </c>
      <c r="H39" s="18">
        <f>(G39-F39)*E39</f>
        <v>16794.719999999688</v>
      </c>
      <c r="I39" s="47"/>
      <c r="J39" s="20"/>
    </row>
    <row r="40" spans="1:10" ht="15.75" x14ac:dyDescent="0.25">
      <c r="A40" s="27" t="s">
        <v>57</v>
      </c>
      <c r="B40" s="141" t="s">
        <v>52</v>
      </c>
      <c r="C40" s="141">
        <v>51259257</v>
      </c>
      <c r="D40" s="141" t="s">
        <v>14</v>
      </c>
      <c r="E40" s="141">
        <v>7200</v>
      </c>
      <c r="F40" s="21">
        <v>1.0555000000000001</v>
      </c>
      <c r="G40" s="21">
        <v>1.0555000000000001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41"/>
      <c r="C41" s="141"/>
      <c r="D41" s="141"/>
      <c r="E41" s="141"/>
      <c r="F41" s="21"/>
      <c r="G41" s="21"/>
      <c r="H41" s="48">
        <f>H39+H40</f>
        <v>16794.719999999688</v>
      </c>
      <c r="I41" s="24">
        <f>H41-H49</f>
        <v>-122.2400000004709</v>
      </c>
      <c r="J41" s="25">
        <f>I41/H41</f>
        <v>-7.2784779978751161E-3</v>
      </c>
    </row>
    <row r="42" spans="1:10" ht="15.75" x14ac:dyDescent="0.25">
      <c r="A42" s="15" t="s">
        <v>59</v>
      </c>
      <c r="B42" s="141"/>
      <c r="C42" s="141"/>
      <c r="D42" s="142"/>
      <c r="E42" s="141"/>
      <c r="H42" s="18"/>
      <c r="I42" s="43"/>
      <c r="J42" s="20"/>
    </row>
    <row r="43" spans="1:10" ht="15.75" x14ac:dyDescent="0.25">
      <c r="A43" s="27" t="s">
        <v>60</v>
      </c>
      <c r="B43" s="141" t="s">
        <v>52</v>
      </c>
      <c r="C43" s="32">
        <v>51097648</v>
      </c>
      <c r="D43" s="141" t="s">
        <v>53</v>
      </c>
      <c r="E43" s="141">
        <v>1200</v>
      </c>
      <c r="F43" s="21">
        <v>498.47910000000002</v>
      </c>
      <c r="G43" s="21">
        <v>500.34339999999997</v>
      </c>
      <c r="H43" s="33">
        <f>(G43-F43)*E43</f>
        <v>2237.1599999999489</v>
      </c>
      <c r="I43" s="43"/>
      <c r="J43" s="20"/>
    </row>
    <row r="44" spans="1:10" ht="15.75" x14ac:dyDescent="0.25">
      <c r="A44" s="27" t="s">
        <v>61</v>
      </c>
      <c r="B44" s="141" t="s">
        <v>52</v>
      </c>
      <c r="C44" s="32">
        <v>50555043</v>
      </c>
      <c r="D44" s="141" t="s">
        <v>53</v>
      </c>
      <c r="E44" s="141">
        <v>1200</v>
      </c>
      <c r="F44" s="21">
        <v>2085.5295000000001</v>
      </c>
      <c r="G44" s="21">
        <v>2093.5671000000002</v>
      </c>
      <c r="H44" s="33">
        <f>(G44-F44)*E44</f>
        <v>9645.1200000001336</v>
      </c>
      <c r="I44" s="43"/>
      <c r="J44" s="20"/>
    </row>
    <row r="45" spans="1:10" ht="15.75" x14ac:dyDescent="0.25">
      <c r="A45" s="27" t="s">
        <v>62</v>
      </c>
      <c r="B45" s="141" t="s">
        <v>52</v>
      </c>
      <c r="C45" s="32">
        <v>51259336</v>
      </c>
      <c r="D45" s="141" t="s">
        <v>63</v>
      </c>
      <c r="E45" s="141">
        <v>2400</v>
      </c>
      <c r="F45" s="21">
        <v>4.2153</v>
      </c>
      <c r="G45" s="21">
        <v>4.2290000000000001</v>
      </c>
      <c r="H45" s="33">
        <f>(G45-F45)*E45</f>
        <v>32.880000000000109</v>
      </c>
      <c r="I45" s="43"/>
      <c r="J45" s="20"/>
    </row>
    <row r="46" spans="1:10" ht="15.75" x14ac:dyDescent="0.25">
      <c r="A46" s="27" t="s">
        <v>64</v>
      </c>
      <c r="B46" s="141" t="s">
        <v>52</v>
      </c>
      <c r="C46" s="32">
        <v>51259266</v>
      </c>
      <c r="D46" s="141" t="s">
        <v>53</v>
      </c>
      <c r="E46" s="141">
        <v>1200</v>
      </c>
      <c r="F46" s="21">
        <v>1012.0228</v>
      </c>
      <c r="G46" s="21">
        <v>1015.7558</v>
      </c>
      <c r="H46" s="33">
        <f>(G46-F46)*E46</f>
        <v>4479.6000000000731</v>
      </c>
      <c r="I46" s="43"/>
      <c r="J46" s="20"/>
    </row>
    <row r="47" spans="1:10" ht="15.75" x14ac:dyDescent="0.25">
      <c r="A47" s="27" t="s">
        <v>65</v>
      </c>
      <c r="B47" s="141" t="s">
        <v>52</v>
      </c>
      <c r="C47" s="32">
        <v>51431336</v>
      </c>
      <c r="D47" s="141" t="s">
        <v>53</v>
      </c>
      <c r="E47" s="141">
        <v>1200</v>
      </c>
      <c r="F47" s="21">
        <v>60.0184</v>
      </c>
      <c r="G47" s="21">
        <v>60.411900000000003</v>
      </c>
      <c r="H47" s="33">
        <f>(G47-F47)*E47</f>
        <v>472.20000000000368</v>
      </c>
      <c r="I47" s="43"/>
      <c r="J47" s="20"/>
    </row>
    <row r="48" spans="1:10" ht="15.75" x14ac:dyDescent="0.25">
      <c r="A48" s="15" t="s">
        <v>66</v>
      </c>
      <c r="B48" s="141" t="s">
        <v>67</v>
      </c>
      <c r="C48" s="141">
        <v>49174</v>
      </c>
      <c r="D48" s="142" t="s">
        <v>53</v>
      </c>
      <c r="E48" s="141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16916.960000000159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41" t="s">
        <v>52</v>
      </c>
      <c r="C51" s="141">
        <v>51097603</v>
      </c>
      <c r="D51" s="142" t="s">
        <v>53</v>
      </c>
      <c r="E51" s="141">
        <v>7000</v>
      </c>
      <c r="F51" s="17">
        <v>1987.6976</v>
      </c>
      <c r="G51" s="17">
        <v>1994.3313000000001</v>
      </c>
      <c r="H51" s="18">
        <f>(G51-F51)*E51</f>
        <v>46435.900000000627</v>
      </c>
      <c r="I51" s="43"/>
      <c r="J51" s="20"/>
    </row>
    <row r="52" spans="1:10" ht="15.75" x14ac:dyDescent="0.25">
      <c r="A52" s="27" t="s">
        <v>72</v>
      </c>
      <c r="B52" s="141" t="s">
        <v>52</v>
      </c>
      <c r="C52" s="141">
        <v>51097590</v>
      </c>
      <c r="D52" s="142" t="s">
        <v>53</v>
      </c>
      <c r="E52" s="141">
        <v>7000</v>
      </c>
      <c r="F52" s="21">
        <v>12.807</v>
      </c>
      <c r="G52" s="21">
        <v>12.829700000000001</v>
      </c>
      <c r="H52" s="18">
        <f>(G52-F52)*E52</f>
        <v>158.90000000000271</v>
      </c>
      <c r="I52" s="43"/>
      <c r="J52" s="20"/>
    </row>
    <row r="53" spans="1:10" ht="15.75" x14ac:dyDescent="0.25">
      <c r="A53" s="15" t="s">
        <v>66</v>
      </c>
      <c r="B53" s="141" t="s">
        <v>67</v>
      </c>
      <c r="C53" s="141">
        <v>49174</v>
      </c>
      <c r="D53" s="142" t="s">
        <v>53</v>
      </c>
      <c r="E53" s="141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41"/>
      <c r="D54" s="142"/>
      <c r="E54" s="141"/>
      <c r="F54" s="21"/>
      <c r="G54" s="21"/>
      <c r="H54" s="48">
        <f>H51+H52+H53</f>
        <v>46694.800000000629</v>
      </c>
      <c r="I54" s="47"/>
      <c r="J54" s="59"/>
    </row>
    <row r="55" spans="1:10" ht="15.75" x14ac:dyDescent="0.25">
      <c r="A55" s="27" t="s">
        <v>74</v>
      </c>
      <c r="B55" s="141" t="s">
        <v>52</v>
      </c>
      <c r="C55" s="141">
        <v>51100980</v>
      </c>
      <c r="D55" s="141" t="s">
        <v>75</v>
      </c>
      <c r="E55" s="141">
        <v>12000</v>
      </c>
      <c r="F55" s="21">
        <v>1169.4005999999999</v>
      </c>
      <c r="G55" s="21">
        <v>1173.2809</v>
      </c>
      <c r="H55" s="18">
        <f>(G55-F55)*E55</f>
        <v>46563.600000000406</v>
      </c>
      <c r="I55" s="47"/>
      <c r="J55" s="58"/>
    </row>
    <row r="56" spans="1:10" ht="15.75" x14ac:dyDescent="0.25">
      <c r="A56" s="27" t="s">
        <v>76</v>
      </c>
      <c r="B56" s="141" t="s">
        <v>52</v>
      </c>
      <c r="C56" s="141">
        <v>51097623</v>
      </c>
      <c r="D56" s="141" t="s">
        <v>75</v>
      </c>
      <c r="E56" s="141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41"/>
      <c r="C57" s="141"/>
      <c r="D57" s="141"/>
      <c r="E57" s="141"/>
      <c r="F57" s="21"/>
      <c r="G57" s="21"/>
      <c r="H57" s="48">
        <f>H55+H56</f>
        <v>46563.600000000406</v>
      </c>
      <c r="I57" s="61">
        <f>H54-H64-H53</f>
        <v>-69.359999999913271</v>
      </c>
      <c r="J57" s="25">
        <f>I57/H57</f>
        <v>-1.4895755482804737E-3</v>
      </c>
    </row>
    <row r="58" spans="1:10" ht="15.75" x14ac:dyDescent="0.25">
      <c r="A58" s="27" t="s">
        <v>78</v>
      </c>
      <c r="B58" s="141" t="s">
        <v>52</v>
      </c>
      <c r="C58" s="141">
        <v>51097675</v>
      </c>
      <c r="D58" s="141" t="s">
        <v>34</v>
      </c>
      <c r="E58" s="141">
        <v>4800</v>
      </c>
      <c r="F58" s="21">
        <v>531.14959999999996</v>
      </c>
      <c r="G58" s="21">
        <v>533.88130000000001</v>
      </c>
      <c r="H58" s="18">
        <f t="shared" ref="H58:H63" si="2">(G58-F58)*E58</f>
        <v>13112.160000000222</v>
      </c>
      <c r="I58" s="62"/>
      <c r="J58" s="59"/>
    </row>
    <row r="59" spans="1:10" ht="15.75" x14ac:dyDescent="0.25">
      <c r="A59" s="27" t="s">
        <v>79</v>
      </c>
      <c r="B59" s="141" t="s">
        <v>52</v>
      </c>
      <c r="C59" s="141">
        <v>51100997</v>
      </c>
      <c r="D59" s="141" t="s">
        <v>21</v>
      </c>
      <c r="E59" s="141">
        <v>3600</v>
      </c>
      <c r="F59" s="21">
        <v>1398.1166000000001</v>
      </c>
      <c r="G59" s="21">
        <v>1400.9122</v>
      </c>
      <c r="H59" s="18">
        <f t="shared" si="2"/>
        <v>10064.15999999972</v>
      </c>
      <c r="I59" s="62"/>
      <c r="J59" s="59"/>
    </row>
    <row r="60" spans="1:10" ht="15.75" x14ac:dyDescent="0.25">
      <c r="A60" s="27" t="s">
        <v>80</v>
      </c>
      <c r="B60" s="141" t="s">
        <v>52</v>
      </c>
      <c r="C60" s="141">
        <v>51555218</v>
      </c>
      <c r="D60" s="141">
        <f>400/5</f>
        <v>80</v>
      </c>
      <c r="E60" s="141">
        <v>4800</v>
      </c>
      <c r="F60" s="21">
        <v>67.825999999999993</v>
      </c>
      <c r="G60" s="21">
        <v>68.284400000000005</v>
      </c>
      <c r="H60" s="18">
        <f t="shared" si="2"/>
        <v>2200.3200000000561</v>
      </c>
      <c r="I60" s="62"/>
      <c r="J60" s="59"/>
    </row>
    <row r="61" spans="1:10" ht="15.75" x14ac:dyDescent="0.25">
      <c r="A61" s="27" t="s">
        <v>81</v>
      </c>
      <c r="B61" s="141" t="s">
        <v>52</v>
      </c>
      <c r="C61" s="141">
        <v>51555151</v>
      </c>
      <c r="D61" s="141">
        <f>400/5</f>
        <v>80</v>
      </c>
      <c r="E61" s="141">
        <v>4800</v>
      </c>
      <c r="F61" s="63">
        <v>0.30690000000000001</v>
      </c>
      <c r="G61" s="63">
        <v>0.30690000000000001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41" t="s">
        <v>52</v>
      </c>
      <c r="C62" s="141">
        <v>51097599</v>
      </c>
      <c r="D62" s="141" t="s">
        <v>21</v>
      </c>
      <c r="E62" s="141">
        <v>3600</v>
      </c>
      <c r="F62" s="21">
        <v>980.46979999999996</v>
      </c>
      <c r="G62" s="21">
        <v>982.90380000000005</v>
      </c>
      <c r="H62" s="18">
        <f t="shared" si="2"/>
        <v>8762.400000000298</v>
      </c>
      <c r="I62" s="62"/>
      <c r="J62" s="59"/>
    </row>
    <row r="63" spans="1:10" ht="15.75" x14ac:dyDescent="0.25">
      <c r="A63" s="27" t="s">
        <v>83</v>
      </c>
      <c r="B63" s="141" t="s">
        <v>52</v>
      </c>
      <c r="C63" s="141">
        <v>51097620</v>
      </c>
      <c r="D63" s="141" t="s">
        <v>34</v>
      </c>
      <c r="E63" s="141">
        <v>4800</v>
      </c>
      <c r="F63" s="21">
        <v>530.26199999999994</v>
      </c>
      <c r="G63" s="21">
        <v>532.87139999999999</v>
      </c>
      <c r="H63" s="18">
        <f t="shared" si="2"/>
        <v>12525.120000000243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46664.160000000542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41" t="s">
        <v>52</v>
      </c>
      <c r="C66" s="9">
        <v>51259238</v>
      </c>
      <c r="D66" s="74" t="s">
        <v>53</v>
      </c>
      <c r="E66" s="74">
        <v>7000</v>
      </c>
      <c r="F66" s="75">
        <v>576.57950000000005</v>
      </c>
      <c r="G66" s="75">
        <v>579.19770000000005</v>
      </c>
      <c r="H66" s="76">
        <f>(G66-F66)*E66</f>
        <v>18327.400000000012</v>
      </c>
      <c r="I66" s="77"/>
      <c r="J66" s="78"/>
    </row>
    <row r="67" spans="1:10" ht="15.75" x14ac:dyDescent="0.25">
      <c r="A67" s="27" t="s">
        <v>86</v>
      </c>
      <c r="B67" s="141" t="s">
        <v>52</v>
      </c>
      <c r="C67" s="141">
        <v>51259324</v>
      </c>
      <c r="D67" s="142" t="s">
        <v>53</v>
      </c>
      <c r="E67" s="142">
        <v>7000</v>
      </c>
      <c r="F67" s="21">
        <v>446.03160000000003</v>
      </c>
      <c r="G67" s="21">
        <v>448.02089999999998</v>
      </c>
      <c r="H67" s="18">
        <f>(G67-F67)*E67</f>
        <v>13925.099999999702</v>
      </c>
      <c r="I67" s="51"/>
      <c r="J67" s="58"/>
    </row>
    <row r="68" spans="1:10" s="129" customFormat="1" ht="15.75" x14ac:dyDescent="0.25">
      <c r="A68" s="27" t="s">
        <v>87</v>
      </c>
      <c r="B68" s="79" t="s">
        <v>88</v>
      </c>
      <c r="C68" s="141">
        <v>51491618</v>
      </c>
      <c r="D68" s="142" t="s">
        <v>63</v>
      </c>
      <c r="E68" s="141">
        <v>40</v>
      </c>
      <c r="F68" s="28">
        <v>1317.587</v>
      </c>
      <c r="G68" s="28">
        <v>1325.6659999999999</v>
      </c>
      <c r="H68" s="18">
        <f>(G68-F68)*E68</f>
        <v>323.15999999999804</v>
      </c>
      <c r="I68" s="51"/>
      <c r="J68" s="58"/>
    </row>
    <row r="69" spans="1:10" s="129" customFormat="1" ht="15.75" x14ac:dyDescent="0.25">
      <c r="A69" s="27" t="s">
        <v>89</v>
      </c>
      <c r="B69" s="79" t="s">
        <v>88</v>
      </c>
      <c r="C69" s="141">
        <v>51491624</v>
      </c>
      <c r="D69" s="142" t="s">
        <v>63</v>
      </c>
      <c r="E69" s="141">
        <v>40</v>
      </c>
      <c r="F69" s="28">
        <v>177.67750000000001</v>
      </c>
      <c r="G69" s="28">
        <v>178.43950000000001</v>
      </c>
      <c r="H69" s="18">
        <f>(G69-F69)*E69</f>
        <v>30.480000000000018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32252.499999999716</v>
      </c>
      <c r="I70" s="85">
        <f>H70-H73-H68-H69</f>
        <v>-15.140000000041709</v>
      </c>
      <c r="J70" s="25">
        <f>I70/H70</f>
        <v>-4.6942097511950523E-4</v>
      </c>
    </row>
    <row r="71" spans="1:10" ht="15.75" x14ac:dyDescent="0.25">
      <c r="A71" s="27" t="s">
        <v>91</v>
      </c>
      <c r="B71" s="141" t="s">
        <v>52</v>
      </c>
      <c r="C71" s="86">
        <v>51097588</v>
      </c>
      <c r="D71" s="142" t="s">
        <v>75</v>
      </c>
      <c r="E71" s="141">
        <v>12000</v>
      </c>
      <c r="F71" s="21">
        <v>345.13740000000001</v>
      </c>
      <c r="G71" s="21">
        <v>346.61680000000001</v>
      </c>
      <c r="H71" s="18">
        <f>(G71-F71)*E71</f>
        <v>17752.799999999981</v>
      </c>
      <c r="I71" s="51"/>
      <c r="J71" s="58"/>
    </row>
    <row r="72" spans="1:10" ht="15.75" x14ac:dyDescent="0.25">
      <c r="A72" s="27" t="s">
        <v>92</v>
      </c>
      <c r="B72" s="141" t="s">
        <v>52</v>
      </c>
      <c r="C72" s="86">
        <v>51431335</v>
      </c>
      <c r="D72" s="142" t="s">
        <v>75</v>
      </c>
      <c r="E72" s="141">
        <v>12000</v>
      </c>
      <c r="F72" s="21">
        <v>272.05709999999999</v>
      </c>
      <c r="G72" s="21">
        <v>273.23719999999997</v>
      </c>
      <c r="H72" s="18">
        <f>(G72-F72)*E72</f>
        <v>14161.199999999781</v>
      </c>
      <c r="I72" s="51"/>
      <c r="J72" s="58"/>
    </row>
    <row r="73" spans="1:10" ht="15.75" x14ac:dyDescent="0.25">
      <c r="A73" s="87" t="s">
        <v>93</v>
      </c>
      <c r="B73" s="141" t="s">
        <v>27</v>
      </c>
      <c r="C73" s="141"/>
      <c r="D73" s="142"/>
      <c r="E73" s="141"/>
      <c r="F73" s="21"/>
      <c r="G73" s="21"/>
      <c r="H73" s="48">
        <f>H71+ H72</f>
        <v>31913.99999999976</v>
      </c>
      <c r="I73" s="85">
        <f>H73-H81</f>
        <v>-45.780000000188011</v>
      </c>
      <c r="J73" s="25">
        <f>I73/H73</f>
        <v>-1.4344801654505345E-3</v>
      </c>
    </row>
    <row r="74" spans="1:10" ht="15.75" x14ac:dyDescent="0.25">
      <c r="A74" s="27" t="s">
        <v>94</v>
      </c>
      <c r="B74" s="141" t="s">
        <v>52</v>
      </c>
      <c r="C74" s="86">
        <v>51097676</v>
      </c>
      <c r="D74" s="88" t="s">
        <v>63</v>
      </c>
      <c r="E74" s="141">
        <v>2400</v>
      </c>
      <c r="F74" s="21">
        <v>722.58090000000004</v>
      </c>
      <c r="G74" s="21">
        <v>725.72529999999995</v>
      </c>
      <c r="H74" s="18">
        <f>(G74-F74)*E74</f>
        <v>7546.5599999997721</v>
      </c>
      <c r="I74" s="51"/>
      <c r="J74" s="58"/>
    </row>
    <row r="75" spans="1:10" ht="15.75" x14ac:dyDescent="0.25">
      <c r="A75" s="27" t="s">
        <v>95</v>
      </c>
      <c r="B75" s="141" t="s">
        <v>52</v>
      </c>
      <c r="C75" s="86">
        <v>51431355</v>
      </c>
      <c r="D75" s="142" t="s">
        <v>21</v>
      </c>
      <c r="E75" s="142">
        <v>3600</v>
      </c>
      <c r="F75" s="21">
        <v>375.11989999999997</v>
      </c>
      <c r="G75" s="21">
        <v>376.46899999999999</v>
      </c>
      <c r="H75" s="18">
        <f>(G75-F75)*E75</f>
        <v>4856.7600000000766</v>
      </c>
      <c r="I75" s="51"/>
      <c r="J75" s="52"/>
    </row>
    <row r="76" spans="1:10" ht="15.75" x14ac:dyDescent="0.25">
      <c r="A76" s="27" t="s">
        <v>96</v>
      </c>
      <c r="B76" s="141" t="s">
        <v>52</v>
      </c>
      <c r="C76" s="86">
        <v>51259331</v>
      </c>
      <c r="D76" s="88" t="s">
        <v>37</v>
      </c>
      <c r="E76" s="141">
        <v>600</v>
      </c>
      <c r="F76" s="21">
        <v>170.80080000000001</v>
      </c>
      <c r="G76" s="21">
        <v>171.60210000000001</v>
      </c>
      <c r="H76" s="18">
        <f>(G76-F76)*E76</f>
        <v>480.77999999999861</v>
      </c>
      <c r="I76" s="51"/>
      <c r="J76" s="52"/>
    </row>
    <row r="77" spans="1:10" ht="15.75" x14ac:dyDescent="0.25">
      <c r="A77" s="27" t="s">
        <v>97</v>
      </c>
      <c r="B77" s="141" t="s">
        <v>52</v>
      </c>
      <c r="C77" s="86">
        <v>51259326</v>
      </c>
      <c r="D77" s="88" t="s">
        <v>14</v>
      </c>
      <c r="E77" s="141">
        <v>7200</v>
      </c>
      <c r="F77" s="21">
        <v>341.4083</v>
      </c>
      <c r="G77" s="21">
        <v>342.8313</v>
      </c>
      <c r="H77" s="18">
        <f>(G77-F77)*E77</f>
        <v>10245.600000000013</v>
      </c>
      <c r="I77" s="51"/>
      <c r="J77" s="52"/>
    </row>
    <row r="78" spans="1:10" ht="15.75" x14ac:dyDescent="0.25">
      <c r="A78" s="27" t="s">
        <v>98</v>
      </c>
      <c r="B78" s="141" t="s">
        <v>52</v>
      </c>
      <c r="C78" s="86">
        <v>51431351</v>
      </c>
      <c r="D78" s="88" t="s">
        <v>14</v>
      </c>
      <c r="E78" s="141">
        <v>7200</v>
      </c>
      <c r="F78" s="21">
        <v>246.53649999999999</v>
      </c>
      <c r="G78" s="21">
        <v>247.7629</v>
      </c>
      <c r="H78" s="18">
        <f>(G78-F78)*E78</f>
        <v>8830.0800000000891</v>
      </c>
      <c r="I78" s="51"/>
      <c r="J78" s="52"/>
    </row>
    <row r="79" spans="1:10" ht="15.75" x14ac:dyDescent="0.25">
      <c r="A79" s="89" t="s">
        <v>99</v>
      </c>
      <c r="B79" s="141" t="s">
        <v>52</v>
      </c>
      <c r="C79" s="90">
        <v>51097666</v>
      </c>
      <c r="D79" s="88" t="s">
        <v>63</v>
      </c>
      <c r="E79" s="141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41" t="s">
        <v>52</v>
      </c>
      <c r="C80" s="90">
        <v>51259323</v>
      </c>
      <c r="D80" s="88" t="s">
        <v>63</v>
      </c>
      <c r="E80" s="141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31959.779999999948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41" t="s">
        <v>52</v>
      </c>
      <c r="C83" s="106">
        <v>51431297</v>
      </c>
      <c r="D83" s="142" t="s">
        <v>53</v>
      </c>
      <c r="E83" s="100">
        <v>7000</v>
      </c>
      <c r="F83" s="17">
        <v>296.35120000000001</v>
      </c>
      <c r="G83" s="17">
        <v>298.9051</v>
      </c>
      <c r="H83" s="18">
        <f>(G83-F83)*E83</f>
        <v>17877.299999999992</v>
      </c>
      <c r="I83" s="107"/>
      <c r="J83" s="108"/>
    </row>
    <row r="84" spans="1:10" ht="15.75" x14ac:dyDescent="0.25">
      <c r="A84" s="105" t="s">
        <v>86</v>
      </c>
      <c r="B84" s="141" t="s">
        <v>52</v>
      </c>
      <c r="C84" s="106">
        <v>51431332</v>
      </c>
      <c r="D84" s="142" t="s">
        <v>53</v>
      </c>
      <c r="E84" s="100">
        <v>7000</v>
      </c>
      <c r="F84" s="17">
        <v>358.34780000000001</v>
      </c>
      <c r="G84" s="17">
        <v>358.49149999999997</v>
      </c>
      <c r="H84" s="18">
        <f>(G84-F84)*E84</f>
        <v>1005.8999999997695</v>
      </c>
      <c r="I84" s="141"/>
      <c r="J84" s="58"/>
    </row>
    <row r="85" spans="1:10" s="129" customFormat="1" ht="15.75" x14ac:dyDescent="0.25">
      <c r="A85" s="27" t="s">
        <v>87</v>
      </c>
      <c r="B85" s="141" t="s">
        <v>103</v>
      </c>
      <c r="C85" s="109">
        <v>150773</v>
      </c>
      <c r="D85" s="142" t="s">
        <v>53</v>
      </c>
      <c r="E85" s="109">
        <v>20</v>
      </c>
      <c r="F85" s="17">
        <v>15702.2</v>
      </c>
      <c r="G85" s="17">
        <v>15705.5</v>
      </c>
      <c r="H85" s="18">
        <f>(G85-F85)*E85</f>
        <v>65.999999999985448</v>
      </c>
      <c r="I85" s="51"/>
      <c r="J85" s="58"/>
    </row>
    <row r="86" spans="1:10" s="129" customFormat="1" ht="15.75" x14ac:dyDescent="0.25">
      <c r="A86" s="27" t="s">
        <v>89</v>
      </c>
      <c r="B86" s="141" t="s">
        <v>103</v>
      </c>
      <c r="C86" s="109">
        <v>150791</v>
      </c>
      <c r="D86" s="142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43"/>
      <c r="C87" s="32"/>
      <c r="D87" s="82"/>
      <c r="E87" s="82"/>
      <c r="F87" s="21"/>
      <c r="G87" s="21"/>
      <c r="H87" s="48">
        <f>H83+H84</f>
        <v>18883.199999999761</v>
      </c>
      <c r="I87" s="85">
        <f>H87-H90-H85-H86</f>
        <v>345.35999999980049</v>
      </c>
      <c r="J87" s="25">
        <f>I87/H87</f>
        <v>1.8289273004565162E-2</v>
      </c>
    </row>
    <row r="88" spans="1:10" ht="15.75" x14ac:dyDescent="0.25">
      <c r="A88" s="27" t="s">
        <v>104</v>
      </c>
      <c r="B88" s="141" t="s">
        <v>52</v>
      </c>
      <c r="C88" s="106">
        <v>51431342</v>
      </c>
      <c r="D88" s="88" t="s">
        <v>34</v>
      </c>
      <c r="E88" s="141">
        <v>4800</v>
      </c>
      <c r="F88" s="21">
        <v>421.12950000000001</v>
      </c>
      <c r="G88" s="21">
        <v>424.81189999999998</v>
      </c>
      <c r="H88" s="18">
        <f>(G88-F88)*E88</f>
        <v>17675.519999999869</v>
      </c>
      <c r="I88" s="51"/>
      <c r="J88" s="52"/>
    </row>
    <row r="89" spans="1:10" ht="15.75" x14ac:dyDescent="0.25">
      <c r="A89" s="27" t="s">
        <v>105</v>
      </c>
      <c r="B89" s="141" t="s">
        <v>52</v>
      </c>
      <c r="C89" s="106">
        <v>51431343</v>
      </c>
      <c r="D89" s="88" t="s">
        <v>34</v>
      </c>
      <c r="E89" s="141">
        <v>4800</v>
      </c>
      <c r="F89" s="21">
        <v>505.92959999999999</v>
      </c>
      <c r="G89" s="21">
        <v>506.09550000000002</v>
      </c>
      <c r="H89" s="18">
        <f>(G89-F89)*E89</f>
        <v>796.32000000010521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18471.839999999975</v>
      </c>
      <c r="I90" s="85">
        <f>H90-H98</f>
        <v>-2.6999999998879503</v>
      </c>
      <c r="J90" s="25">
        <f>I90/H90</f>
        <v>-1.4616843800552376E-4</v>
      </c>
    </row>
    <row r="91" spans="1:10" ht="15.75" x14ac:dyDescent="0.25">
      <c r="A91" s="27" t="s">
        <v>107</v>
      </c>
      <c r="B91" s="141" t="s">
        <v>52</v>
      </c>
      <c r="C91" s="106">
        <v>51431347</v>
      </c>
      <c r="D91" s="142" t="s">
        <v>53</v>
      </c>
      <c r="E91" s="141">
        <v>1200</v>
      </c>
      <c r="F91" s="21">
        <v>1202.1474000000001</v>
      </c>
      <c r="G91" s="21">
        <v>1202.1474000000001</v>
      </c>
      <c r="H91" s="18">
        <f>(G91-F91)*E91</f>
        <v>0</v>
      </c>
      <c r="I91" s="51"/>
      <c r="J91" s="52"/>
    </row>
    <row r="92" spans="1:10" ht="15.75" x14ac:dyDescent="0.25">
      <c r="A92" s="27" t="s">
        <v>108</v>
      </c>
      <c r="B92" s="141" t="s">
        <v>52</v>
      </c>
      <c r="C92" s="106">
        <v>51431339</v>
      </c>
      <c r="D92" s="142" t="s">
        <v>53</v>
      </c>
      <c r="E92" s="141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41" t="s">
        <v>52</v>
      </c>
      <c r="C93" s="106">
        <v>51217244</v>
      </c>
      <c r="D93" s="141" t="s">
        <v>37</v>
      </c>
      <c r="E93" s="141">
        <v>600</v>
      </c>
      <c r="F93" s="30">
        <v>338.44209999999998</v>
      </c>
      <c r="G93" s="30">
        <v>339.65109999999999</v>
      </c>
      <c r="H93" s="18">
        <f t="shared" si="4"/>
        <v>725.40000000000191</v>
      </c>
      <c r="I93" s="51"/>
      <c r="J93" s="52"/>
    </row>
    <row r="94" spans="1:10" ht="15.75" x14ac:dyDescent="0.25">
      <c r="A94" s="27" t="s">
        <v>110</v>
      </c>
      <c r="B94" s="141" t="s">
        <v>52</v>
      </c>
      <c r="C94" s="106">
        <v>51217267</v>
      </c>
      <c r="D94" s="88" t="s">
        <v>63</v>
      </c>
      <c r="E94" s="141">
        <v>2400</v>
      </c>
      <c r="F94" s="30">
        <v>20.476199999999999</v>
      </c>
      <c r="G94" s="30">
        <v>20.507000000000001</v>
      </c>
      <c r="H94" s="18">
        <f t="shared" si="4"/>
        <v>73.92000000000678</v>
      </c>
      <c r="I94" s="51"/>
      <c r="J94" s="52"/>
    </row>
    <row r="95" spans="1:10" ht="15.75" x14ac:dyDescent="0.25">
      <c r="A95" s="27" t="s">
        <v>111</v>
      </c>
      <c r="B95" s="141" t="s">
        <v>52</v>
      </c>
      <c r="C95" s="141">
        <v>51555165</v>
      </c>
      <c r="D95" s="142" t="s">
        <v>53</v>
      </c>
      <c r="E95" s="141">
        <v>1200</v>
      </c>
      <c r="F95" s="30">
        <v>900.36990000000003</v>
      </c>
      <c r="G95" s="30">
        <v>909.01919999999996</v>
      </c>
      <c r="H95" s="18">
        <f t="shared" si="4"/>
        <v>10379.159999999911</v>
      </c>
      <c r="I95" s="51" t="s">
        <v>27</v>
      </c>
      <c r="J95" s="52"/>
    </row>
    <row r="96" spans="1:10" ht="15.75" x14ac:dyDescent="0.25">
      <c r="A96" s="113" t="s">
        <v>112</v>
      </c>
      <c r="B96" s="141" t="s">
        <v>52</v>
      </c>
      <c r="C96" s="106">
        <v>51431346</v>
      </c>
      <c r="D96" s="114" t="s">
        <v>37</v>
      </c>
      <c r="E96" s="114">
        <v>600</v>
      </c>
      <c r="F96" s="30">
        <v>364.53179999999998</v>
      </c>
      <c r="G96" s="30">
        <v>366.26490000000001</v>
      </c>
      <c r="H96" s="115">
        <f t="shared" si="4"/>
        <v>1039.8600000000215</v>
      </c>
      <c r="I96" s="116"/>
      <c r="J96" s="117"/>
    </row>
    <row r="97" spans="1:10" ht="15.75" x14ac:dyDescent="0.25">
      <c r="A97" s="27" t="s">
        <v>113</v>
      </c>
      <c r="B97" s="141" t="s">
        <v>52</v>
      </c>
      <c r="C97" s="106">
        <v>51431352</v>
      </c>
      <c r="D97" s="88" t="s">
        <v>21</v>
      </c>
      <c r="E97" s="141">
        <v>3600</v>
      </c>
      <c r="F97" s="21">
        <v>240.92910000000001</v>
      </c>
      <c r="G97" s="21">
        <v>242.64859999999999</v>
      </c>
      <c r="H97" s="18">
        <f t="shared" si="4"/>
        <v>6190.1999999999362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18474.539999999863</v>
      </c>
      <c r="I98" s="51"/>
      <c r="J98" s="52"/>
    </row>
    <row r="99" spans="1:10" ht="15.75" x14ac:dyDescent="0.25">
      <c r="A99" s="45" t="s">
        <v>114</v>
      </c>
      <c r="B99" s="141" t="s">
        <v>52</v>
      </c>
      <c r="C99" s="120">
        <v>51431357</v>
      </c>
      <c r="D99" s="142" t="s">
        <v>63</v>
      </c>
      <c r="E99" s="142">
        <v>14000</v>
      </c>
      <c r="F99" s="28">
        <v>855.81060000000002</v>
      </c>
      <c r="G99" s="28">
        <v>859.03430000000003</v>
      </c>
      <c r="H99" s="121">
        <f t="shared" si="4"/>
        <v>45131.800000000112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>
      <selection activeCell="D22" sqref="D22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122</v>
      </c>
      <c r="G2" s="4" t="s">
        <v>123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44" t="s">
        <v>13</v>
      </c>
      <c r="C4" s="144">
        <v>51555166</v>
      </c>
      <c r="D4" s="144" t="s">
        <v>14</v>
      </c>
      <c r="E4" s="144">
        <v>132000</v>
      </c>
      <c r="F4" s="17">
        <v>6.9390999999999998</v>
      </c>
      <c r="G4" s="17">
        <v>6.9474</v>
      </c>
      <c r="H4" s="18">
        <f>(G4-F4)*E4</f>
        <v>1095.6000000000258</v>
      </c>
      <c r="I4" s="19"/>
      <c r="J4" s="20"/>
    </row>
    <row r="5" spans="1:10" ht="15.75" x14ac:dyDescent="0.25">
      <c r="A5" s="15" t="s">
        <v>15</v>
      </c>
      <c r="B5" s="144" t="s">
        <v>13</v>
      </c>
      <c r="C5" s="144">
        <v>51555191</v>
      </c>
      <c r="D5" s="144" t="s">
        <v>14</v>
      </c>
      <c r="E5" s="144">
        <v>132000</v>
      </c>
      <c r="F5" s="21">
        <v>382.98669999999998</v>
      </c>
      <c r="G5" s="21">
        <v>384.98110000000003</v>
      </c>
      <c r="H5" s="18">
        <f>(G5-F5)*E5</f>
        <v>263260.80000000546</v>
      </c>
      <c r="I5" s="19"/>
      <c r="J5" s="20"/>
    </row>
    <row r="6" spans="1:10" ht="15.75" x14ac:dyDescent="0.25">
      <c r="A6" s="218" t="s">
        <v>16</v>
      </c>
      <c r="B6" s="219"/>
      <c r="C6" s="144"/>
      <c r="D6" s="145"/>
      <c r="E6" s="144"/>
      <c r="H6" s="23">
        <f>H4+H5</f>
        <v>264356.40000000549</v>
      </c>
      <c r="I6" s="24">
        <f>H6-H9-H19</f>
        <v>1996.2000000126718</v>
      </c>
      <c r="J6" s="25">
        <f>I6/H6</f>
        <v>7.5511695575088411E-3</v>
      </c>
    </row>
    <row r="7" spans="1:10" ht="15.75" x14ac:dyDescent="0.25">
      <c r="A7" s="26" t="s">
        <v>17</v>
      </c>
      <c r="B7" s="144" t="s">
        <v>13</v>
      </c>
      <c r="C7" s="144">
        <v>51097629</v>
      </c>
      <c r="D7" s="145" t="s">
        <v>14</v>
      </c>
      <c r="E7" s="144">
        <v>42000</v>
      </c>
      <c r="F7" s="21">
        <v>1128.4390000000001</v>
      </c>
      <c r="G7" s="21">
        <v>1132.9042999999999</v>
      </c>
      <c r="H7" s="18">
        <f>(G7-F7)*E7</f>
        <v>187542.5999999934</v>
      </c>
      <c r="I7" s="19"/>
      <c r="J7" s="20"/>
    </row>
    <row r="8" spans="1:10" ht="15.75" x14ac:dyDescent="0.25">
      <c r="A8" s="26" t="s">
        <v>18</v>
      </c>
      <c r="B8" s="144" t="s">
        <v>13</v>
      </c>
      <c r="C8" s="144">
        <v>51616820</v>
      </c>
      <c r="D8" s="145" t="s">
        <v>14</v>
      </c>
      <c r="E8" s="144">
        <v>42000</v>
      </c>
      <c r="F8" s="21">
        <v>15.299799999999999</v>
      </c>
      <c r="G8" s="21">
        <v>15.3119</v>
      </c>
      <c r="H8" s="18">
        <f>(G8-F8)*E8</f>
        <v>508.20000000000931</v>
      </c>
      <c r="I8" s="19"/>
      <c r="J8" s="20"/>
    </row>
    <row r="9" spans="1:10" ht="15.75" x14ac:dyDescent="0.25">
      <c r="A9" s="218" t="s">
        <v>19</v>
      </c>
      <c r="B9" s="219"/>
      <c r="C9" s="144"/>
      <c r="D9" s="145"/>
      <c r="E9" s="144"/>
      <c r="F9" s="21"/>
      <c r="G9" s="21"/>
      <c r="H9" s="23">
        <f>H7+H8</f>
        <v>188050.79999999341</v>
      </c>
      <c r="I9" s="24">
        <f>H9-H16</f>
        <v>54.599999993515667</v>
      </c>
      <c r="J9" s="25">
        <f>I9/H9</f>
        <v>2.9034707639381265E-4</v>
      </c>
    </row>
    <row r="10" spans="1:10" ht="15.75" x14ac:dyDescent="0.25">
      <c r="A10" s="27" t="s">
        <v>20</v>
      </c>
      <c r="B10" s="144" t="s">
        <v>13</v>
      </c>
      <c r="C10" s="144">
        <v>51217286</v>
      </c>
      <c r="D10" s="145" t="s">
        <v>21</v>
      </c>
      <c r="E10" s="144">
        <v>21000</v>
      </c>
      <c r="F10" s="21">
        <v>892.99739999999997</v>
      </c>
      <c r="G10" s="21">
        <v>896.1825</v>
      </c>
      <c r="H10" s="18">
        <f t="shared" ref="H10:H15" si="0">(G10-F10)*E10</f>
        <v>66887.100000000719</v>
      </c>
      <c r="I10" s="19"/>
      <c r="J10" s="20"/>
    </row>
    <row r="11" spans="1:10" ht="15.75" x14ac:dyDescent="0.25">
      <c r="A11" s="27" t="s">
        <v>22</v>
      </c>
      <c r="B11" s="144" t="s">
        <v>13</v>
      </c>
      <c r="C11" s="144">
        <v>51217292</v>
      </c>
      <c r="D11" s="145" t="s">
        <v>21</v>
      </c>
      <c r="E11" s="144">
        <v>21000</v>
      </c>
      <c r="F11" s="28">
        <v>3.9215</v>
      </c>
      <c r="G11" s="28">
        <v>3.9264000000000001</v>
      </c>
      <c r="H11" s="18">
        <f>(G11-F11)*E11</f>
        <v>102.90000000000265</v>
      </c>
      <c r="I11" s="19"/>
      <c r="J11" s="20"/>
    </row>
    <row r="12" spans="1:10" ht="15.75" x14ac:dyDescent="0.25">
      <c r="A12" s="27" t="s">
        <v>23</v>
      </c>
      <c r="B12" s="144" t="s">
        <v>13</v>
      </c>
      <c r="C12" s="144">
        <v>51217271</v>
      </c>
      <c r="D12" s="145" t="s">
        <v>21</v>
      </c>
      <c r="E12" s="144">
        <v>21000</v>
      </c>
      <c r="F12" s="21">
        <v>667.02250000000004</v>
      </c>
      <c r="G12" s="21">
        <v>669.84730000000002</v>
      </c>
      <c r="H12" s="18">
        <f t="shared" si="0"/>
        <v>59320.799999999625</v>
      </c>
      <c r="I12" s="19"/>
      <c r="J12" s="20"/>
    </row>
    <row r="13" spans="1:10" ht="15.75" x14ac:dyDescent="0.25">
      <c r="A13" s="27" t="s">
        <v>24</v>
      </c>
      <c r="B13" s="144" t="s">
        <v>13</v>
      </c>
      <c r="C13" s="144">
        <v>51217276</v>
      </c>
      <c r="D13" s="145" t="s">
        <v>21</v>
      </c>
      <c r="E13" s="144">
        <v>21000</v>
      </c>
      <c r="F13" s="28">
        <v>0.59289999999999998</v>
      </c>
      <c r="G13" s="28">
        <v>0.59530000000000005</v>
      </c>
      <c r="H13" s="18">
        <f>(G13-F13)*E13</f>
        <v>50.400000000001441</v>
      </c>
      <c r="I13" s="19"/>
      <c r="J13" s="20"/>
    </row>
    <row r="14" spans="1:10" ht="15.75" x14ac:dyDescent="0.25">
      <c r="A14" s="27" t="s">
        <v>25</v>
      </c>
      <c r="B14" s="144" t="s">
        <v>13</v>
      </c>
      <c r="C14" s="144">
        <v>51100990</v>
      </c>
      <c r="D14" s="145" t="s">
        <v>21</v>
      </c>
      <c r="E14" s="144">
        <v>21000</v>
      </c>
      <c r="F14" s="29">
        <v>716.19100000000003</v>
      </c>
      <c r="G14" s="29">
        <v>719.11410000000001</v>
      </c>
      <c r="H14" s="18">
        <f t="shared" si="0"/>
        <v>61385.099999999511</v>
      </c>
      <c r="I14" s="19"/>
      <c r="J14" s="20"/>
    </row>
    <row r="15" spans="1:10" ht="15.75" x14ac:dyDescent="0.25">
      <c r="A15" s="27" t="s">
        <v>26</v>
      </c>
      <c r="B15" s="144" t="s">
        <v>13</v>
      </c>
      <c r="C15" s="144">
        <v>51097622</v>
      </c>
      <c r="D15" s="145" t="s">
        <v>21</v>
      </c>
      <c r="E15" s="144">
        <v>21000</v>
      </c>
      <c r="F15" s="21">
        <v>9.2812000000000001</v>
      </c>
      <c r="G15" s="21">
        <v>9.2931000000000008</v>
      </c>
      <c r="H15" s="18">
        <f t="shared" si="0"/>
        <v>249.90000000001444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44"/>
      <c r="D16" s="145"/>
      <c r="E16" s="144"/>
      <c r="F16" s="21"/>
      <c r="G16" s="21"/>
      <c r="H16" s="23">
        <f>H10+H11+H12+H13+H14+H15</f>
        <v>187996.1999999999</v>
      </c>
      <c r="I16" s="19"/>
      <c r="J16" s="20"/>
    </row>
    <row r="17" spans="1:10" ht="15.75" x14ac:dyDescent="0.25">
      <c r="A17" s="26" t="s">
        <v>29</v>
      </c>
      <c r="B17" s="144" t="s">
        <v>13</v>
      </c>
      <c r="C17" s="144">
        <v>51097617</v>
      </c>
      <c r="D17" s="145" t="s">
        <v>30</v>
      </c>
      <c r="E17" s="144">
        <v>18000</v>
      </c>
      <c r="F17" s="30">
        <v>878.5521</v>
      </c>
      <c r="G17" s="30">
        <v>882.68039999999996</v>
      </c>
      <c r="H17" s="18">
        <f>(G17-F17)*E17</f>
        <v>74309.399999999412</v>
      </c>
      <c r="I17" s="19"/>
      <c r="J17" s="20"/>
    </row>
    <row r="18" spans="1:10" ht="15.75" x14ac:dyDescent="0.25">
      <c r="A18" s="26" t="s">
        <v>31</v>
      </c>
      <c r="B18" s="144" t="s">
        <v>13</v>
      </c>
      <c r="C18" s="144">
        <v>51097655</v>
      </c>
      <c r="D18" s="145" t="s">
        <v>30</v>
      </c>
      <c r="E18" s="144">
        <v>18000</v>
      </c>
      <c r="F18" s="30">
        <v>11.5421</v>
      </c>
      <c r="G18" s="30">
        <v>11.5421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44"/>
      <c r="D19" s="145"/>
      <c r="E19" s="144"/>
      <c r="F19" s="30"/>
      <c r="G19" s="30"/>
      <c r="H19" s="23">
        <f>H17+H18</f>
        <v>74309.399999999412</v>
      </c>
      <c r="I19" s="24">
        <f>H19-H34</f>
        <v>3351.4199999989214</v>
      </c>
      <c r="J19" s="25">
        <f>I19/H19</f>
        <v>4.5100888985766911E-2</v>
      </c>
    </row>
    <row r="20" spans="1:10" ht="15.75" x14ac:dyDescent="0.25">
      <c r="A20" s="15" t="s">
        <v>33</v>
      </c>
      <c r="B20" s="144" t="s">
        <v>13</v>
      </c>
      <c r="C20" s="144">
        <v>51217282</v>
      </c>
      <c r="D20" s="145" t="s">
        <v>34</v>
      </c>
      <c r="E20" s="144">
        <v>4800</v>
      </c>
      <c r="F20" s="21">
        <v>382.63839999999999</v>
      </c>
      <c r="G20" s="21">
        <v>384.86500000000001</v>
      </c>
      <c r="H20" s="18">
        <f t="shared" ref="H20:H33" si="1">(G20-F20)*E20</f>
        <v>10687.680000000091</v>
      </c>
      <c r="I20" s="19" t="s">
        <v>27</v>
      </c>
      <c r="J20" s="20"/>
    </row>
    <row r="21" spans="1:10" ht="15.75" x14ac:dyDescent="0.25">
      <c r="A21" s="15" t="s">
        <v>35</v>
      </c>
      <c r="B21" s="144" t="s">
        <v>13</v>
      </c>
      <c r="C21" s="144">
        <v>51217274</v>
      </c>
      <c r="D21" s="145" t="s">
        <v>34</v>
      </c>
      <c r="E21" s="144">
        <v>4800</v>
      </c>
      <c r="F21" s="21">
        <v>1374.7983999999999</v>
      </c>
      <c r="G21" s="21">
        <v>1378.1063999999999</v>
      </c>
      <c r="H21" s="18">
        <f t="shared" si="1"/>
        <v>15878.399999999965</v>
      </c>
      <c r="I21" s="19"/>
      <c r="J21" s="20"/>
    </row>
    <row r="22" spans="1:10" ht="15.75" x14ac:dyDescent="0.25">
      <c r="A22" s="15" t="s">
        <v>36</v>
      </c>
      <c r="B22" s="144" t="s">
        <v>13</v>
      </c>
      <c r="C22" s="144">
        <v>51097664</v>
      </c>
      <c r="D22" s="145" t="s">
        <v>37</v>
      </c>
      <c r="E22" s="144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44" t="s">
        <v>13</v>
      </c>
      <c r="C23" s="144">
        <v>51097615</v>
      </c>
      <c r="D23" s="145" t="s">
        <v>37</v>
      </c>
      <c r="E23" s="144">
        <v>600</v>
      </c>
      <c r="F23" s="21">
        <v>45.540900000000001</v>
      </c>
      <c r="G23" s="21">
        <v>45.825400000000002</v>
      </c>
      <c r="H23" s="18">
        <f t="shared" si="1"/>
        <v>170.70000000000078</v>
      </c>
      <c r="I23" s="19"/>
      <c r="J23" s="20"/>
    </row>
    <row r="24" spans="1:10" ht="15.75" x14ac:dyDescent="0.25">
      <c r="A24" s="15" t="s">
        <v>39</v>
      </c>
      <c r="B24" s="144" t="s">
        <v>13</v>
      </c>
      <c r="C24" s="144">
        <v>51217264</v>
      </c>
      <c r="D24" s="145" t="s">
        <v>37</v>
      </c>
      <c r="E24" s="144">
        <v>600</v>
      </c>
      <c r="F24" s="21">
        <v>106.51220000000001</v>
      </c>
      <c r="G24" s="21">
        <v>107.1606</v>
      </c>
      <c r="H24" s="18">
        <f t="shared" si="1"/>
        <v>389.03999999999712</v>
      </c>
      <c r="I24" s="19"/>
      <c r="J24" s="20"/>
    </row>
    <row r="25" spans="1:10" ht="15.75" x14ac:dyDescent="0.25">
      <c r="A25" s="15" t="s">
        <v>40</v>
      </c>
      <c r="B25" s="144" t="s">
        <v>13</v>
      </c>
      <c r="C25" s="144">
        <v>51217288</v>
      </c>
      <c r="D25" s="145" t="s">
        <v>37</v>
      </c>
      <c r="E25" s="144">
        <v>600</v>
      </c>
      <c r="F25" s="21">
        <v>20.6081</v>
      </c>
      <c r="G25" s="21">
        <v>20.639600000000002</v>
      </c>
      <c r="H25" s="18">
        <f t="shared" si="1"/>
        <v>18.900000000000716</v>
      </c>
      <c r="I25" s="19" t="s">
        <v>27</v>
      </c>
      <c r="J25" s="20"/>
    </row>
    <row r="26" spans="1:10" ht="15.75" x14ac:dyDescent="0.25">
      <c r="A26" s="15" t="s">
        <v>41</v>
      </c>
      <c r="B26" s="144" t="s">
        <v>13</v>
      </c>
      <c r="C26" s="144">
        <v>51217279</v>
      </c>
      <c r="D26" s="145" t="s">
        <v>37</v>
      </c>
      <c r="E26" s="144">
        <v>600</v>
      </c>
      <c r="F26" s="21">
        <v>15.5352</v>
      </c>
      <c r="G26" s="21">
        <v>15.5901</v>
      </c>
      <c r="H26" s="18">
        <f t="shared" si="1"/>
        <v>32.939999999999969</v>
      </c>
      <c r="I26" s="19" t="s">
        <v>27</v>
      </c>
      <c r="J26" s="20"/>
    </row>
    <row r="27" spans="1:10" ht="15.75" x14ac:dyDescent="0.25">
      <c r="A27" s="15" t="s">
        <v>42</v>
      </c>
      <c r="B27" s="144" t="s">
        <v>13</v>
      </c>
      <c r="C27" s="144">
        <v>51217272</v>
      </c>
      <c r="D27" s="145" t="s">
        <v>37</v>
      </c>
      <c r="E27" s="144">
        <v>600</v>
      </c>
      <c r="F27" s="31">
        <v>15.2372</v>
      </c>
      <c r="G27" s="31">
        <v>15.2912</v>
      </c>
      <c r="H27" s="18">
        <f t="shared" si="1"/>
        <v>32.400000000000162</v>
      </c>
      <c r="I27" s="19"/>
      <c r="J27" s="20"/>
    </row>
    <row r="28" spans="1:10" ht="15.75" x14ac:dyDescent="0.25">
      <c r="A28" s="15" t="s">
        <v>43</v>
      </c>
      <c r="B28" s="144" t="s">
        <v>13</v>
      </c>
      <c r="C28" s="144">
        <v>51616744</v>
      </c>
      <c r="D28" s="145">
        <f>300/5</f>
        <v>60</v>
      </c>
      <c r="E28" s="144">
        <v>3600</v>
      </c>
      <c r="F28" s="31">
        <v>109.78489999999999</v>
      </c>
      <c r="G28" s="31">
        <v>109.78489999999999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44" t="s">
        <v>13</v>
      </c>
      <c r="C29" s="144">
        <v>51555226</v>
      </c>
      <c r="D29" s="145">
        <f>300/5</f>
        <v>60</v>
      </c>
      <c r="E29" s="144">
        <v>3600</v>
      </c>
      <c r="F29" s="31">
        <v>535.45249999999999</v>
      </c>
      <c r="G29" s="31">
        <v>539.59630000000004</v>
      </c>
      <c r="H29" s="18">
        <f>(G29-F29)*E29</f>
        <v>14917.6800000002</v>
      </c>
      <c r="I29" s="19"/>
      <c r="J29" s="20"/>
    </row>
    <row r="30" spans="1:10" ht="15.75" x14ac:dyDescent="0.25">
      <c r="A30" s="15" t="s">
        <v>45</v>
      </c>
      <c r="B30" s="144" t="s">
        <v>13</v>
      </c>
      <c r="C30" s="144">
        <v>51097658</v>
      </c>
      <c r="D30" s="145" t="s">
        <v>34</v>
      </c>
      <c r="E30" s="144">
        <v>4800</v>
      </c>
      <c r="F30" s="31">
        <v>686.30439999999999</v>
      </c>
      <c r="G30" s="31">
        <v>689.80550000000005</v>
      </c>
      <c r="H30" s="18">
        <f t="shared" si="1"/>
        <v>16805.280000000312</v>
      </c>
      <c r="I30" s="19"/>
      <c r="J30" s="20"/>
    </row>
    <row r="31" spans="1:10" ht="15.75" x14ac:dyDescent="0.25">
      <c r="A31" s="15" t="s">
        <v>46</v>
      </c>
      <c r="B31" s="144" t="s">
        <v>13</v>
      </c>
      <c r="C31" s="144">
        <v>51097635</v>
      </c>
      <c r="D31" s="145" t="s">
        <v>34</v>
      </c>
      <c r="E31" s="144">
        <v>4800</v>
      </c>
      <c r="F31" s="31">
        <v>48.475700000000003</v>
      </c>
      <c r="G31" s="31">
        <v>48.476599999999998</v>
      </c>
      <c r="H31" s="18">
        <f t="shared" si="1"/>
        <v>4.3199999999728789</v>
      </c>
      <c r="I31" s="19"/>
      <c r="J31" s="20"/>
    </row>
    <row r="32" spans="1:10" ht="15.75" x14ac:dyDescent="0.25">
      <c r="A32" s="15" t="s">
        <v>47</v>
      </c>
      <c r="B32" s="144" t="s">
        <v>13</v>
      </c>
      <c r="C32" s="32">
        <v>51097633</v>
      </c>
      <c r="D32" s="145" t="s">
        <v>34</v>
      </c>
      <c r="E32" s="144">
        <v>4800</v>
      </c>
      <c r="F32" s="31">
        <v>194.1456</v>
      </c>
      <c r="G32" s="31">
        <v>196.6</v>
      </c>
      <c r="H32" s="33">
        <f t="shared" si="1"/>
        <v>11781.119999999964</v>
      </c>
      <c r="I32" s="34"/>
      <c r="J32" s="35"/>
    </row>
    <row r="33" spans="1:10" ht="15.75" x14ac:dyDescent="0.25">
      <c r="A33" s="15" t="s">
        <v>48</v>
      </c>
      <c r="B33" s="144" t="s">
        <v>13</v>
      </c>
      <c r="C33" s="32">
        <v>51097662</v>
      </c>
      <c r="D33" s="145" t="s">
        <v>34</v>
      </c>
      <c r="E33" s="144">
        <v>4800</v>
      </c>
      <c r="F33" s="31">
        <v>4.0486000000000004</v>
      </c>
      <c r="G33" s="31">
        <v>4.0984999999999996</v>
      </c>
      <c r="H33" s="33">
        <f t="shared" si="1"/>
        <v>239.519999999996</v>
      </c>
      <c r="I33" s="34"/>
      <c r="J33" s="35"/>
    </row>
    <row r="34" spans="1:10" ht="15.75" x14ac:dyDescent="0.25">
      <c r="A34" s="218" t="s">
        <v>49</v>
      </c>
      <c r="B34" s="219"/>
      <c r="C34" s="144"/>
      <c r="D34" s="145"/>
      <c r="E34" s="144"/>
      <c r="F34" s="36"/>
      <c r="G34" s="36"/>
      <c r="H34" s="23">
        <f>H20+H21+H22+H23+H24+H25+H26+H27+H28+H29+H30+H31+H32+H33</f>
        <v>70957.980000000491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44" t="s">
        <v>52</v>
      </c>
      <c r="C36" s="144">
        <v>51555209</v>
      </c>
      <c r="D36" s="145" t="s">
        <v>53</v>
      </c>
      <c r="E36" s="144">
        <v>7000</v>
      </c>
      <c r="F36" s="17">
        <v>6.0861000000000001</v>
      </c>
      <c r="G36" s="17">
        <v>6.1002999999999998</v>
      </c>
      <c r="H36" s="41">
        <f>(G36-F36)*E36</f>
        <v>99.399999999998386</v>
      </c>
      <c r="I36" s="42"/>
      <c r="J36" s="14"/>
    </row>
    <row r="37" spans="1:10" ht="15.75" x14ac:dyDescent="0.25">
      <c r="A37" s="15" t="s">
        <v>54</v>
      </c>
      <c r="B37" s="144" t="s">
        <v>52</v>
      </c>
      <c r="C37" s="144">
        <v>51555209</v>
      </c>
      <c r="D37" s="145" t="s">
        <v>53</v>
      </c>
      <c r="E37" s="144">
        <v>7000</v>
      </c>
      <c r="F37" s="21">
        <v>10.573499999999999</v>
      </c>
      <c r="G37" s="21">
        <v>10.6243</v>
      </c>
      <c r="H37" s="18">
        <f>(G37-F37)*E37</f>
        <v>355.60000000000434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44" t="s">
        <v>52</v>
      </c>
      <c r="C39" s="144">
        <v>51097674</v>
      </c>
      <c r="D39" s="144" t="s">
        <v>14</v>
      </c>
      <c r="E39" s="144">
        <v>7200</v>
      </c>
      <c r="F39" s="21">
        <v>611.29459999999995</v>
      </c>
      <c r="G39" s="21">
        <v>613.63649999999996</v>
      </c>
      <c r="H39" s="18">
        <f>(G39-F39)*E39</f>
        <v>16861.680000000069</v>
      </c>
      <c r="I39" s="47"/>
      <c r="J39" s="20"/>
    </row>
    <row r="40" spans="1:10" ht="15.75" x14ac:dyDescent="0.25">
      <c r="A40" s="27" t="s">
        <v>57</v>
      </c>
      <c r="B40" s="144" t="s">
        <v>52</v>
      </c>
      <c r="C40" s="144">
        <v>51259257</v>
      </c>
      <c r="D40" s="144" t="s">
        <v>14</v>
      </c>
      <c r="E40" s="144">
        <v>7200</v>
      </c>
      <c r="F40" s="21">
        <v>1.0555000000000001</v>
      </c>
      <c r="G40" s="21">
        <v>1.0555000000000001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44"/>
      <c r="C41" s="144"/>
      <c r="D41" s="144"/>
      <c r="E41" s="144"/>
      <c r="F41" s="21"/>
      <c r="G41" s="21"/>
      <c r="H41" s="48">
        <f>H39+H40</f>
        <v>16861.680000000069</v>
      </c>
      <c r="I41" s="24">
        <f>H41-H49</f>
        <v>-120.91999999983818</v>
      </c>
      <c r="J41" s="25">
        <f>I41/H41</f>
        <v>-7.1712901679926132E-3</v>
      </c>
    </row>
    <row r="42" spans="1:10" ht="15.75" x14ac:dyDescent="0.25">
      <c r="A42" s="15" t="s">
        <v>59</v>
      </c>
      <c r="B42" s="144"/>
      <c r="C42" s="144"/>
      <c r="D42" s="145"/>
      <c r="E42" s="144"/>
      <c r="H42" s="18"/>
      <c r="I42" s="43"/>
      <c r="J42" s="20"/>
    </row>
    <row r="43" spans="1:10" ht="15.75" x14ac:dyDescent="0.25">
      <c r="A43" s="27" t="s">
        <v>60</v>
      </c>
      <c r="B43" s="144" t="s">
        <v>52</v>
      </c>
      <c r="C43" s="32">
        <v>51097648</v>
      </c>
      <c r="D43" s="144" t="s">
        <v>53</v>
      </c>
      <c r="E43" s="144">
        <v>1200</v>
      </c>
      <c r="F43" s="21">
        <v>500.34339999999997</v>
      </c>
      <c r="G43" s="21">
        <v>502.21969999999999</v>
      </c>
      <c r="H43" s="33">
        <f>(G43-F43)*E43</f>
        <v>2251.5600000000177</v>
      </c>
      <c r="I43" s="43"/>
      <c r="J43" s="20"/>
    </row>
    <row r="44" spans="1:10" ht="15.75" x14ac:dyDescent="0.25">
      <c r="A44" s="27" t="s">
        <v>61</v>
      </c>
      <c r="B44" s="144" t="s">
        <v>52</v>
      </c>
      <c r="C44" s="32">
        <v>50555043</v>
      </c>
      <c r="D44" s="144" t="s">
        <v>53</v>
      </c>
      <c r="E44" s="144">
        <v>1200</v>
      </c>
      <c r="F44" s="21">
        <v>2093.5671000000002</v>
      </c>
      <c r="G44" s="21">
        <v>2101.7739000000001</v>
      </c>
      <c r="H44" s="33">
        <f>(G44-F44)*E44</f>
        <v>9848.1599999999162</v>
      </c>
      <c r="I44" s="43"/>
      <c r="J44" s="20"/>
    </row>
    <row r="45" spans="1:10" ht="15.75" x14ac:dyDescent="0.25">
      <c r="A45" s="27" t="s">
        <v>62</v>
      </c>
      <c r="B45" s="144" t="s">
        <v>52</v>
      </c>
      <c r="C45" s="32">
        <v>51259336</v>
      </c>
      <c r="D45" s="144" t="s">
        <v>63</v>
      </c>
      <c r="E45" s="144">
        <v>2400</v>
      </c>
      <c r="F45" s="21">
        <v>4.2290000000000001</v>
      </c>
      <c r="G45" s="21">
        <v>4.2427999999999999</v>
      </c>
      <c r="H45" s="33">
        <f>(G45-F45)*E45</f>
        <v>33.11999999999955</v>
      </c>
      <c r="I45" s="43"/>
      <c r="J45" s="20"/>
    </row>
    <row r="46" spans="1:10" ht="15.75" x14ac:dyDescent="0.25">
      <c r="A46" s="27" t="s">
        <v>64</v>
      </c>
      <c r="B46" s="144" t="s">
        <v>52</v>
      </c>
      <c r="C46" s="32">
        <v>51259266</v>
      </c>
      <c r="D46" s="144" t="s">
        <v>53</v>
      </c>
      <c r="E46" s="144">
        <v>1200</v>
      </c>
      <c r="F46" s="21">
        <v>1015.7558</v>
      </c>
      <c r="G46" s="21">
        <v>1019.3949</v>
      </c>
      <c r="H46" s="33">
        <f>(G46-F46)*E46</f>
        <v>4366.9199999999819</v>
      </c>
      <c r="I46" s="43"/>
      <c r="J46" s="20"/>
    </row>
    <row r="47" spans="1:10" ht="15.75" x14ac:dyDescent="0.25">
      <c r="A47" s="27" t="s">
        <v>65</v>
      </c>
      <c r="B47" s="144" t="s">
        <v>52</v>
      </c>
      <c r="C47" s="32">
        <v>51431336</v>
      </c>
      <c r="D47" s="144" t="s">
        <v>53</v>
      </c>
      <c r="E47" s="144">
        <v>1200</v>
      </c>
      <c r="F47" s="21">
        <v>60.411900000000003</v>
      </c>
      <c r="G47" s="21">
        <v>60.772599999999997</v>
      </c>
      <c r="H47" s="33">
        <f>(G47-F47)*E47</f>
        <v>432.8399999999931</v>
      </c>
      <c r="I47" s="43"/>
      <c r="J47" s="20"/>
    </row>
    <row r="48" spans="1:10" ht="15.75" x14ac:dyDescent="0.25">
      <c r="A48" s="15" t="s">
        <v>66</v>
      </c>
      <c r="B48" s="144" t="s">
        <v>67</v>
      </c>
      <c r="C48" s="144">
        <v>49174</v>
      </c>
      <c r="D48" s="145" t="s">
        <v>53</v>
      </c>
      <c r="E48" s="144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16982.599999999908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44" t="s">
        <v>52</v>
      </c>
      <c r="C51" s="144">
        <v>51097603</v>
      </c>
      <c r="D51" s="145" t="s">
        <v>53</v>
      </c>
      <c r="E51" s="144">
        <v>7000</v>
      </c>
      <c r="F51" s="17">
        <v>1994.3313000000001</v>
      </c>
      <c r="G51" s="17">
        <v>2001.2452000000001</v>
      </c>
      <c r="H51" s="18">
        <f>(G51-F51)*E51</f>
        <v>48397.30000000009</v>
      </c>
      <c r="I51" s="43"/>
      <c r="J51" s="20"/>
    </row>
    <row r="52" spans="1:10" ht="15.75" x14ac:dyDescent="0.25">
      <c r="A52" s="27" t="s">
        <v>72</v>
      </c>
      <c r="B52" s="144" t="s">
        <v>52</v>
      </c>
      <c r="C52" s="144">
        <v>51097590</v>
      </c>
      <c r="D52" s="145" t="s">
        <v>53</v>
      </c>
      <c r="E52" s="144">
        <v>7000</v>
      </c>
      <c r="F52" s="21">
        <v>12.829700000000001</v>
      </c>
      <c r="G52" s="21">
        <v>12.8529</v>
      </c>
      <c r="H52" s="18">
        <f>(G52-F52)*E52</f>
        <v>162.39999999999455</v>
      </c>
      <c r="I52" s="43"/>
      <c r="J52" s="20"/>
    </row>
    <row r="53" spans="1:10" ht="15.75" x14ac:dyDescent="0.25">
      <c r="A53" s="15" t="s">
        <v>66</v>
      </c>
      <c r="B53" s="144" t="s">
        <v>67</v>
      </c>
      <c r="C53" s="144">
        <v>49174</v>
      </c>
      <c r="D53" s="145" t="s">
        <v>53</v>
      </c>
      <c r="E53" s="144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44"/>
      <c r="D54" s="145"/>
      <c r="E54" s="144"/>
      <c r="F54" s="21"/>
      <c r="G54" s="21"/>
      <c r="H54" s="48">
        <f>H51+H52+H53</f>
        <v>48659.700000000084</v>
      </c>
      <c r="I54" s="47"/>
      <c r="J54" s="59"/>
    </row>
    <row r="55" spans="1:10" ht="15.75" x14ac:dyDescent="0.25">
      <c r="A55" s="27" t="s">
        <v>74</v>
      </c>
      <c r="B55" s="144" t="s">
        <v>52</v>
      </c>
      <c r="C55" s="144">
        <v>51100980</v>
      </c>
      <c r="D55" s="144" t="s">
        <v>75</v>
      </c>
      <c r="E55" s="144">
        <v>12000</v>
      </c>
      <c r="F55" s="21">
        <v>1173.2809</v>
      </c>
      <c r="G55" s="21">
        <v>1177.33</v>
      </c>
      <c r="H55" s="18">
        <f>(G55-F55)*E55</f>
        <v>48589.199999999437</v>
      </c>
      <c r="I55" s="47"/>
      <c r="J55" s="58"/>
    </row>
    <row r="56" spans="1:10" ht="15.75" x14ac:dyDescent="0.25">
      <c r="A56" s="27" t="s">
        <v>76</v>
      </c>
      <c r="B56" s="144" t="s">
        <v>52</v>
      </c>
      <c r="C56" s="144">
        <v>51097623</v>
      </c>
      <c r="D56" s="144" t="s">
        <v>75</v>
      </c>
      <c r="E56" s="144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44"/>
      <c r="C57" s="144"/>
      <c r="D57" s="144"/>
      <c r="E57" s="144"/>
      <c r="F57" s="21"/>
      <c r="G57" s="21"/>
      <c r="H57" s="48">
        <f>H55+H56</f>
        <v>48589.199999999437</v>
      </c>
      <c r="I57" s="61">
        <f>H54-H64-H53</f>
        <v>-123.09999999966385</v>
      </c>
      <c r="J57" s="25">
        <f>I57/H57</f>
        <v>-2.5334848073165495E-3</v>
      </c>
    </row>
    <row r="58" spans="1:10" ht="15.75" x14ac:dyDescent="0.25">
      <c r="A58" s="27" t="s">
        <v>78</v>
      </c>
      <c r="B58" s="144" t="s">
        <v>52</v>
      </c>
      <c r="C58" s="144">
        <v>51097675</v>
      </c>
      <c r="D58" s="144" t="s">
        <v>34</v>
      </c>
      <c r="E58" s="144">
        <v>4800</v>
      </c>
      <c r="F58" s="21">
        <v>533.88130000000001</v>
      </c>
      <c r="G58" s="21">
        <v>536.90440000000001</v>
      </c>
      <c r="H58" s="18">
        <f t="shared" ref="H58:H63" si="2">(G58-F58)*E58</f>
        <v>14510.879999999997</v>
      </c>
      <c r="I58" s="62"/>
      <c r="J58" s="59"/>
    </row>
    <row r="59" spans="1:10" ht="15.75" x14ac:dyDescent="0.25">
      <c r="A59" s="27" t="s">
        <v>79</v>
      </c>
      <c r="B59" s="144" t="s">
        <v>52</v>
      </c>
      <c r="C59" s="144">
        <v>51100997</v>
      </c>
      <c r="D59" s="144" t="s">
        <v>21</v>
      </c>
      <c r="E59" s="144">
        <v>3600</v>
      </c>
      <c r="F59" s="21">
        <v>1400.9122</v>
      </c>
      <c r="G59" s="21">
        <v>1403.6704999999999</v>
      </c>
      <c r="H59" s="18">
        <f t="shared" si="2"/>
        <v>9929.8799999998664</v>
      </c>
      <c r="I59" s="62"/>
      <c r="J59" s="59"/>
    </row>
    <row r="60" spans="1:10" ht="15.75" x14ac:dyDescent="0.25">
      <c r="A60" s="27" t="s">
        <v>80</v>
      </c>
      <c r="B60" s="144" t="s">
        <v>52</v>
      </c>
      <c r="C60" s="144">
        <v>51555218</v>
      </c>
      <c r="D60" s="144">
        <f>400/5</f>
        <v>80</v>
      </c>
      <c r="E60" s="144">
        <v>4800</v>
      </c>
      <c r="F60" s="21">
        <v>68.284400000000005</v>
      </c>
      <c r="G60" s="21">
        <v>68.802800000000005</v>
      </c>
      <c r="H60" s="18">
        <f t="shared" si="2"/>
        <v>2488.3199999999988</v>
      </c>
      <c r="I60" s="62"/>
      <c r="J60" s="59"/>
    </row>
    <row r="61" spans="1:10" ht="15.75" x14ac:dyDescent="0.25">
      <c r="A61" s="27" t="s">
        <v>81</v>
      </c>
      <c r="B61" s="144" t="s">
        <v>52</v>
      </c>
      <c r="C61" s="144">
        <v>51555151</v>
      </c>
      <c r="D61" s="144">
        <f>400/5</f>
        <v>80</v>
      </c>
      <c r="E61" s="144">
        <v>4800</v>
      </c>
      <c r="F61" s="63">
        <v>0.30690000000000001</v>
      </c>
      <c r="G61" s="63">
        <v>0.30690000000000001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44" t="s">
        <v>52</v>
      </c>
      <c r="C62" s="144">
        <v>51097599</v>
      </c>
      <c r="D62" s="144" t="s">
        <v>21</v>
      </c>
      <c r="E62" s="144">
        <v>3600</v>
      </c>
      <c r="F62" s="21">
        <v>982.90380000000005</v>
      </c>
      <c r="G62" s="21">
        <v>985.35969999999998</v>
      </c>
      <c r="H62" s="18">
        <f t="shared" si="2"/>
        <v>8841.2399999997433</v>
      </c>
      <c r="I62" s="62"/>
      <c r="J62" s="59"/>
    </row>
    <row r="63" spans="1:10" ht="15.75" x14ac:dyDescent="0.25">
      <c r="A63" s="27" t="s">
        <v>83</v>
      </c>
      <c r="B63" s="144" t="s">
        <v>52</v>
      </c>
      <c r="C63" s="144">
        <v>51097620</v>
      </c>
      <c r="D63" s="144" t="s">
        <v>34</v>
      </c>
      <c r="E63" s="144">
        <v>4800</v>
      </c>
      <c r="F63" s="21">
        <v>532.87139999999999</v>
      </c>
      <c r="G63" s="21">
        <v>535.56150000000002</v>
      </c>
      <c r="H63" s="18">
        <f t="shared" si="2"/>
        <v>12912.480000000141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48682.799999999748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44" t="s">
        <v>52</v>
      </c>
      <c r="C66" s="9">
        <v>51259238</v>
      </c>
      <c r="D66" s="74" t="s">
        <v>53</v>
      </c>
      <c r="E66" s="74">
        <v>7000</v>
      </c>
      <c r="F66" s="75">
        <v>579.19770000000005</v>
      </c>
      <c r="G66" s="75">
        <v>581.87570000000005</v>
      </c>
      <c r="H66" s="76">
        <f>(G66-F66)*E66</f>
        <v>18745.999999999982</v>
      </c>
      <c r="I66" s="77"/>
      <c r="J66" s="78"/>
    </row>
    <row r="67" spans="1:10" ht="15.75" x14ac:dyDescent="0.25">
      <c r="A67" s="27" t="s">
        <v>86</v>
      </c>
      <c r="B67" s="144" t="s">
        <v>52</v>
      </c>
      <c r="C67" s="144">
        <v>51259324</v>
      </c>
      <c r="D67" s="145" t="s">
        <v>53</v>
      </c>
      <c r="E67" s="145">
        <v>7000</v>
      </c>
      <c r="F67" s="21">
        <v>448.02089999999998</v>
      </c>
      <c r="G67" s="21">
        <v>450.04399999999998</v>
      </c>
      <c r="H67" s="18">
        <f>(G67-F67)*E67</f>
        <v>14161.699999999997</v>
      </c>
      <c r="I67" s="51"/>
      <c r="J67" s="58"/>
    </row>
    <row r="68" spans="1:10" s="129" customFormat="1" ht="15.75" x14ac:dyDescent="0.25">
      <c r="A68" s="27" t="s">
        <v>87</v>
      </c>
      <c r="B68" s="79" t="s">
        <v>88</v>
      </c>
      <c r="C68" s="144">
        <v>51491618</v>
      </c>
      <c r="D68" s="145" t="s">
        <v>63</v>
      </c>
      <c r="E68" s="144">
        <v>40</v>
      </c>
      <c r="F68" s="28">
        <v>1325.6659999999999</v>
      </c>
      <c r="G68" s="28">
        <v>1334.586</v>
      </c>
      <c r="H68" s="18">
        <f>(G68-F68)*E68</f>
        <v>356.80000000000291</v>
      </c>
      <c r="I68" s="51"/>
      <c r="J68" s="58"/>
    </row>
    <row r="69" spans="1:10" s="129" customFormat="1" ht="15.75" x14ac:dyDescent="0.25">
      <c r="A69" s="27" t="s">
        <v>89</v>
      </c>
      <c r="B69" s="79" t="s">
        <v>88</v>
      </c>
      <c r="C69" s="144">
        <v>51491624</v>
      </c>
      <c r="D69" s="145" t="s">
        <v>63</v>
      </c>
      <c r="E69" s="144">
        <v>40</v>
      </c>
      <c r="F69" s="28">
        <v>178.43950000000001</v>
      </c>
      <c r="G69" s="28">
        <v>179.2</v>
      </c>
      <c r="H69" s="18">
        <f>(G69-F69)*E69</f>
        <v>30.419999999999163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32907.699999999983</v>
      </c>
      <c r="I70" s="85">
        <f>H70-H73-H68-H69</f>
        <v>-94.319999999847823</v>
      </c>
      <c r="J70" s="25">
        <f>I70/H70</f>
        <v>-2.8661984884950291E-3</v>
      </c>
    </row>
    <row r="71" spans="1:10" ht="15.75" x14ac:dyDescent="0.25">
      <c r="A71" s="27" t="s">
        <v>91</v>
      </c>
      <c r="B71" s="144" t="s">
        <v>52</v>
      </c>
      <c r="C71" s="86">
        <v>51097588</v>
      </c>
      <c r="D71" s="145" t="s">
        <v>75</v>
      </c>
      <c r="E71" s="144">
        <v>12000</v>
      </c>
      <c r="F71" s="21">
        <v>346.61680000000001</v>
      </c>
      <c r="G71" s="21">
        <v>348.1266</v>
      </c>
      <c r="H71" s="18">
        <f>(G71-F71)*E71</f>
        <v>18117.599999999809</v>
      </c>
      <c r="I71" s="51"/>
      <c r="J71" s="58"/>
    </row>
    <row r="72" spans="1:10" ht="15.75" x14ac:dyDescent="0.25">
      <c r="A72" s="27" t="s">
        <v>92</v>
      </c>
      <c r="B72" s="144" t="s">
        <v>52</v>
      </c>
      <c r="C72" s="86">
        <v>51431335</v>
      </c>
      <c r="D72" s="145" t="s">
        <v>75</v>
      </c>
      <c r="E72" s="144">
        <v>12000</v>
      </c>
      <c r="F72" s="21">
        <v>273.23719999999997</v>
      </c>
      <c r="G72" s="21">
        <v>274.44529999999997</v>
      </c>
      <c r="H72" s="18">
        <f>(G72-F72)*E72</f>
        <v>14497.200000000021</v>
      </c>
      <c r="I72" s="51"/>
      <c r="J72" s="58"/>
    </row>
    <row r="73" spans="1:10" ht="15.75" x14ac:dyDescent="0.25">
      <c r="A73" s="87" t="s">
        <v>93</v>
      </c>
      <c r="B73" s="144" t="s">
        <v>27</v>
      </c>
      <c r="C73" s="144"/>
      <c r="D73" s="145"/>
      <c r="E73" s="144"/>
      <c r="F73" s="21"/>
      <c r="G73" s="21"/>
      <c r="H73" s="48">
        <f>H71+ H72</f>
        <v>32614.799999999828</v>
      </c>
      <c r="I73" s="85">
        <f>H73-H81</f>
        <v>-62.100000000122236</v>
      </c>
      <c r="J73" s="25">
        <f>I73/H73</f>
        <v>-1.9040435630487559E-3</v>
      </c>
    </row>
    <row r="74" spans="1:10" ht="15.75" x14ac:dyDescent="0.25">
      <c r="A74" s="27" t="s">
        <v>94</v>
      </c>
      <c r="B74" s="144" t="s">
        <v>52</v>
      </c>
      <c r="C74" s="86">
        <v>51097676</v>
      </c>
      <c r="D74" s="88" t="s">
        <v>63</v>
      </c>
      <c r="E74" s="144">
        <v>2400</v>
      </c>
      <c r="F74" s="21">
        <v>725.72529999999995</v>
      </c>
      <c r="G74" s="21">
        <v>728.93</v>
      </c>
      <c r="H74" s="18">
        <f>(G74-F74)*E74</f>
        <v>7691.2800000000061</v>
      </c>
      <c r="I74" s="51"/>
      <c r="J74" s="58"/>
    </row>
    <row r="75" spans="1:10" ht="15.75" x14ac:dyDescent="0.25">
      <c r="A75" s="27" t="s">
        <v>95</v>
      </c>
      <c r="B75" s="144" t="s">
        <v>52</v>
      </c>
      <c r="C75" s="86">
        <v>51431355</v>
      </c>
      <c r="D75" s="145" t="s">
        <v>21</v>
      </c>
      <c r="E75" s="145">
        <v>3600</v>
      </c>
      <c r="F75" s="21">
        <v>376.46899999999999</v>
      </c>
      <c r="G75" s="21">
        <v>377.83260000000001</v>
      </c>
      <c r="H75" s="18">
        <f>(G75-F75)*E75</f>
        <v>4908.9600000000701</v>
      </c>
      <c r="I75" s="51"/>
      <c r="J75" s="52"/>
    </row>
    <row r="76" spans="1:10" ht="15.75" x14ac:dyDescent="0.25">
      <c r="A76" s="27" t="s">
        <v>96</v>
      </c>
      <c r="B76" s="144" t="s">
        <v>52</v>
      </c>
      <c r="C76" s="86">
        <v>51259331</v>
      </c>
      <c r="D76" s="88" t="s">
        <v>37</v>
      </c>
      <c r="E76" s="144">
        <v>600</v>
      </c>
      <c r="F76" s="21">
        <v>171.60210000000001</v>
      </c>
      <c r="G76" s="21">
        <v>172.42920000000001</v>
      </c>
      <c r="H76" s="18">
        <f>(G76-F76)*E76</f>
        <v>496.2600000000009</v>
      </c>
      <c r="I76" s="51"/>
      <c r="J76" s="52"/>
    </row>
    <row r="77" spans="1:10" ht="15.75" x14ac:dyDescent="0.25">
      <c r="A77" s="27" t="s">
        <v>97</v>
      </c>
      <c r="B77" s="144" t="s">
        <v>52</v>
      </c>
      <c r="C77" s="86">
        <v>51259326</v>
      </c>
      <c r="D77" s="88" t="s">
        <v>14</v>
      </c>
      <c r="E77" s="144">
        <v>7200</v>
      </c>
      <c r="F77" s="21">
        <v>342.8313</v>
      </c>
      <c r="G77" s="21">
        <v>344.28719999999998</v>
      </c>
      <c r="H77" s="18">
        <f>(G77-F77)*E77</f>
        <v>10482.479999999896</v>
      </c>
      <c r="I77" s="51"/>
      <c r="J77" s="52"/>
    </row>
    <row r="78" spans="1:10" ht="15.75" x14ac:dyDescent="0.25">
      <c r="A78" s="27" t="s">
        <v>98</v>
      </c>
      <c r="B78" s="144" t="s">
        <v>52</v>
      </c>
      <c r="C78" s="86">
        <v>51431351</v>
      </c>
      <c r="D78" s="88" t="s">
        <v>14</v>
      </c>
      <c r="E78" s="144">
        <v>7200</v>
      </c>
      <c r="F78" s="21">
        <v>247.7629</v>
      </c>
      <c r="G78" s="21">
        <v>249.0265</v>
      </c>
      <c r="H78" s="18">
        <f>(G78-F78)*E78</f>
        <v>9097.9199999999764</v>
      </c>
      <c r="I78" s="51"/>
      <c r="J78" s="52"/>
    </row>
    <row r="79" spans="1:10" ht="15.75" x14ac:dyDescent="0.25">
      <c r="A79" s="89" t="s">
        <v>99</v>
      </c>
      <c r="B79" s="144" t="s">
        <v>52</v>
      </c>
      <c r="C79" s="90">
        <v>51097666</v>
      </c>
      <c r="D79" s="88" t="s">
        <v>63</v>
      </c>
      <c r="E79" s="144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44" t="s">
        <v>52</v>
      </c>
      <c r="C80" s="90">
        <v>51259323</v>
      </c>
      <c r="D80" s="88" t="s">
        <v>63</v>
      </c>
      <c r="E80" s="144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32676.899999999951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44" t="s">
        <v>52</v>
      </c>
      <c r="C83" s="106">
        <v>51431297</v>
      </c>
      <c r="D83" s="145" t="s">
        <v>53</v>
      </c>
      <c r="E83" s="100">
        <v>7000</v>
      </c>
      <c r="F83" s="17">
        <v>298.9051</v>
      </c>
      <c r="G83" s="17">
        <v>301.44900000000001</v>
      </c>
      <c r="H83" s="18">
        <f>(G83-F83)*E83</f>
        <v>17807.300000000054</v>
      </c>
      <c r="I83" s="107"/>
      <c r="J83" s="108"/>
    </row>
    <row r="84" spans="1:10" ht="15.75" x14ac:dyDescent="0.25">
      <c r="A84" s="105" t="s">
        <v>86</v>
      </c>
      <c r="B84" s="144" t="s">
        <v>52</v>
      </c>
      <c r="C84" s="106">
        <v>51431332</v>
      </c>
      <c r="D84" s="145" t="s">
        <v>53</v>
      </c>
      <c r="E84" s="100">
        <v>7000</v>
      </c>
      <c r="F84" s="17">
        <v>358.49149999999997</v>
      </c>
      <c r="G84" s="17">
        <v>358.70699999999999</v>
      </c>
      <c r="H84" s="18">
        <f>(G84-F84)*E84</f>
        <v>1508.5000000001401</v>
      </c>
      <c r="I84" s="144"/>
      <c r="J84" s="58"/>
    </row>
    <row r="85" spans="1:10" s="129" customFormat="1" ht="15.75" x14ac:dyDescent="0.25">
      <c r="A85" s="27" t="s">
        <v>87</v>
      </c>
      <c r="B85" s="144" t="s">
        <v>103</v>
      </c>
      <c r="C85" s="109">
        <v>150773</v>
      </c>
      <c r="D85" s="145" t="s">
        <v>53</v>
      </c>
      <c r="E85" s="109">
        <v>20</v>
      </c>
      <c r="F85" s="17">
        <v>15705.5</v>
      </c>
      <c r="G85" s="17">
        <v>15709</v>
      </c>
      <c r="H85" s="18">
        <f>(G85-F85)*E85</f>
        <v>70</v>
      </c>
      <c r="I85" s="51"/>
      <c r="J85" s="58"/>
    </row>
    <row r="86" spans="1:10" s="129" customFormat="1" ht="15.75" x14ac:dyDescent="0.25">
      <c r="A86" s="27" t="s">
        <v>89</v>
      </c>
      <c r="B86" s="144" t="s">
        <v>103</v>
      </c>
      <c r="C86" s="109">
        <v>150791</v>
      </c>
      <c r="D86" s="145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46"/>
      <c r="C87" s="32"/>
      <c r="D87" s="82"/>
      <c r="E87" s="82"/>
      <c r="F87" s="21"/>
      <c r="G87" s="21"/>
      <c r="H87" s="48">
        <f>H83+H84</f>
        <v>19315.800000000192</v>
      </c>
      <c r="I87" s="85">
        <f>H87-H90-H85-H86</f>
        <v>357.32000000002881</v>
      </c>
      <c r="J87" s="25">
        <f>I87/H87</f>
        <v>1.8498845504717653E-2</v>
      </c>
    </row>
    <row r="88" spans="1:10" ht="15.75" x14ac:dyDescent="0.25">
      <c r="A88" s="27" t="s">
        <v>104</v>
      </c>
      <c r="B88" s="144" t="s">
        <v>52</v>
      </c>
      <c r="C88" s="106">
        <v>51431342</v>
      </c>
      <c r="D88" s="88" t="s">
        <v>34</v>
      </c>
      <c r="E88" s="144">
        <v>4800</v>
      </c>
      <c r="F88" s="21">
        <v>424.81189999999998</v>
      </c>
      <c r="G88" s="21">
        <v>428.47890000000001</v>
      </c>
      <c r="H88" s="18">
        <f>(G88-F88)*E88</f>
        <v>17601.600000000144</v>
      </c>
      <c r="I88" s="51"/>
      <c r="J88" s="52"/>
    </row>
    <row r="89" spans="1:10" ht="15.75" x14ac:dyDescent="0.25">
      <c r="A89" s="27" t="s">
        <v>105</v>
      </c>
      <c r="B89" s="144" t="s">
        <v>52</v>
      </c>
      <c r="C89" s="106">
        <v>51431343</v>
      </c>
      <c r="D89" s="88" t="s">
        <v>34</v>
      </c>
      <c r="E89" s="144">
        <v>4800</v>
      </c>
      <c r="F89" s="21">
        <v>506.09550000000002</v>
      </c>
      <c r="G89" s="21">
        <v>506.36360000000002</v>
      </c>
      <c r="H89" s="18">
        <f>(G89-F89)*E89</f>
        <v>1286.8800000000192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18888.480000000163</v>
      </c>
      <c r="I90" s="85">
        <f>H90-H98</f>
        <v>-4.180000000014843</v>
      </c>
      <c r="J90" s="25">
        <f>I90/H90</f>
        <v>-2.2129890811832433E-4</v>
      </c>
    </row>
    <row r="91" spans="1:10" ht="15.75" x14ac:dyDescent="0.25">
      <c r="A91" s="27" t="s">
        <v>107</v>
      </c>
      <c r="B91" s="144" t="s">
        <v>52</v>
      </c>
      <c r="C91" s="106">
        <v>51431347</v>
      </c>
      <c r="D91" s="145" t="s">
        <v>53</v>
      </c>
      <c r="E91" s="144">
        <v>1200</v>
      </c>
      <c r="F91" s="21">
        <v>1202.1474000000001</v>
      </c>
      <c r="G91" s="21">
        <v>1202.1474000000001</v>
      </c>
      <c r="H91" s="18">
        <f>(G91-F91)*E91</f>
        <v>0</v>
      </c>
      <c r="I91" s="51"/>
      <c r="J91" s="52"/>
    </row>
    <row r="92" spans="1:10" ht="15.75" x14ac:dyDescent="0.25">
      <c r="A92" s="27" t="s">
        <v>108</v>
      </c>
      <c r="B92" s="144" t="s">
        <v>52</v>
      </c>
      <c r="C92" s="106">
        <v>51431339</v>
      </c>
      <c r="D92" s="145" t="s">
        <v>53</v>
      </c>
      <c r="E92" s="144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44" t="s">
        <v>52</v>
      </c>
      <c r="C93" s="106">
        <v>51217244</v>
      </c>
      <c r="D93" s="144" t="s">
        <v>37</v>
      </c>
      <c r="E93" s="144">
        <v>600</v>
      </c>
      <c r="F93" s="30">
        <v>339.65109999999999</v>
      </c>
      <c r="G93" s="30">
        <v>341.67430000000002</v>
      </c>
      <c r="H93" s="18">
        <f t="shared" si="4"/>
        <v>1213.9200000000187</v>
      </c>
      <c r="I93" s="51"/>
      <c r="J93" s="52"/>
    </row>
    <row r="94" spans="1:10" ht="15.75" x14ac:dyDescent="0.25">
      <c r="A94" s="27" t="s">
        <v>110</v>
      </c>
      <c r="B94" s="144" t="s">
        <v>52</v>
      </c>
      <c r="C94" s="106">
        <v>51217267</v>
      </c>
      <c r="D94" s="88" t="s">
        <v>63</v>
      </c>
      <c r="E94" s="144">
        <v>2400</v>
      </c>
      <c r="F94" s="30">
        <v>20.507000000000001</v>
      </c>
      <c r="G94" s="30">
        <v>20.5382</v>
      </c>
      <c r="H94" s="18">
        <f t="shared" si="4"/>
        <v>74.879999999996016</v>
      </c>
      <c r="I94" s="51"/>
      <c r="J94" s="52"/>
    </row>
    <row r="95" spans="1:10" ht="15.75" x14ac:dyDescent="0.25">
      <c r="A95" s="27" t="s">
        <v>111</v>
      </c>
      <c r="B95" s="144" t="s">
        <v>52</v>
      </c>
      <c r="C95" s="144">
        <v>51555165</v>
      </c>
      <c r="D95" s="145" t="s">
        <v>53</v>
      </c>
      <c r="E95" s="144">
        <v>1200</v>
      </c>
      <c r="F95" s="30">
        <v>909.01919999999996</v>
      </c>
      <c r="G95" s="30">
        <v>917.68240000000003</v>
      </c>
      <c r="H95" s="18">
        <f t="shared" si="4"/>
        <v>10395.840000000089</v>
      </c>
      <c r="I95" s="51" t="s">
        <v>27</v>
      </c>
      <c r="J95" s="52"/>
    </row>
    <row r="96" spans="1:10" ht="15.75" x14ac:dyDescent="0.25">
      <c r="A96" s="113" t="s">
        <v>112</v>
      </c>
      <c r="B96" s="144" t="s">
        <v>52</v>
      </c>
      <c r="C96" s="106">
        <v>51431346</v>
      </c>
      <c r="D96" s="114" t="s">
        <v>37</v>
      </c>
      <c r="E96" s="114">
        <v>600</v>
      </c>
      <c r="F96" s="30">
        <v>366.26490000000001</v>
      </c>
      <c r="G96" s="30">
        <v>367.28719999999998</v>
      </c>
      <c r="H96" s="115">
        <f t="shared" si="4"/>
        <v>613.37999999998374</v>
      </c>
      <c r="I96" s="116"/>
      <c r="J96" s="117"/>
    </row>
    <row r="97" spans="1:10" ht="15.75" x14ac:dyDescent="0.25">
      <c r="A97" s="27" t="s">
        <v>113</v>
      </c>
      <c r="B97" s="144" t="s">
        <v>52</v>
      </c>
      <c r="C97" s="106">
        <v>51431352</v>
      </c>
      <c r="D97" s="88" t="s">
        <v>21</v>
      </c>
      <c r="E97" s="144">
        <v>3600</v>
      </c>
      <c r="F97" s="21">
        <v>242.64859999999999</v>
      </c>
      <c r="G97" s="21">
        <v>244.46100000000001</v>
      </c>
      <c r="H97" s="18">
        <f t="shared" si="4"/>
        <v>6524.6400000000904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18892.660000000178</v>
      </c>
      <c r="I98" s="51"/>
      <c r="J98" s="52"/>
    </row>
    <row r="99" spans="1:10" ht="15.75" x14ac:dyDescent="0.25">
      <c r="A99" s="45" t="s">
        <v>114</v>
      </c>
      <c r="B99" s="144" t="s">
        <v>52</v>
      </c>
      <c r="C99" s="120">
        <v>51431357</v>
      </c>
      <c r="D99" s="145" t="s">
        <v>63</v>
      </c>
      <c r="E99" s="145">
        <v>14000</v>
      </c>
      <c r="F99" s="28">
        <v>859.03430000000003</v>
      </c>
      <c r="G99" s="28">
        <v>862.33799999999997</v>
      </c>
      <c r="H99" s="121">
        <f t="shared" si="4"/>
        <v>46251.799999999093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>
      <selection activeCell="C27" sqref="C27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123</v>
      </c>
      <c r="G2" s="4" t="s">
        <v>124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50" t="s">
        <v>13</v>
      </c>
      <c r="C4" s="150">
        <v>51555166</v>
      </c>
      <c r="D4" s="150" t="s">
        <v>14</v>
      </c>
      <c r="E4" s="150">
        <v>132000</v>
      </c>
      <c r="F4" s="17">
        <v>6.9474</v>
      </c>
      <c r="G4" s="17">
        <v>6.9554</v>
      </c>
      <c r="H4" s="18">
        <f>(G4-F4)*E4</f>
        <v>1056.0000000000009</v>
      </c>
      <c r="I4" s="19"/>
      <c r="J4" s="20"/>
    </row>
    <row r="5" spans="1:10" ht="15.75" x14ac:dyDescent="0.25">
      <c r="A5" s="15" t="s">
        <v>15</v>
      </c>
      <c r="B5" s="150" t="s">
        <v>13</v>
      </c>
      <c r="C5" s="150">
        <v>51555191</v>
      </c>
      <c r="D5" s="150" t="s">
        <v>14</v>
      </c>
      <c r="E5" s="150">
        <v>132000</v>
      </c>
      <c r="F5" s="21">
        <v>384.98110000000003</v>
      </c>
      <c r="G5" s="21">
        <v>387.02850000000001</v>
      </c>
      <c r="H5" s="18">
        <f>(G5-F5)*E5</f>
        <v>270256.7999999976</v>
      </c>
      <c r="I5" s="19"/>
      <c r="J5" s="20"/>
    </row>
    <row r="6" spans="1:10" ht="15.75" x14ac:dyDescent="0.25">
      <c r="A6" s="218" t="s">
        <v>16</v>
      </c>
      <c r="B6" s="219"/>
      <c r="C6" s="150"/>
      <c r="D6" s="151"/>
      <c r="E6" s="150"/>
      <c r="H6" s="23">
        <f>H4+H5</f>
        <v>271312.7999999976</v>
      </c>
      <c r="I6" s="24">
        <f>H6-H9-H19</f>
        <v>2368.199999996461</v>
      </c>
      <c r="J6" s="25">
        <f>I6/H6</f>
        <v>8.7286703760253177E-3</v>
      </c>
    </row>
    <row r="7" spans="1:10" ht="15.75" x14ac:dyDescent="0.25">
      <c r="A7" s="26" t="s">
        <v>17</v>
      </c>
      <c r="B7" s="150" t="s">
        <v>13</v>
      </c>
      <c r="C7" s="150">
        <v>51097629</v>
      </c>
      <c r="D7" s="151" t="s">
        <v>14</v>
      </c>
      <c r="E7" s="150">
        <v>42000</v>
      </c>
      <c r="F7" s="21">
        <v>1132.9042999999999</v>
      </c>
      <c r="G7" s="21">
        <v>1137.4576999999999</v>
      </c>
      <c r="H7" s="18">
        <f>(G7-F7)*E7</f>
        <v>191242.80000000045</v>
      </c>
      <c r="I7" s="19"/>
      <c r="J7" s="20"/>
    </row>
    <row r="8" spans="1:10" ht="15.75" x14ac:dyDescent="0.25">
      <c r="A8" s="26" t="s">
        <v>18</v>
      </c>
      <c r="B8" s="150" t="s">
        <v>13</v>
      </c>
      <c r="C8" s="150">
        <v>51616820</v>
      </c>
      <c r="D8" s="151" t="s">
        <v>14</v>
      </c>
      <c r="E8" s="150">
        <v>42000</v>
      </c>
      <c r="F8" s="21">
        <v>15.3119</v>
      </c>
      <c r="G8" s="21">
        <v>15.323499999999999</v>
      </c>
      <c r="H8" s="18">
        <f>(G8-F8)*E8</f>
        <v>487.19999999998367</v>
      </c>
      <c r="I8" s="19"/>
      <c r="J8" s="20"/>
    </row>
    <row r="9" spans="1:10" ht="15.75" x14ac:dyDescent="0.25">
      <c r="A9" s="218" t="s">
        <v>19</v>
      </c>
      <c r="B9" s="219"/>
      <c r="C9" s="150"/>
      <c r="D9" s="151"/>
      <c r="E9" s="150"/>
      <c r="F9" s="21"/>
      <c r="G9" s="21"/>
      <c r="H9" s="23">
        <f>H7+H8</f>
        <v>191730.00000000044</v>
      </c>
      <c r="I9" s="24">
        <f>H9-H16</f>
        <v>21.00000000037835</v>
      </c>
      <c r="J9" s="25">
        <f>I9/H9</f>
        <v>1.0952902519364889E-4</v>
      </c>
    </row>
    <row r="10" spans="1:10" ht="15.75" x14ac:dyDescent="0.25">
      <c r="A10" s="27" t="s">
        <v>20</v>
      </c>
      <c r="B10" s="150" t="s">
        <v>13</v>
      </c>
      <c r="C10" s="150">
        <v>51217286</v>
      </c>
      <c r="D10" s="151" t="s">
        <v>21</v>
      </c>
      <c r="E10" s="150">
        <v>21000</v>
      </c>
      <c r="F10" s="21">
        <v>896.1825</v>
      </c>
      <c r="G10" s="21">
        <v>899.44200000000001</v>
      </c>
      <c r="H10" s="18">
        <f t="shared" ref="H10:H15" si="0">(G10-F10)*E10</f>
        <v>68449.500000000058</v>
      </c>
      <c r="I10" s="19"/>
      <c r="J10" s="20"/>
    </row>
    <row r="11" spans="1:10" ht="15.75" x14ac:dyDescent="0.25">
      <c r="A11" s="27" t="s">
        <v>22</v>
      </c>
      <c r="B11" s="150" t="s">
        <v>13</v>
      </c>
      <c r="C11" s="150">
        <v>51217292</v>
      </c>
      <c r="D11" s="151" t="s">
        <v>21</v>
      </c>
      <c r="E11" s="150">
        <v>21000</v>
      </c>
      <c r="F11" s="28">
        <v>3.9264000000000001</v>
      </c>
      <c r="G11" s="28">
        <v>3.9310999999999998</v>
      </c>
      <c r="H11" s="18">
        <f>(G11-F11)*E11</f>
        <v>98.699999999993793</v>
      </c>
      <c r="I11" s="19"/>
      <c r="J11" s="20"/>
    </row>
    <row r="12" spans="1:10" ht="15.75" x14ac:dyDescent="0.25">
      <c r="A12" s="27" t="s">
        <v>23</v>
      </c>
      <c r="B12" s="150" t="s">
        <v>13</v>
      </c>
      <c r="C12" s="150">
        <v>51217271</v>
      </c>
      <c r="D12" s="151" t="s">
        <v>21</v>
      </c>
      <c r="E12" s="150">
        <v>21000</v>
      </c>
      <c r="F12" s="21">
        <v>669.84730000000002</v>
      </c>
      <c r="G12" s="21">
        <v>672.74390000000005</v>
      </c>
      <c r="H12" s="18">
        <f t="shared" si="0"/>
        <v>60828.600000000733</v>
      </c>
      <c r="I12" s="19"/>
      <c r="J12" s="20"/>
    </row>
    <row r="13" spans="1:10" ht="15.75" x14ac:dyDescent="0.25">
      <c r="A13" s="27" t="s">
        <v>24</v>
      </c>
      <c r="B13" s="150" t="s">
        <v>13</v>
      </c>
      <c r="C13" s="150">
        <v>51217276</v>
      </c>
      <c r="D13" s="151" t="s">
        <v>21</v>
      </c>
      <c r="E13" s="150">
        <v>21000</v>
      </c>
      <c r="F13" s="28">
        <v>0.59530000000000005</v>
      </c>
      <c r="G13" s="28">
        <v>0.59609999999999996</v>
      </c>
      <c r="H13" s="18">
        <f>(G13-F13)*E13</f>
        <v>16.79999999999815</v>
      </c>
      <c r="I13" s="19"/>
      <c r="J13" s="20"/>
    </row>
    <row r="14" spans="1:10" ht="15.75" x14ac:dyDescent="0.25">
      <c r="A14" s="27" t="s">
        <v>25</v>
      </c>
      <c r="B14" s="150" t="s">
        <v>13</v>
      </c>
      <c r="C14" s="150">
        <v>51100990</v>
      </c>
      <c r="D14" s="151" t="s">
        <v>21</v>
      </c>
      <c r="E14" s="150">
        <v>21000</v>
      </c>
      <c r="F14" s="29">
        <v>719.11410000000001</v>
      </c>
      <c r="G14" s="29">
        <v>722.06939999999997</v>
      </c>
      <c r="H14" s="18">
        <f t="shared" si="0"/>
        <v>62061.299999999275</v>
      </c>
      <c r="I14" s="19"/>
      <c r="J14" s="20"/>
    </row>
    <row r="15" spans="1:10" ht="15.75" x14ac:dyDescent="0.25">
      <c r="A15" s="27" t="s">
        <v>26</v>
      </c>
      <c r="B15" s="150" t="s">
        <v>13</v>
      </c>
      <c r="C15" s="150">
        <v>51097622</v>
      </c>
      <c r="D15" s="151" t="s">
        <v>21</v>
      </c>
      <c r="E15" s="150">
        <v>21000</v>
      </c>
      <c r="F15" s="21">
        <v>9.2931000000000008</v>
      </c>
      <c r="G15" s="21">
        <v>9.3051999999999992</v>
      </c>
      <c r="H15" s="18">
        <f t="shared" si="0"/>
        <v>254.09999999996734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50"/>
      <c r="D16" s="151"/>
      <c r="E16" s="150"/>
      <c r="F16" s="21"/>
      <c r="G16" s="21"/>
      <c r="H16" s="23">
        <f>H10+H11+H12+H13+H14+H15</f>
        <v>191709.00000000006</v>
      </c>
      <c r="I16" s="19"/>
      <c r="J16" s="20"/>
    </row>
    <row r="17" spans="1:10" ht="15.75" x14ac:dyDescent="0.25">
      <c r="A17" s="26" t="s">
        <v>29</v>
      </c>
      <c r="B17" s="150" t="s">
        <v>13</v>
      </c>
      <c r="C17" s="150">
        <v>51097617</v>
      </c>
      <c r="D17" s="151" t="s">
        <v>30</v>
      </c>
      <c r="E17" s="150">
        <v>18000</v>
      </c>
      <c r="F17" s="30">
        <v>882.68039999999996</v>
      </c>
      <c r="G17" s="30">
        <v>886.9701</v>
      </c>
      <c r="H17" s="18">
        <f>(G17-F17)*E17</f>
        <v>77214.600000000704</v>
      </c>
      <c r="I17" s="19"/>
      <c r="J17" s="20"/>
    </row>
    <row r="18" spans="1:10" ht="15.75" x14ac:dyDescent="0.25">
      <c r="A18" s="26" t="s">
        <v>31</v>
      </c>
      <c r="B18" s="150" t="s">
        <v>13</v>
      </c>
      <c r="C18" s="150">
        <v>51097655</v>
      </c>
      <c r="D18" s="151" t="s">
        <v>30</v>
      </c>
      <c r="E18" s="150">
        <v>18000</v>
      </c>
      <c r="F18" s="30">
        <v>11.5421</v>
      </c>
      <c r="G18" s="30">
        <v>11.5421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50"/>
      <c r="D19" s="151"/>
      <c r="E19" s="150"/>
      <c r="F19" s="30"/>
      <c r="G19" s="30"/>
      <c r="H19" s="23">
        <f>H17+H18</f>
        <v>77214.600000000704</v>
      </c>
      <c r="I19" s="24">
        <f>H19-H34</f>
        <v>3787.8600000006263</v>
      </c>
      <c r="J19" s="25">
        <f>I19/H19</f>
        <v>4.9056266560994835E-2</v>
      </c>
    </row>
    <row r="20" spans="1:10" ht="15.75" x14ac:dyDescent="0.25">
      <c r="A20" s="15" t="s">
        <v>33</v>
      </c>
      <c r="B20" s="150" t="s">
        <v>13</v>
      </c>
      <c r="C20" s="150">
        <v>51217282</v>
      </c>
      <c r="D20" s="151" t="s">
        <v>34</v>
      </c>
      <c r="E20" s="150">
        <v>4800</v>
      </c>
      <c r="F20" s="21">
        <v>384.86500000000001</v>
      </c>
      <c r="G20" s="21">
        <v>385.18729999999999</v>
      </c>
      <c r="H20" s="18">
        <f t="shared" ref="H20:H33" si="1">(G20-F20)*E20</f>
        <v>1547.0399999999245</v>
      </c>
      <c r="I20" s="19" t="s">
        <v>27</v>
      </c>
      <c r="J20" s="20"/>
    </row>
    <row r="21" spans="1:10" ht="15.75" x14ac:dyDescent="0.25">
      <c r="A21" s="15" t="s">
        <v>35</v>
      </c>
      <c r="B21" s="150" t="s">
        <v>13</v>
      </c>
      <c r="C21" s="150">
        <v>51217274</v>
      </c>
      <c r="D21" s="151" t="s">
        <v>34</v>
      </c>
      <c r="E21" s="150">
        <v>4800</v>
      </c>
      <c r="F21" s="21">
        <v>1378.1063999999999</v>
      </c>
      <c r="G21" s="21">
        <v>1383.7533000000001</v>
      </c>
      <c r="H21" s="18">
        <f t="shared" si="1"/>
        <v>27105.120000000898</v>
      </c>
      <c r="I21" s="19"/>
      <c r="J21" s="20"/>
    </row>
    <row r="22" spans="1:10" ht="15.75" x14ac:dyDescent="0.25">
      <c r="A22" s="15" t="s">
        <v>36</v>
      </c>
      <c r="B22" s="150" t="s">
        <v>13</v>
      </c>
      <c r="C22" s="150">
        <v>51097664</v>
      </c>
      <c r="D22" s="151" t="s">
        <v>37</v>
      </c>
      <c r="E22" s="150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50" t="s">
        <v>13</v>
      </c>
      <c r="C23" s="150">
        <v>51097615</v>
      </c>
      <c r="D23" s="151" t="s">
        <v>37</v>
      </c>
      <c r="E23" s="150">
        <v>600</v>
      </c>
      <c r="F23" s="21">
        <v>45.825400000000002</v>
      </c>
      <c r="G23" s="21">
        <v>46.100999999999999</v>
      </c>
      <c r="H23" s="18">
        <f t="shared" si="1"/>
        <v>165.35999999999831</v>
      </c>
      <c r="I23" s="19"/>
      <c r="J23" s="20"/>
    </row>
    <row r="24" spans="1:10" ht="15.75" x14ac:dyDescent="0.25">
      <c r="A24" s="15" t="s">
        <v>39</v>
      </c>
      <c r="B24" s="150" t="s">
        <v>13</v>
      </c>
      <c r="C24" s="150">
        <v>51217264</v>
      </c>
      <c r="D24" s="151" t="s">
        <v>37</v>
      </c>
      <c r="E24" s="150">
        <v>600</v>
      </c>
      <c r="F24" s="21">
        <v>107.1606</v>
      </c>
      <c r="G24" s="21">
        <v>107.81180000000001</v>
      </c>
      <c r="H24" s="18">
        <f t="shared" si="1"/>
        <v>390.72000000000173</v>
      </c>
      <c r="I24" s="19"/>
      <c r="J24" s="20"/>
    </row>
    <row r="25" spans="1:10" ht="15.75" x14ac:dyDescent="0.25">
      <c r="A25" s="15" t="s">
        <v>40</v>
      </c>
      <c r="B25" s="150" t="s">
        <v>13</v>
      </c>
      <c r="C25" s="150">
        <v>51217288</v>
      </c>
      <c r="D25" s="151" t="s">
        <v>37</v>
      </c>
      <c r="E25" s="150">
        <v>600</v>
      </c>
      <c r="F25" s="21">
        <v>20.639600000000002</v>
      </c>
      <c r="G25" s="21">
        <v>20.670300000000001</v>
      </c>
      <c r="H25" s="18">
        <f t="shared" si="1"/>
        <v>18.419999999999703</v>
      </c>
      <c r="I25" s="19" t="s">
        <v>27</v>
      </c>
      <c r="J25" s="20"/>
    </row>
    <row r="26" spans="1:10" ht="15.75" x14ac:dyDescent="0.25">
      <c r="A26" s="15" t="s">
        <v>41</v>
      </c>
      <c r="B26" s="150" t="s">
        <v>13</v>
      </c>
      <c r="C26" s="150">
        <v>51217279</v>
      </c>
      <c r="D26" s="151" t="s">
        <v>37</v>
      </c>
      <c r="E26" s="150">
        <v>600</v>
      </c>
      <c r="F26" s="21">
        <v>15.5901</v>
      </c>
      <c r="G26" s="21">
        <v>15.644</v>
      </c>
      <c r="H26" s="18">
        <f t="shared" si="1"/>
        <v>32.340000000000302</v>
      </c>
      <c r="I26" s="19" t="s">
        <v>27</v>
      </c>
      <c r="J26" s="20"/>
    </row>
    <row r="27" spans="1:10" ht="15.75" x14ac:dyDescent="0.25">
      <c r="A27" s="15" t="s">
        <v>42</v>
      </c>
      <c r="B27" s="150" t="s">
        <v>13</v>
      </c>
      <c r="C27" s="150">
        <v>51217272</v>
      </c>
      <c r="D27" s="151" t="s">
        <v>37</v>
      </c>
      <c r="E27" s="150">
        <v>600</v>
      </c>
      <c r="F27" s="31">
        <v>15.2912</v>
      </c>
      <c r="G27" s="31">
        <v>15.3439</v>
      </c>
      <c r="H27" s="18">
        <f t="shared" si="1"/>
        <v>31.619999999999848</v>
      </c>
      <c r="I27" s="19"/>
      <c r="J27" s="20"/>
    </row>
    <row r="28" spans="1:10" ht="15.75" x14ac:dyDescent="0.25">
      <c r="A28" s="15" t="s">
        <v>43</v>
      </c>
      <c r="B28" s="150" t="s">
        <v>13</v>
      </c>
      <c r="C28" s="150">
        <v>51616744</v>
      </c>
      <c r="D28" s="151">
        <f>300/5</f>
        <v>60</v>
      </c>
      <c r="E28" s="150">
        <v>3600</v>
      </c>
      <c r="F28" s="31">
        <v>109.78489999999999</v>
      </c>
      <c r="G28" s="31">
        <v>109.78489999999999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50" t="s">
        <v>13</v>
      </c>
      <c r="C29" s="150">
        <v>51555226</v>
      </c>
      <c r="D29" s="151">
        <f>300/5</f>
        <v>60</v>
      </c>
      <c r="E29" s="150">
        <v>3600</v>
      </c>
      <c r="F29" s="31">
        <v>539.59630000000004</v>
      </c>
      <c r="G29" s="31">
        <v>543.70579999999995</v>
      </c>
      <c r="H29" s="18">
        <f>(G29-F29)*E29</f>
        <v>14794.199999999682</v>
      </c>
      <c r="I29" s="19"/>
      <c r="J29" s="20"/>
    </row>
    <row r="30" spans="1:10" ht="15.75" x14ac:dyDescent="0.25">
      <c r="A30" s="15" t="s">
        <v>45</v>
      </c>
      <c r="B30" s="150" t="s">
        <v>13</v>
      </c>
      <c r="C30" s="150">
        <v>51097658</v>
      </c>
      <c r="D30" s="151" t="s">
        <v>34</v>
      </c>
      <c r="E30" s="150">
        <v>4800</v>
      </c>
      <c r="F30" s="31">
        <v>689.80550000000005</v>
      </c>
      <c r="G30" s="31">
        <v>693.47619999999995</v>
      </c>
      <c r="H30" s="18">
        <f t="shared" si="1"/>
        <v>17619.359999999506</v>
      </c>
      <c r="I30" s="19"/>
      <c r="J30" s="20"/>
    </row>
    <row r="31" spans="1:10" ht="15.75" x14ac:dyDescent="0.25">
      <c r="A31" s="15" t="s">
        <v>46</v>
      </c>
      <c r="B31" s="150" t="s">
        <v>13</v>
      </c>
      <c r="C31" s="150">
        <v>51097635</v>
      </c>
      <c r="D31" s="151" t="s">
        <v>34</v>
      </c>
      <c r="E31" s="150">
        <v>4800</v>
      </c>
      <c r="F31" s="31">
        <v>48.476599999999998</v>
      </c>
      <c r="G31" s="31">
        <v>48.476900000000001</v>
      </c>
      <c r="H31" s="18">
        <f t="shared" si="1"/>
        <v>1.440000000013697</v>
      </c>
      <c r="I31" s="19"/>
      <c r="J31" s="20"/>
    </row>
    <row r="32" spans="1:10" ht="15.75" x14ac:dyDescent="0.25">
      <c r="A32" s="15" t="s">
        <v>47</v>
      </c>
      <c r="B32" s="150" t="s">
        <v>13</v>
      </c>
      <c r="C32" s="32">
        <v>51097633</v>
      </c>
      <c r="D32" s="151" t="s">
        <v>34</v>
      </c>
      <c r="E32" s="150">
        <v>4800</v>
      </c>
      <c r="F32" s="31">
        <v>196.6</v>
      </c>
      <c r="G32" s="31">
        <v>198.99760000000001</v>
      </c>
      <c r="H32" s="33">
        <f t="shared" si="1"/>
        <v>11508.480000000054</v>
      </c>
      <c r="I32" s="34"/>
      <c r="J32" s="35"/>
    </row>
    <row r="33" spans="1:10" ht="15.75" x14ac:dyDescent="0.25">
      <c r="A33" s="15" t="s">
        <v>48</v>
      </c>
      <c r="B33" s="150" t="s">
        <v>13</v>
      </c>
      <c r="C33" s="32">
        <v>51097662</v>
      </c>
      <c r="D33" s="151" t="s">
        <v>34</v>
      </c>
      <c r="E33" s="150">
        <v>4800</v>
      </c>
      <c r="F33" s="31">
        <v>4.0984999999999996</v>
      </c>
      <c r="G33" s="31">
        <v>4.1428000000000003</v>
      </c>
      <c r="H33" s="33">
        <f t="shared" si="1"/>
        <v>212.64000000000323</v>
      </c>
      <c r="I33" s="34"/>
      <c r="J33" s="35"/>
    </row>
    <row r="34" spans="1:10" ht="15.75" x14ac:dyDescent="0.25">
      <c r="A34" s="218" t="s">
        <v>49</v>
      </c>
      <c r="B34" s="219"/>
      <c r="C34" s="150"/>
      <c r="D34" s="151"/>
      <c r="E34" s="150"/>
      <c r="F34" s="36"/>
      <c r="G34" s="36"/>
      <c r="H34" s="23">
        <f>H20+H21+H22+H23+H24+H25+H26+H27+H28+H29+H30+H31+H32+H33</f>
        <v>73426.740000000078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50" t="s">
        <v>52</v>
      </c>
      <c r="C36" s="150">
        <v>51555209</v>
      </c>
      <c r="D36" s="151" t="s">
        <v>53</v>
      </c>
      <c r="E36" s="150">
        <v>7000</v>
      </c>
      <c r="F36" s="17">
        <v>6.1002999999999998</v>
      </c>
      <c r="G36" s="17">
        <v>6.1143000000000001</v>
      </c>
      <c r="H36" s="41">
        <f>(G36-F36)*E36</f>
        <v>98.000000000001648</v>
      </c>
      <c r="I36" s="42"/>
      <c r="J36" s="14"/>
    </row>
    <row r="37" spans="1:10" ht="15.75" x14ac:dyDescent="0.25">
      <c r="A37" s="15" t="s">
        <v>54</v>
      </c>
      <c r="B37" s="150" t="s">
        <v>52</v>
      </c>
      <c r="C37" s="150">
        <v>51555209</v>
      </c>
      <c r="D37" s="151" t="s">
        <v>53</v>
      </c>
      <c r="E37" s="150">
        <v>7000</v>
      </c>
      <c r="F37" s="21">
        <v>10.6243</v>
      </c>
      <c r="G37" s="21">
        <v>10.6759</v>
      </c>
      <c r="H37" s="18">
        <f>(G37-F37)*E37</f>
        <v>361.20000000000374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50" t="s">
        <v>52</v>
      </c>
      <c r="C39" s="150">
        <v>51097674</v>
      </c>
      <c r="D39" s="150" t="s">
        <v>14</v>
      </c>
      <c r="E39" s="150">
        <v>7200</v>
      </c>
      <c r="F39" s="21">
        <v>613.63649999999996</v>
      </c>
      <c r="G39" s="21">
        <v>615.95989999999995</v>
      </c>
      <c r="H39" s="18">
        <f>(G39-F39)*E39</f>
        <v>16728.479999999945</v>
      </c>
      <c r="I39" s="47"/>
      <c r="J39" s="20"/>
    </row>
    <row r="40" spans="1:10" ht="15.75" x14ac:dyDescent="0.25">
      <c r="A40" s="27" t="s">
        <v>57</v>
      </c>
      <c r="B40" s="150" t="s">
        <v>52</v>
      </c>
      <c r="C40" s="150">
        <v>51259257</v>
      </c>
      <c r="D40" s="150" t="s">
        <v>14</v>
      </c>
      <c r="E40" s="150">
        <v>7200</v>
      </c>
      <c r="F40" s="21">
        <v>1.0555000000000001</v>
      </c>
      <c r="G40" s="21">
        <v>1.0555000000000001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50"/>
      <c r="C41" s="150"/>
      <c r="D41" s="150"/>
      <c r="E41" s="150"/>
      <c r="F41" s="21"/>
      <c r="G41" s="21"/>
      <c r="H41" s="48">
        <f>H39+H40</f>
        <v>16728.479999999945</v>
      </c>
      <c r="I41" s="24">
        <f>H41-H49</f>
        <v>-116.3599999997823</v>
      </c>
      <c r="J41" s="25">
        <f>I41/H41</f>
        <v>-6.9558023203412792E-3</v>
      </c>
    </row>
    <row r="42" spans="1:10" ht="15.75" x14ac:dyDescent="0.25">
      <c r="A42" s="15" t="s">
        <v>59</v>
      </c>
      <c r="B42" s="150"/>
      <c r="C42" s="150"/>
      <c r="D42" s="151"/>
      <c r="E42" s="150"/>
      <c r="H42" s="18"/>
      <c r="I42" s="43"/>
      <c r="J42" s="20"/>
    </row>
    <row r="43" spans="1:10" ht="15.75" x14ac:dyDescent="0.25">
      <c r="A43" s="27" t="s">
        <v>60</v>
      </c>
      <c r="B43" s="150" t="s">
        <v>52</v>
      </c>
      <c r="C43" s="32">
        <v>51097648</v>
      </c>
      <c r="D43" s="150" t="s">
        <v>53</v>
      </c>
      <c r="E43" s="150">
        <v>1200</v>
      </c>
      <c r="F43" s="21">
        <v>502.21969999999999</v>
      </c>
      <c r="G43" s="21">
        <v>504.17680000000001</v>
      </c>
      <c r="H43" s="33">
        <f>(G43-F43)*E43</f>
        <v>2348.5200000000304</v>
      </c>
      <c r="I43" s="43"/>
      <c r="J43" s="20"/>
    </row>
    <row r="44" spans="1:10" ht="15.75" x14ac:dyDescent="0.25">
      <c r="A44" s="27" t="s">
        <v>61</v>
      </c>
      <c r="B44" s="150" t="s">
        <v>52</v>
      </c>
      <c r="C44" s="32">
        <v>50555043</v>
      </c>
      <c r="D44" s="150" t="s">
        <v>53</v>
      </c>
      <c r="E44" s="150">
        <v>1200</v>
      </c>
      <c r="F44" s="21">
        <v>2101.7739000000001</v>
      </c>
      <c r="G44" s="21">
        <v>2109.8067999999998</v>
      </c>
      <c r="H44" s="33">
        <f>(G44-F44)*E44</f>
        <v>9639.4799999996394</v>
      </c>
      <c r="I44" s="43"/>
      <c r="J44" s="20"/>
    </row>
    <row r="45" spans="1:10" ht="15.75" x14ac:dyDescent="0.25">
      <c r="A45" s="27" t="s">
        <v>62</v>
      </c>
      <c r="B45" s="150" t="s">
        <v>52</v>
      </c>
      <c r="C45" s="32">
        <v>51259336</v>
      </c>
      <c r="D45" s="150" t="s">
        <v>63</v>
      </c>
      <c r="E45" s="150">
        <v>2400</v>
      </c>
      <c r="F45" s="21">
        <v>4.2427999999999999</v>
      </c>
      <c r="G45" s="21">
        <v>4.2564000000000002</v>
      </c>
      <c r="H45" s="33">
        <f>(G45-F45)*E45</f>
        <v>32.640000000000668</v>
      </c>
      <c r="I45" s="43"/>
      <c r="J45" s="20"/>
    </row>
    <row r="46" spans="1:10" ht="15.75" x14ac:dyDescent="0.25">
      <c r="A46" s="27" t="s">
        <v>64</v>
      </c>
      <c r="B46" s="150" t="s">
        <v>52</v>
      </c>
      <c r="C46" s="32">
        <v>51259266</v>
      </c>
      <c r="D46" s="150" t="s">
        <v>53</v>
      </c>
      <c r="E46" s="150">
        <v>1200</v>
      </c>
      <c r="F46" s="21">
        <v>1019.3949</v>
      </c>
      <c r="G46" s="21">
        <v>1023.0537</v>
      </c>
      <c r="H46" s="33">
        <f>(G46-F46)*E46</f>
        <v>4390.5600000000504</v>
      </c>
      <c r="I46" s="43"/>
      <c r="J46" s="20"/>
    </row>
    <row r="47" spans="1:10" ht="15.75" x14ac:dyDescent="0.25">
      <c r="A47" s="27" t="s">
        <v>65</v>
      </c>
      <c r="B47" s="150" t="s">
        <v>52</v>
      </c>
      <c r="C47" s="32">
        <v>51431336</v>
      </c>
      <c r="D47" s="150" t="s">
        <v>53</v>
      </c>
      <c r="E47" s="150">
        <v>1200</v>
      </c>
      <c r="F47" s="21">
        <v>60.772599999999997</v>
      </c>
      <c r="G47" s="21">
        <v>61.092300000000002</v>
      </c>
      <c r="H47" s="33">
        <f>(G47-F47)*E47</f>
        <v>383.64000000000544</v>
      </c>
      <c r="I47" s="43"/>
      <c r="J47" s="20"/>
    </row>
    <row r="48" spans="1:10" ht="15.75" x14ac:dyDescent="0.25">
      <c r="A48" s="15" t="s">
        <v>66</v>
      </c>
      <c r="B48" s="150" t="s">
        <v>67</v>
      </c>
      <c r="C48" s="150">
        <v>49174</v>
      </c>
      <c r="D48" s="151" t="s">
        <v>53</v>
      </c>
      <c r="E48" s="150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16844.839999999727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50" t="s">
        <v>52</v>
      </c>
      <c r="C51" s="150">
        <v>51097603</v>
      </c>
      <c r="D51" s="151" t="s">
        <v>53</v>
      </c>
      <c r="E51" s="150">
        <v>7000</v>
      </c>
      <c r="F51" s="17">
        <v>2001.2452000000001</v>
      </c>
      <c r="G51" s="17">
        <v>2008.3942</v>
      </c>
      <c r="H51" s="18">
        <f>(G51-F51)*E51</f>
        <v>50042.999999999214</v>
      </c>
      <c r="I51" s="43"/>
      <c r="J51" s="20"/>
    </row>
    <row r="52" spans="1:10" ht="15.75" x14ac:dyDescent="0.25">
      <c r="A52" s="27" t="s">
        <v>72</v>
      </c>
      <c r="B52" s="150" t="s">
        <v>52</v>
      </c>
      <c r="C52" s="150">
        <v>51097590</v>
      </c>
      <c r="D52" s="151" t="s">
        <v>53</v>
      </c>
      <c r="E52" s="150">
        <v>7000</v>
      </c>
      <c r="F52" s="21">
        <v>12.8529</v>
      </c>
      <c r="G52" s="21">
        <v>12.876200000000001</v>
      </c>
      <c r="H52" s="18">
        <f>(G52-F52)*E52</f>
        <v>163.10000000000537</v>
      </c>
      <c r="I52" s="43"/>
      <c r="J52" s="20"/>
    </row>
    <row r="53" spans="1:10" ht="15.75" x14ac:dyDescent="0.25">
      <c r="A53" s="15" t="s">
        <v>66</v>
      </c>
      <c r="B53" s="150" t="s">
        <v>67</v>
      </c>
      <c r="C53" s="150">
        <v>49174</v>
      </c>
      <c r="D53" s="151" t="s">
        <v>53</v>
      </c>
      <c r="E53" s="150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50"/>
      <c r="D54" s="151"/>
      <c r="E54" s="150"/>
      <c r="F54" s="21"/>
      <c r="G54" s="21"/>
      <c r="H54" s="48">
        <f>H51+H52+H53</f>
        <v>50306.09999999922</v>
      </c>
      <c r="I54" s="47"/>
      <c r="J54" s="59"/>
    </row>
    <row r="55" spans="1:10" ht="15.75" x14ac:dyDescent="0.25">
      <c r="A55" s="27" t="s">
        <v>74</v>
      </c>
      <c r="B55" s="150" t="s">
        <v>52</v>
      </c>
      <c r="C55" s="150">
        <v>51100980</v>
      </c>
      <c r="D55" s="150" t="s">
        <v>75</v>
      </c>
      <c r="E55" s="150">
        <v>12000</v>
      </c>
      <c r="F55" s="21">
        <v>1177.33</v>
      </c>
      <c r="G55" s="21">
        <v>1181.5197000000001</v>
      </c>
      <c r="H55" s="18">
        <f>(G55-F55)*E55</f>
        <v>50276.400000001559</v>
      </c>
      <c r="I55" s="47"/>
      <c r="J55" s="58"/>
    </row>
    <row r="56" spans="1:10" ht="15.75" x14ac:dyDescent="0.25">
      <c r="A56" s="27" t="s">
        <v>76</v>
      </c>
      <c r="B56" s="150" t="s">
        <v>52</v>
      </c>
      <c r="C56" s="150">
        <v>51097623</v>
      </c>
      <c r="D56" s="150" t="s">
        <v>75</v>
      </c>
      <c r="E56" s="150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50"/>
      <c r="C57" s="150"/>
      <c r="D57" s="150"/>
      <c r="E57" s="150"/>
      <c r="F57" s="21"/>
      <c r="G57" s="21"/>
      <c r="H57" s="48">
        <f>H55+H56</f>
        <v>50276.400000001559</v>
      </c>
      <c r="I57" s="61">
        <f>H54-H64-H53</f>
        <v>-147.70000000050641</v>
      </c>
      <c r="J57" s="25">
        <f>I57/H57</f>
        <v>-2.9377600623851714E-3</v>
      </c>
    </row>
    <row r="58" spans="1:10" ht="15.75" x14ac:dyDescent="0.25">
      <c r="A58" s="27" t="s">
        <v>78</v>
      </c>
      <c r="B58" s="150" t="s">
        <v>52</v>
      </c>
      <c r="C58" s="150">
        <v>51097675</v>
      </c>
      <c r="D58" s="150" t="s">
        <v>34</v>
      </c>
      <c r="E58" s="150">
        <v>4800</v>
      </c>
      <c r="F58" s="21">
        <v>536.90440000000001</v>
      </c>
      <c r="G58" s="21">
        <v>540.21379999999999</v>
      </c>
      <c r="H58" s="18">
        <f t="shared" ref="H58:H63" si="2">(G58-F58)*E58</f>
        <v>15885.119999999915</v>
      </c>
      <c r="I58" s="62"/>
      <c r="J58" s="59"/>
    </row>
    <row r="59" spans="1:10" ht="15.75" x14ac:dyDescent="0.25">
      <c r="A59" s="27" t="s">
        <v>79</v>
      </c>
      <c r="B59" s="150" t="s">
        <v>52</v>
      </c>
      <c r="C59" s="150">
        <v>51100997</v>
      </c>
      <c r="D59" s="150" t="s">
        <v>21</v>
      </c>
      <c r="E59" s="150">
        <v>3600</v>
      </c>
      <c r="F59" s="21">
        <v>1403.6704999999999</v>
      </c>
      <c r="G59" s="21">
        <v>1406.5273</v>
      </c>
      <c r="H59" s="18">
        <f t="shared" si="2"/>
        <v>10284.480000000076</v>
      </c>
      <c r="I59" s="62"/>
      <c r="J59" s="59"/>
    </row>
    <row r="60" spans="1:10" ht="15.75" x14ac:dyDescent="0.25">
      <c r="A60" s="27" t="s">
        <v>80</v>
      </c>
      <c r="B60" s="150" t="s">
        <v>52</v>
      </c>
      <c r="C60" s="150">
        <v>51555218</v>
      </c>
      <c r="D60" s="150">
        <f>400/5</f>
        <v>80</v>
      </c>
      <c r="E60" s="150">
        <v>4800</v>
      </c>
      <c r="F60" s="21">
        <v>68.802800000000005</v>
      </c>
      <c r="G60" s="21">
        <v>69.354900000000001</v>
      </c>
      <c r="H60" s="18">
        <f t="shared" si="2"/>
        <v>2650.0799999999799</v>
      </c>
      <c r="I60" s="62"/>
      <c r="J60" s="59"/>
    </row>
    <row r="61" spans="1:10" ht="15.75" x14ac:dyDescent="0.25">
      <c r="A61" s="27" t="s">
        <v>81</v>
      </c>
      <c r="B61" s="150" t="s">
        <v>52</v>
      </c>
      <c r="C61" s="150">
        <v>51555151</v>
      </c>
      <c r="D61" s="150">
        <f>400/5</f>
        <v>80</v>
      </c>
      <c r="E61" s="150">
        <v>4800</v>
      </c>
      <c r="F61" s="63">
        <v>0.30690000000000001</v>
      </c>
      <c r="G61" s="63">
        <v>0.30690000000000001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50" t="s">
        <v>52</v>
      </c>
      <c r="C62" s="150">
        <v>51097599</v>
      </c>
      <c r="D62" s="150" t="s">
        <v>21</v>
      </c>
      <c r="E62" s="150">
        <v>3600</v>
      </c>
      <c r="F62" s="21">
        <v>985.35969999999998</v>
      </c>
      <c r="G62" s="21">
        <v>987.80139999999994</v>
      </c>
      <c r="H62" s="18">
        <f t="shared" si="2"/>
        <v>8790.119999999888</v>
      </c>
      <c r="I62" s="62"/>
      <c r="J62" s="59"/>
    </row>
    <row r="63" spans="1:10" ht="15.75" x14ac:dyDescent="0.25">
      <c r="A63" s="27" t="s">
        <v>83</v>
      </c>
      <c r="B63" s="150" t="s">
        <v>52</v>
      </c>
      <c r="C63" s="150">
        <v>51097620</v>
      </c>
      <c r="D63" s="150" t="s">
        <v>34</v>
      </c>
      <c r="E63" s="150">
        <v>4800</v>
      </c>
      <c r="F63" s="21">
        <v>535.56150000000002</v>
      </c>
      <c r="G63" s="21">
        <v>538.2165</v>
      </c>
      <c r="H63" s="18">
        <f t="shared" si="2"/>
        <v>12743.999999999869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50353.799999999726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50" t="s">
        <v>52</v>
      </c>
      <c r="C66" s="9">
        <v>51259238</v>
      </c>
      <c r="D66" s="74" t="s">
        <v>53</v>
      </c>
      <c r="E66" s="74">
        <v>7000</v>
      </c>
      <c r="F66" s="75">
        <v>581.87570000000005</v>
      </c>
      <c r="G66" s="75">
        <v>584.69749999999999</v>
      </c>
      <c r="H66" s="76">
        <f>(G66-F66)*E66</f>
        <v>19752.599999999577</v>
      </c>
      <c r="I66" s="77"/>
      <c r="J66" s="78"/>
    </row>
    <row r="67" spans="1:10" ht="15.75" x14ac:dyDescent="0.25">
      <c r="A67" s="27" t="s">
        <v>86</v>
      </c>
      <c r="B67" s="150" t="s">
        <v>52</v>
      </c>
      <c r="C67" s="150">
        <v>51259324</v>
      </c>
      <c r="D67" s="151" t="s">
        <v>53</v>
      </c>
      <c r="E67" s="151">
        <v>7000</v>
      </c>
      <c r="F67" s="21">
        <v>450.04399999999998</v>
      </c>
      <c r="G67" s="21">
        <v>452.16430000000003</v>
      </c>
      <c r="H67" s="18">
        <f>(G67-F67)*E67</f>
        <v>14842.1000000003</v>
      </c>
      <c r="I67" s="51"/>
      <c r="J67" s="58"/>
    </row>
    <row r="68" spans="1:10" s="129" customFormat="1" ht="15.75" x14ac:dyDescent="0.25">
      <c r="A68" s="27" t="s">
        <v>87</v>
      </c>
      <c r="B68" s="79" t="s">
        <v>88</v>
      </c>
      <c r="C68" s="150">
        <v>51491618</v>
      </c>
      <c r="D68" s="151" t="s">
        <v>63</v>
      </c>
      <c r="E68" s="150">
        <v>40</v>
      </c>
      <c r="F68" s="28">
        <v>1334.586</v>
      </c>
      <c r="G68" s="28">
        <v>1344.7425000000001</v>
      </c>
      <c r="H68" s="18">
        <f>(G68-F68)*E68</f>
        <v>406.26000000000204</v>
      </c>
      <c r="I68" s="51"/>
      <c r="J68" s="58"/>
    </row>
    <row r="69" spans="1:10" s="129" customFormat="1" ht="15.75" x14ac:dyDescent="0.25">
      <c r="A69" s="27" t="s">
        <v>89</v>
      </c>
      <c r="B69" s="79" t="s">
        <v>88</v>
      </c>
      <c r="C69" s="150">
        <v>51491624</v>
      </c>
      <c r="D69" s="151" t="s">
        <v>63</v>
      </c>
      <c r="E69" s="150">
        <v>40</v>
      </c>
      <c r="F69" s="28">
        <v>179.2</v>
      </c>
      <c r="G69" s="28">
        <v>180.226</v>
      </c>
      <c r="H69" s="18">
        <f>(G69-F69)*E69</f>
        <v>41.040000000000418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34594.699999999881</v>
      </c>
      <c r="I70" s="85">
        <f>H70-H73-H68-H69</f>
        <v>-301.0000000007999</v>
      </c>
      <c r="J70" s="25">
        <f>I70/H70</f>
        <v>-8.7007547399110541E-3</v>
      </c>
    </row>
    <row r="71" spans="1:10" ht="15.75" x14ac:dyDescent="0.25">
      <c r="A71" s="27" t="s">
        <v>91</v>
      </c>
      <c r="B71" s="150" t="s">
        <v>52</v>
      </c>
      <c r="C71" s="86">
        <v>51097588</v>
      </c>
      <c r="D71" s="151" t="s">
        <v>75</v>
      </c>
      <c r="E71" s="150">
        <v>12000</v>
      </c>
      <c r="F71" s="21">
        <v>348.1266</v>
      </c>
      <c r="G71" s="21">
        <v>349.71980000000002</v>
      </c>
      <c r="H71" s="18">
        <f>(G71-F71)*E71</f>
        <v>19118.400000000292</v>
      </c>
      <c r="I71" s="51"/>
      <c r="J71" s="58"/>
    </row>
    <row r="72" spans="1:10" ht="15.75" x14ac:dyDescent="0.25">
      <c r="A72" s="27" t="s">
        <v>92</v>
      </c>
      <c r="B72" s="150" t="s">
        <v>52</v>
      </c>
      <c r="C72" s="86">
        <v>51431335</v>
      </c>
      <c r="D72" s="151" t="s">
        <v>75</v>
      </c>
      <c r="E72" s="150">
        <v>12000</v>
      </c>
      <c r="F72" s="21">
        <v>274.44529999999997</v>
      </c>
      <c r="G72" s="21">
        <v>275.72280000000001</v>
      </c>
      <c r="H72" s="18">
        <f>(G72-F72)*E72</f>
        <v>15330.000000000382</v>
      </c>
      <c r="I72" s="51"/>
      <c r="J72" s="58"/>
    </row>
    <row r="73" spans="1:10" ht="15.75" x14ac:dyDescent="0.25">
      <c r="A73" s="87" t="s">
        <v>93</v>
      </c>
      <c r="B73" s="150" t="s">
        <v>27</v>
      </c>
      <c r="C73" s="150"/>
      <c r="D73" s="151"/>
      <c r="E73" s="150"/>
      <c r="F73" s="21"/>
      <c r="G73" s="21"/>
      <c r="H73" s="48">
        <f>H71+ H72</f>
        <v>34448.400000000678</v>
      </c>
      <c r="I73" s="85">
        <f>H73-H81</f>
        <v>-77.759999999405409</v>
      </c>
      <c r="J73" s="25">
        <f>I73/H73</f>
        <v>-2.2572891629046308E-3</v>
      </c>
    </row>
    <row r="74" spans="1:10" ht="15.75" x14ac:dyDescent="0.25">
      <c r="A74" s="27" t="s">
        <v>94</v>
      </c>
      <c r="B74" s="150" t="s">
        <v>52</v>
      </c>
      <c r="C74" s="86">
        <v>51097676</v>
      </c>
      <c r="D74" s="88" t="s">
        <v>63</v>
      </c>
      <c r="E74" s="150">
        <v>2400</v>
      </c>
      <c r="F74" s="21">
        <v>728.93</v>
      </c>
      <c r="G74" s="21">
        <v>732.45579999999995</v>
      </c>
      <c r="H74" s="18">
        <f>(G74-F74)*E74</f>
        <v>8461.9200000000092</v>
      </c>
      <c r="I74" s="51"/>
      <c r="J74" s="58"/>
    </row>
    <row r="75" spans="1:10" ht="15.75" x14ac:dyDescent="0.25">
      <c r="A75" s="27" t="s">
        <v>95</v>
      </c>
      <c r="B75" s="150" t="s">
        <v>52</v>
      </c>
      <c r="C75" s="86">
        <v>51431355</v>
      </c>
      <c r="D75" s="151" t="s">
        <v>21</v>
      </c>
      <c r="E75" s="151">
        <v>3600</v>
      </c>
      <c r="F75" s="21">
        <v>377.83260000000001</v>
      </c>
      <c r="G75" s="21">
        <v>379.18360000000001</v>
      </c>
      <c r="H75" s="18">
        <f>(G75-F75)*E75</f>
        <v>4863.5999999999967</v>
      </c>
      <c r="I75" s="51"/>
      <c r="J75" s="52"/>
    </row>
    <row r="76" spans="1:10" ht="15.75" x14ac:dyDescent="0.25">
      <c r="A76" s="27" t="s">
        <v>96</v>
      </c>
      <c r="B76" s="150" t="s">
        <v>52</v>
      </c>
      <c r="C76" s="86">
        <v>51259331</v>
      </c>
      <c r="D76" s="88" t="s">
        <v>37</v>
      </c>
      <c r="E76" s="150">
        <v>600</v>
      </c>
      <c r="F76" s="21">
        <v>172.42920000000001</v>
      </c>
      <c r="G76" s="21">
        <v>173.38239999999999</v>
      </c>
      <c r="H76" s="18">
        <f>(G76-F76)*E76</f>
        <v>571.9199999999887</v>
      </c>
      <c r="I76" s="51"/>
      <c r="J76" s="52"/>
    </row>
    <row r="77" spans="1:10" ht="15.75" x14ac:dyDescent="0.25">
      <c r="A77" s="27" t="s">
        <v>97</v>
      </c>
      <c r="B77" s="150" t="s">
        <v>52</v>
      </c>
      <c r="C77" s="86">
        <v>51259326</v>
      </c>
      <c r="D77" s="88" t="s">
        <v>14</v>
      </c>
      <c r="E77" s="150">
        <v>7200</v>
      </c>
      <c r="F77" s="21">
        <v>344.28719999999998</v>
      </c>
      <c r="G77" s="21">
        <v>345.7774</v>
      </c>
      <c r="H77" s="18">
        <f>(G77-F77)*E77</f>
        <v>10729.440000000113</v>
      </c>
      <c r="I77" s="51"/>
      <c r="J77" s="52"/>
    </row>
    <row r="78" spans="1:10" ht="15.75" x14ac:dyDescent="0.25">
      <c r="A78" s="27" t="s">
        <v>98</v>
      </c>
      <c r="B78" s="150" t="s">
        <v>52</v>
      </c>
      <c r="C78" s="86">
        <v>51431351</v>
      </c>
      <c r="D78" s="88" t="s">
        <v>14</v>
      </c>
      <c r="E78" s="150">
        <v>7200</v>
      </c>
      <c r="F78" s="21">
        <v>249.0265</v>
      </c>
      <c r="G78" s="21">
        <v>250.4014</v>
      </c>
      <c r="H78" s="18">
        <f>(G78-F78)*E78</f>
        <v>9899.279999999977</v>
      </c>
      <c r="I78" s="51"/>
      <c r="J78" s="52"/>
    </row>
    <row r="79" spans="1:10" ht="15.75" x14ac:dyDescent="0.25">
      <c r="A79" s="89" t="s">
        <v>99</v>
      </c>
      <c r="B79" s="150" t="s">
        <v>52</v>
      </c>
      <c r="C79" s="90">
        <v>51097666</v>
      </c>
      <c r="D79" s="88" t="s">
        <v>63</v>
      </c>
      <c r="E79" s="150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50" t="s">
        <v>52</v>
      </c>
      <c r="C80" s="90">
        <v>51259323</v>
      </c>
      <c r="D80" s="88" t="s">
        <v>63</v>
      </c>
      <c r="E80" s="150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34526.160000000084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50" t="s">
        <v>52</v>
      </c>
      <c r="C83" s="106">
        <v>51431297</v>
      </c>
      <c r="D83" s="151" t="s">
        <v>53</v>
      </c>
      <c r="E83" s="100">
        <v>7000</v>
      </c>
      <c r="F83" s="17">
        <v>301.44900000000001</v>
      </c>
      <c r="G83" s="17">
        <v>304.0274</v>
      </c>
      <c r="H83" s="18">
        <f>(G83-F83)*E83</f>
        <v>18048.799999999916</v>
      </c>
      <c r="I83" s="107"/>
      <c r="J83" s="108"/>
    </row>
    <row r="84" spans="1:10" ht="15.75" x14ac:dyDescent="0.25">
      <c r="A84" s="105" t="s">
        <v>86</v>
      </c>
      <c r="B84" s="150" t="s">
        <v>52</v>
      </c>
      <c r="C84" s="106">
        <v>51431332</v>
      </c>
      <c r="D84" s="151" t="s">
        <v>53</v>
      </c>
      <c r="E84" s="100">
        <v>7000</v>
      </c>
      <c r="F84" s="17">
        <v>358.70699999999999</v>
      </c>
      <c r="G84" s="17">
        <v>358.83760000000001</v>
      </c>
      <c r="H84" s="18">
        <f>(G84-F84)*E84</f>
        <v>914.20000000010759</v>
      </c>
      <c r="I84" s="150"/>
      <c r="J84" s="58"/>
    </row>
    <row r="85" spans="1:10" s="129" customFormat="1" ht="15.75" x14ac:dyDescent="0.25">
      <c r="A85" s="27" t="s">
        <v>87</v>
      </c>
      <c r="B85" s="150" t="s">
        <v>103</v>
      </c>
      <c r="C85" s="109">
        <v>150773</v>
      </c>
      <c r="D85" s="151" t="s">
        <v>53</v>
      </c>
      <c r="E85" s="109">
        <v>20</v>
      </c>
      <c r="F85" s="17">
        <v>15709</v>
      </c>
      <c r="G85" s="17">
        <v>15714.1</v>
      </c>
      <c r="H85" s="18">
        <f>(G85-F85)*E85</f>
        <v>102.00000000000728</v>
      </c>
      <c r="I85" s="51"/>
      <c r="J85" s="58"/>
    </row>
    <row r="86" spans="1:10" s="129" customFormat="1" ht="15.75" x14ac:dyDescent="0.25">
      <c r="A86" s="27" t="s">
        <v>89</v>
      </c>
      <c r="B86" s="150" t="s">
        <v>103</v>
      </c>
      <c r="C86" s="109">
        <v>150791</v>
      </c>
      <c r="D86" s="151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52"/>
      <c r="C87" s="32"/>
      <c r="D87" s="82"/>
      <c r="E87" s="82"/>
      <c r="F87" s="21"/>
      <c r="G87" s="21"/>
      <c r="H87" s="48">
        <f>H83+H84</f>
        <v>18963.000000000022</v>
      </c>
      <c r="I87" s="85">
        <f>H87-H90-H85-H86</f>
        <v>373.32000000019616</v>
      </c>
      <c r="J87" s="25">
        <f>I87/H87</f>
        <v>1.9686758424310273E-2</v>
      </c>
    </row>
    <row r="88" spans="1:10" ht="15.75" x14ac:dyDescent="0.25">
      <c r="A88" s="27" t="s">
        <v>104</v>
      </c>
      <c r="B88" s="150" t="s">
        <v>52</v>
      </c>
      <c r="C88" s="106">
        <v>51431342</v>
      </c>
      <c r="D88" s="88" t="s">
        <v>34</v>
      </c>
      <c r="E88" s="150">
        <v>4800</v>
      </c>
      <c r="F88" s="21">
        <v>428.47890000000001</v>
      </c>
      <c r="G88" s="21">
        <v>432.19490000000002</v>
      </c>
      <c r="H88" s="18">
        <f>(G88-F88)*E88</f>
        <v>17836.800000000039</v>
      </c>
      <c r="I88" s="51"/>
      <c r="J88" s="52"/>
    </row>
    <row r="89" spans="1:10" ht="15.75" x14ac:dyDescent="0.25">
      <c r="A89" s="27" t="s">
        <v>105</v>
      </c>
      <c r="B89" s="150" t="s">
        <v>52</v>
      </c>
      <c r="C89" s="106">
        <v>51431343</v>
      </c>
      <c r="D89" s="88" t="s">
        <v>34</v>
      </c>
      <c r="E89" s="150">
        <v>4800</v>
      </c>
      <c r="F89" s="21">
        <v>506.36360000000002</v>
      </c>
      <c r="G89" s="21">
        <v>506.49919999999997</v>
      </c>
      <c r="H89" s="18">
        <f>(G89-F89)*E89</f>
        <v>650.8799999997791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18487.679999999818</v>
      </c>
      <c r="I90" s="85">
        <f>H90-H98</f>
        <v>-44.700000000073487</v>
      </c>
      <c r="J90" s="25">
        <f>I90/H90</f>
        <v>-2.4178263578812447E-3</v>
      </c>
    </row>
    <row r="91" spans="1:10" ht="15.75" x14ac:dyDescent="0.25">
      <c r="A91" s="27" t="s">
        <v>107</v>
      </c>
      <c r="B91" s="150" t="s">
        <v>52</v>
      </c>
      <c r="C91" s="106">
        <v>51431347</v>
      </c>
      <c r="D91" s="151" t="s">
        <v>53</v>
      </c>
      <c r="E91" s="150">
        <v>1200</v>
      </c>
      <c r="F91" s="21">
        <v>1202.1474000000001</v>
      </c>
      <c r="G91" s="21">
        <v>1202.1474000000001</v>
      </c>
      <c r="H91" s="18">
        <f>(G91-F91)*E91</f>
        <v>0</v>
      </c>
      <c r="I91" s="51"/>
      <c r="J91" s="52"/>
    </row>
    <row r="92" spans="1:10" ht="15.75" x14ac:dyDescent="0.25">
      <c r="A92" s="27" t="s">
        <v>108</v>
      </c>
      <c r="B92" s="150" t="s">
        <v>52</v>
      </c>
      <c r="C92" s="106">
        <v>51431339</v>
      </c>
      <c r="D92" s="151" t="s">
        <v>53</v>
      </c>
      <c r="E92" s="150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50" t="s">
        <v>52</v>
      </c>
      <c r="C93" s="106">
        <v>51217244</v>
      </c>
      <c r="D93" s="150" t="s">
        <v>37</v>
      </c>
      <c r="E93" s="150">
        <v>600</v>
      </c>
      <c r="F93" s="30">
        <v>341.67430000000002</v>
      </c>
      <c r="G93" s="30">
        <v>342.63760000000002</v>
      </c>
      <c r="H93" s="18">
        <f t="shared" si="4"/>
        <v>577.98000000000229</v>
      </c>
      <c r="I93" s="51"/>
      <c r="J93" s="52"/>
    </row>
    <row r="94" spans="1:10" ht="15.75" x14ac:dyDescent="0.25">
      <c r="A94" s="27" t="s">
        <v>110</v>
      </c>
      <c r="B94" s="150" t="s">
        <v>52</v>
      </c>
      <c r="C94" s="106">
        <v>51217267</v>
      </c>
      <c r="D94" s="88" t="s">
        <v>63</v>
      </c>
      <c r="E94" s="150">
        <v>2400</v>
      </c>
      <c r="F94" s="30">
        <v>20.5382</v>
      </c>
      <c r="G94" s="30">
        <v>20.569800000000001</v>
      </c>
      <c r="H94" s="18">
        <f t="shared" si="4"/>
        <v>75.840000000002306</v>
      </c>
      <c r="I94" s="51"/>
      <c r="J94" s="52"/>
    </row>
    <row r="95" spans="1:10" ht="15.75" x14ac:dyDescent="0.25">
      <c r="A95" s="27" t="s">
        <v>111</v>
      </c>
      <c r="B95" s="150" t="s">
        <v>52</v>
      </c>
      <c r="C95" s="150">
        <v>51555165</v>
      </c>
      <c r="D95" s="151" t="s">
        <v>53</v>
      </c>
      <c r="E95" s="150">
        <v>1200</v>
      </c>
      <c r="F95" s="30">
        <v>917.68240000000003</v>
      </c>
      <c r="G95" s="30">
        <v>926.35919999999999</v>
      </c>
      <c r="H95" s="18">
        <f t="shared" si="4"/>
        <v>10412.159999999949</v>
      </c>
      <c r="I95" s="51" t="s">
        <v>27</v>
      </c>
      <c r="J95" s="52"/>
    </row>
    <row r="96" spans="1:10" ht="15.75" x14ac:dyDescent="0.25">
      <c r="A96" s="113" t="s">
        <v>112</v>
      </c>
      <c r="B96" s="150" t="s">
        <v>52</v>
      </c>
      <c r="C96" s="106">
        <v>51431346</v>
      </c>
      <c r="D96" s="114" t="s">
        <v>37</v>
      </c>
      <c r="E96" s="114">
        <v>600</v>
      </c>
      <c r="F96" s="30">
        <v>367.28719999999998</v>
      </c>
      <c r="G96" s="30">
        <v>369.45600000000002</v>
      </c>
      <c r="H96" s="115">
        <f t="shared" si="4"/>
        <v>1301.2800000000198</v>
      </c>
      <c r="I96" s="116"/>
      <c r="J96" s="117"/>
    </row>
    <row r="97" spans="1:10" ht="15.75" x14ac:dyDescent="0.25">
      <c r="A97" s="27" t="s">
        <v>113</v>
      </c>
      <c r="B97" s="150" t="s">
        <v>52</v>
      </c>
      <c r="C97" s="106">
        <v>51431352</v>
      </c>
      <c r="D97" s="88" t="s">
        <v>21</v>
      </c>
      <c r="E97" s="150">
        <v>3600</v>
      </c>
      <c r="F97" s="21">
        <v>244.46100000000001</v>
      </c>
      <c r="G97" s="21">
        <v>246.14519999999999</v>
      </c>
      <c r="H97" s="18">
        <f t="shared" si="4"/>
        <v>6063.1199999999126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18532.379999999892</v>
      </c>
      <c r="I98" s="51"/>
      <c r="J98" s="52"/>
    </row>
    <row r="99" spans="1:10" ht="15.75" x14ac:dyDescent="0.25">
      <c r="A99" s="45" t="s">
        <v>114</v>
      </c>
      <c r="B99" s="150" t="s">
        <v>52</v>
      </c>
      <c r="C99" s="120">
        <v>51431357</v>
      </c>
      <c r="D99" s="151" t="s">
        <v>63</v>
      </c>
      <c r="E99" s="151">
        <v>14000</v>
      </c>
      <c r="F99" s="28">
        <v>862.33799999999997</v>
      </c>
      <c r="G99" s="28">
        <v>865.58550000000002</v>
      </c>
      <c r="H99" s="121">
        <f t="shared" si="4"/>
        <v>45465.000000000829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>
      <selection sqref="A1:XFD104857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124</v>
      </c>
      <c r="G2" s="4" t="s">
        <v>125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47" t="s">
        <v>13</v>
      </c>
      <c r="C4" s="147">
        <v>51555166</v>
      </c>
      <c r="D4" s="147" t="s">
        <v>14</v>
      </c>
      <c r="E4" s="147">
        <v>132000</v>
      </c>
      <c r="F4" s="17">
        <v>6.9554</v>
      </c>
      <c r="G4" s="17">
        <v>6.9631999999999996</v>
      </c>
      <c r="H4" s="18">
        <f>(G4-F4)*E4</f>
        <v>1029.5999999999453</v>
      </c>
      <c r="I4" s="19"/>
      <c r="J4" s="20"/>
    </row>
    <row r="5" spans="1:10" ht="15.75" x14ac:dyDescent="0.25">
      <c r="A5" s="15" t="s">
        <v>15</v>
      </c>
      <c r="B5" s="147" t="s">
        <v>13</v>
      </c>
      <c r="C5" s="147">
        <v>51555191</v>
      </c>
      <c r="D5" s="147" t="s">
        <v>14</v>
      </c>
      <c r="E5" s="147">
        <v>132000</v>
      </c>
      <c r="F5" s="21">
        <v>387.02850000000001</v>
      </c>
      <c r="G5" s="21">
        <v>389.09589999999997</v>
      </c>
      <c r="H5" s="18">
        <f>(G5-F5)*E5</f>
        <v>272896.79999999522</v>
      </c>
      <c r="I5" s="19"/>
      <c r="J5" s="20"/>
    </row>
    <row r="6" spans="1:10" ht="15.75" x14ac:dyDescent="0.25">
      <c r="A6" s="218" t="s">
        <v>16</v>
      </c>
      <c r="B6" s="219"/>
      <c r="C6" s="147"/>
      <c r="D6" s="148"/>
      <c r="E6" s="147"/>
      <c r="H6" s="23">
        <f>H4+H5</f>
        <v>273926.39999999513</v>
      </c>
      <c r="I6" s="24">
        <f>H6-H9-H19</f>
        <v>2566.7999999959575</v>
      </c>
      <c r="J6" s="25">
        <f>I6/H6</f>
        <v>9.3704002242792333E-3</v>
      </c>
    </row>
    <row r="7" spans="1:10" ht="15.75" x14ac:dyDescent="0.25">
      <c r="A7" s="26" t="s">
        <v>17</v>
      </c>
      <c r="B7" s="147" t="s">
        <v>13</v>
      </c>
      <c r="C7" s="147">
        <v>51097629</v>
      </c>
      <c r="D7" s="148" t="s">
        <v>14</v>
      </c>
      <c r="E7" s="147">
        <v>42000</v>
      </c>
      <c r="F7" s="21">
        <v>1137.4576999999999</v>
      </c>
      <c r="G7" s="21">
        <v>1142.0536999999999</v>
      </c>
      <c r="H7" s="18">
        <f>(G7-F7)*E7</f>
        <v>193032.00000000015</v>
      </c>
      <c r="I7" s="19"/>
      <c r="J7" s="20"/>
    </row>
    <row r="8" spans="1:10" ht="15.75" x14ac:dyDescent="0.25">
      <c r="A8" s="26" t="s">
        <v>18</v>
      </c>
      <c r="B8" s="147" t="s">
        <v>13</v>
      </c>
      <c r="C8" s="147">
        <v>51616820</v>
      </c>
      <c r="D8" s="148" t="s">
        <v>14</v>
      </c>
      <c r="E8" s="147">
        <v>42000</v>
      </c>
      <c r="F8" s="21">
        <v>15.323499999999999</v>
      </c>
      <c r="G8" s="21">
        <v>15.3347</v>
      </c>
      <c r="H8" s="18">
        <f>(G8-F8)*E8</f>
        <v>470.40000000002283</v>
      </c>
      <c r="I8" s="19"/>
      <c r="J8" s="20"/>
    </row>
    <row r="9" spans="1:10" ht="15.75" x14ac:dyDescent="0.25">
      <c r="A9" s="218" t="s">
        <v>19</v>
      </c>
      <c r="B9" s="219"/>
      <c r="C9" s="147"/>
      <c r="D9" s="148"/>
      <c r="E9" s="147"/>
      <c r="F9" s="21"/>
      <c r="G9" s="21"/>
      <c r="H9" s="23">
        <f>H7+H8</f>
        <v>193502.40000000017</v>
      </c>
      <c r="I9" s="24">
        <f>H9-H16</f>
        <v>-6.2999999994062819</v>
      </c>
      <c r="J9" s="25">
        <f>I9/H9</f>
        <v>-3.2557735714938299E-5</v>
      </c>
    </row>
    <row r="10" spans="1:10" ht="15.75" x14ac:dyDescent="0.25">
      <c r="A10" s="27" t="s">
        <v>20</v>
      </c>
      <c r="B10" s="147" t="s">
        <v>13</v>
      </c>
      <c r="C10" s="147">
        <v>51217286</v>
      </c>
      <c r="D10" s="148" t="s">
        <v>21</v>
      </c>
      <c r="E10" s="147">
        <v>21000</v>
      </c>
      <c r="F10" s="21">
        <v>899.44200000000001</v>
      </c>
      <c r="G10" s="21">
        <v>902.76329999999996</v>
      </c>
      <c r="H10" s="18">
        <f t="shared" ref="H10:H15" si="0">(G10-F10)*E10</f>
        <v>69747.29999999897</v>
      </c>
      <c r="I10" s="19"/>
      <c r="J10" s="20"/>
    </row>
    <row r="11" spans="1:10" ht="15.75" x14ac:dyDescent="0.25">
      <c r="A11" s="27" t="s">
        <v>22</v>
      </c>
      <c r="B11" s="147" t="s">
        <v>13</v>
      </c>
      <c r="C11" s="147">
        <v>51217292</v>
      </c>
      <c r="D11" s="148" t="s">
        <v>21</v>
      </c>
      <c r="E11" s="147">
        <v>21000</v>
      </c>
      <c r="F11" s="28">
        <v>3.9310999999999998</v>
      </c>
      <c r="G11" s="28">
        <v>3.9350999999999998</v>
      </c>
      <c r="H11" s="18">
        <f>(G11-F11)*E11</f>
        <v>84.000000000000071</v>
      </c>
      <c r="I11" s="19"/>
      <c r="J11" s="20"/>
    </row>
    <row r="12" spans="1:10" ht="15.75" x14ac:dyDescent="0.25">
      <c r="A12" s="27" t="s">
        <v>23</v>
      </c>
      <c r="B12" s="147" t="s">
        <v>13</v>
      </c>
      <c r="C12" s="147">
        <v>51217271</v>
      </c>
      <c r="D12" s="148" t="s">
        <v>21</v>
      </c>
      <c r="E12" s="147">
        <v>21000</v>
      </c>
      <c r="F12" s="21">
        <v>672.74390000000005</v>
      </c>
      <c r="G12" s="21">
        <v>675.65290000000005</v>
      </c>
      <c r="H12" s="18">
        <f t="shared" si="0"/>
        <v>61088.999999999825</v>
      </c>
      <c r="I12" s="19"/>
      <c r="J12" s="20"/>
    </row>
    <row r="13" spans="1:10" ht="15.75" x14ac:dyDescent="0.25">
      <c r="A13" s="27" t="s">
        <v>24</v>
      </c>
      <c r="B13" s="147" t="s">
        <v>13</v>
      </c>
      <c r="C13" s="147">
        <v>51217276</v>
      </c>
      <c r="D13" s="148" t="s">
        <v>21</v>
      </c>
      <c r="E13" s="147">
        <v>21000</v>
      </c>
      <c r="F13" s="28">
        <v>0.59609999999999996</v>
      </c>
      <c r="G13" s="28">
        <v>0.59670000000000001</v>
      </c>
      <c r="H13" s="18">
        <f>(G13-F13)*E13</f>
        <v>12.600000000000943</v>
      </c>
      <c r="I13" s="19"/>
      <c r="J13" s="20"/>
    </row>
    <row r="14" spans="1:10" ht="15.75" x14ac:dyDescent="0.25">
      <c r="A14" s="27" t="s">
        <v>25</v>
      </c>
      <c r="B14" s="147" t="s">
        <v>13</v>
      </c>
      <c r="C14" s="147">
        <v>51100990</v>
      </c>
      <c r="D14" s="148" t="s">
        <v>21</v>
      </c>
      <c r="E14" s="147">
        <v>21000</v>
      </c>
      <c r="F14" s="29">
        <v>722.06939999999997</v>
      </c>
      <c r="G14" s="29">
        <v>725.03710000000001</v>
      </c>
      <c r="H14" s="18">
        <f t="shared" si="0"/>
        <v>62321.700000000761</v>
      </c>
      <c r="I14" s="19"/>
      <c r="J14" s="20"/>
    </row>
    <row r="15" spans="1:10" ht="15.75" x14ac:dyDescent="0.25">
      <c r="A15" s="27" t="s">
        <v>26</v>
      </c>
      <c r="B15" s="147" t="s">
        <v>13</v>
      </c>
      <c r="C15" s="147">
        <v>51097622</v>
      </c>
      <c r="D15" s="148" t="s">
        <v>21</v>
      </c>
      <c r="E15" s="147">
        <v>21000</v>
      </c>
      <c r="F15" s="21">
        <v>9.3051999999999992</v>
      </c>
      <c r="G15" s="21">
        <v>9.3172999999999995</v>
      </c>
      <c r="H15" s="18">
        <f t="shared" si="0"/>
        <v>254.10000000000466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47"/>
      <c r="D16" s="148"/>
      <c r="E16" s="147"/>
      <c r="F16" s="21"/>
      <c r="G16" s="21"/>
      <c r="H16" s="23">
        <f>H10+H11+H12+H13+H14+H15</f>
        <v>193508.69999999958</v>
      </c>
      <c r="I16" s="19"/>
      <c r="J16" s="20"/>
    </row>
    <row r="17" spans="1:10" ht="15.75" x14ac:dyDescent="0.25">
      <c r="A17" s="26" t="s">
        <v>29</v>
      </c>
      <c r="B17" s="147" t="s">
        <v>13</v>
      </c>
      <c r="C17" s="147">
        <v>51097617</v>
      </c>
      <c r="D17" s="148" t="s">
        <v>30</v>
      </c>
      <c r="E17" s="147">
        <v>18000</v>
      </c>
      <c r="F17" s="30">
        <v>886.9701</v>
      </c>
      <c r="G17" s="30">
        <v>891.29549999999995</v>
      </c>
      <c r="H17" s="18">
        <f>(G17-F17)*E17</f>
        <v>77857.199999999008</v>
      </c>
      <c r="I17" s="19"/>
      <c r="J17" s="20"/>
    </row>
    <row r="18" spans="1:10" ht="15.75" x14ac:dyDescent="0.25">
      <c r="A18" s="26" t="s">
        <v>31</v>
      </c>
      <c r="B18" s="147" t="s">
        <v>13</v>
      </c>
      <c r="C18" s="147">
        <v>51097655</v>
      </c>
      <c r="D18" s="148" t="s">
        <v>30</v>
      </c>
      <c r="E18" s="147">
        <v>18000</v>
      </c>
      <c r="F18" s="30">
        <v>11.5421</v>
      </c>
      <c r="G18" s="30">
        <v>11.5421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47"/>
      <c r="D19" s="148"/>
      <c r="E19" s="147"/>
      <c r="F19" s="30"/>
      <c r="G19" s="30"/>
      <c r="H19" s="23">
        <f>H17+H18</f>
        <v>77857.199999999008</v>
      </c>
      <c r="I19" s="24">
        <f>H19-H34</f>
        <v>4576.259999998656</v>
      </c>
      <c r="J19" s="25">
        <f>I19/H19</f>
        <v>5.8777608236601296E-2</v>
      </c>
    </row>
    <row r="20" spans="1:10" ht="15.75" x14ac:dyDescent="0.25">
      <c r="A20" s="15" t="s">
        <v>33</v>
      </c>
      <c r="B20" s="147" t="s">
        <v>13</v>
      </c>
      <c r="C20" s="147">
        <v>51217282</v>
      </c>
      <c r="D20" s="148" t="s">
        <v>34</v>
      </c>
      <c r="E20" s="147">
        <v>4800</v>
      </c>
      <c r="F20" s="21">
        <v>385.18729999999999</v>
      </c>
      <c r="G20" s="21">
        <v>385.26429999999999</v>
      </c>
      <c r="H20" s="18">
        <f t="shared" ref="H20:H33" si="1">(G20-F20)*E20</f>
        <v>369.59999999999127</v>
      </c>
      <c r="I20" s="19" t="s">
        <v>27</v>
      </c>
      <c r="J20" s="20"/>
    </row>
    <row r="21" spans="1:10" ht="15.75" x14ac:dyDescent="0.25">
      <c r="A21" s="15" t="s">
        <v>35</v>
      </c>
      <c r="B21" s="147" t="s">
        <v>13</v>
      </c>
      <c r="C21" s="147">
        <v>51217274</v>
      </c>
      <c r="D21" s="148" t="s">
        <v>34</v>
      </c>
      <c r="E21" s="147">
        <v>4800</v>
      </c>
      <c r="F21" s="21">
        <v>1383.7533000000001</v>
      </c>
      <c r="G21" s="21">
        <v>1389.2953</v>
      </c>
      <c r="H21" s="18">
        <f t="shared" si="1"/>
        <v>26601.599999999598</v>
      </c>
      <c r="I21" s="19"/>
      <c r="J21" s="20"/>
    </row>
    <row r="22" spans="1:10" ht="15.75" x14ac:dyDescent="0.25">
      <c r="A22" s="15" t="s">
        <v>36</v>
      </c>
      <c r="B22" s="147" t="s">
        <v>13</v>
      </c>
      <c r="C22" s="147">
        <v>51097664</v>
      </c>
      <c r="D22" s="148" t="s">
        <v>37</v>
      </c>
      <c r="E22" s="147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47" t="s">
        <v>13</v>
      </c>
      <c r="C23" s="147">
        <v>51097615</v>
      </c>
      <c r="D23" s="148" t="s">
        <v>37</v>
      </c>
      <c r="E23" s="147">
        <v>600</v>
      </c>
      <c r="F23" s="21">
        <v>46.100999999999999</v>
      </c>
      <c r="G23" s="21">
        <v>46.4069</v>
      </c>
      <c r="H23" s="18">
        <f t="shared" si="1"/>
        <v>183.5400000000007</v>
      </c>
      <c r="I23" s="19"/>
      <c r="J23" s="20"/>
    </row>
    <row r="24" spans="1:10" ht="15.75" x14ac:dyDescent="0.25">
      <c r="A24" s="15" t="s">
        <v>39</v>
      </c>
      <c r="B24" s="147" t="s">
        <v>13</v>
      </c>
      <c r="C24" s="147">
        <v>51217264</v>
      </c>
      <c r="D24" s="148" t="s">
        <v>37</v>
      </c>
      <c r="E24" s="147">
        <v>600</v>
      </c>
      <c r="F24" s="21">
        <v>107.81180000000001</v>
      </c>
      <c r="G24" s="21">
        <v>108.49120000000001</v>
      </c>
      <c r="H24" s="18">
        <f t="shared" si="1"/>
        <v>407.64000000000067</v>
      </c>
      <c r="I24" s="19"/>
      <c r="J24" s="20"/>
    </row>
    <row r="25" spans="1:10" ht="15.75" x14ac:dyDescent="0.25">
      <c r="A25" s="15" t="s">
        <v>40</v>
      </c>
      <c r="B25" s="147" t="s">
        <v>13</v>
      </c>
      <c r="C25" s="147">
        <v>51217288</v>
      </c>
      <c r="D25" s="148" t="s">
        <v>37</v>
      </c>
      <c r="E25" s="147">
        <v>600</v>
      </c>
      <c r="F25" s="21">
        <v>20.670300000000001</v>
      </c>
      <c r="G25" s="21">
        <v>20.700500000000002</v>
      </c>
      <c r="H25" s="18">
        <f t="shared" si="1"/>
        <v>18.120000000000402</v>
      </c>
      <c r="I25" s="19" t="s">
        <v>27</v>
      </c>
      <c r="J25" s="20"/>
    </row>
    <row r="26" spans="1:10" ht="15.75" x14ac:dyDescent="0.25">
      <c r="A26" s="15" t="s">
        <v>41</v>
      </c>
      <c r="B26" s="147" t="s">
        <v>13</v>
      </c>
      <c r="C26" s="147">
        <v>51217279</v>
      </c>
      <c r="D26" s="148" t="s">
        <v>37</v>
      </c>
      <c r="E26" s="147">
        <v>600</v>
      </c>
      <c r="F26" s="21">
        <v>15.644</v>
      </c>
      <c r="G26" s="21">
        <v>15.696899999999999</v>
      </c>
      <c r="H26" s="18">
        <f t="shared" si="1"/>
        <v>31.739999999999569</v>
      </c>
      <c r="I26" s="19" t="s">
        <v>27</v>
      </c>
      <c r="J26" s="20"/>
    </row>
    <row r="27" spans="1:10" ht="15.75" x14ac:dyDescent="0.25">
      <c r="A27" s="15" t="s">
        <v>42</v>
      </c>
      <c r="B27" s="147" t="s">
        <v>13</v>
      </c>
      <c r="C27" s="147">
        <v>51217272</v>
      </c>
      <c r="D27" s="148" t="s">
        <v>37</v>
      </c>
      <c r="E27" s="147">
        <v>600</v>
      </c>
      <c r="F27" s="31">
        <v>15.3439</v>
      </c>
      <c r="G27" s="31">
        <v>15.3956</v>
      </c>
      <c r="H27" s="18">
        <f t="shared" si="1"/>
        <v>31.020000000000181</v>
      </c>
      <c r="I27" s="19"/>
      <c r="J27" s="20"/>
    </row>
    <row r="28" spans="1:10" ht="15.75" x14ac:dyDescent="0.25">
      <c r="A28" s="15" t="s">
        <v>43</v>
      </c>
      <c r="B28" s="147" t="s">
        <v>13</v>
      </c>
      <c r="C28" s="147">
        <v>51616744</v>
      </c>
      <c r="D28" s="148">
        <f>300/5</f>
        <v>60</v>
      </c>
      <c r="E28" s="147">
        <v>3600</v>
      </c>
      <c r="F28" s="31">
        <v>109.78489999999999</v>
      </c>
      <c r="G28" s="31">
        <v>109.78489999999999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47" t="s">
        <v>13</v>
      </c>
      <c r="C29" s="147">
        <v>51555226</v>
      </c>
      <c r="D29" s="148">
        <f>300/5</f>
        <v>60</v>
      </c>
      <c r="E29" s="147">
        <v>3600</v>
      </c>
      <c r="F29" s="31">
        <v>543.70579999999995</v>
      </c>
      <c r="G29" s="31">
        <v>548.05280000000005</v>
      </c>
      <c r="H29" s="18">
        <f>(G29-F29)*E29</f>
        <v>15649.200000000337</v>
      </c>
      <c r="I29" s="19"/>
      <c r="J29" s="20"/>
    </row>
    <row r="30" spans="1:10" ht="15.75" x14ac:dyDescent="0.25">
      <c r="A30" s="15" t="s">
        <v>45</v>
      </c>
      <c r="B30" s="147" t="s">
        <v>13</v>
      </c>
      <c r="C30" s="147">
        <v>51097658</v>
      </c>
      <c r="D30" s="148" t="s">
        <v>34</v>
      </c>
      <c r="E30" s="147">
        <v>4800</v>
      </c>
      <c r="F30" s="31">
        <v>693.47619999999995</v>
      </c>
      <c r="G30" s="31">
        <v>697.24890000000005</v>
      </c>
      <c r="H30" s="18">
        <f t="shared" si="1"/>
        <v>18108.960000000479</v>
      </c>
      <c r="I30" s="19"/>
      <c r="J30" s="20"/>
    </row>
    <row r="31" spans="1:10" ht="15.75" x14ac:dyDescent="0.25">
      <c r="A31" s="15" t="s">
        <v>46</v>
      </c>
      <c r="B31" s="147" t="s">
        <v>13</v>
      </c>
      <c r="C31" s="147">
        <v>51097635</v>
      </c>
      <c r="D31" s="148" t="s">
        <v>34</v>
      </c>
      <c r="E31" s="147">
        <v>4800</v>
      </c>
      <c r="F31" s="31">
        <v>48.476900000000001</v>
      </c>
      <c r="G31" s="31">
        <v>48.476900000000001</v>
      </c>
      <c r="H31" s="18">
        <f t="shared" si="1"/>
        <v>0</v>
      </c>
      <c r="I31" s="19"/>
      <c r="J31" s="20"/>
    </row>
    <row r="32" spans="1:10" ht="15.75" x14ac:dyDescent="0.25">
      <c r="A32" s="15" t="s">
        <v>47</v>
      </c>
      <c r="B32" s="147" t="s">
        <v>13</v>
      </c>
      <c r="C32" s="32">
        <v>51097633</v>
      </c>
      <c r="D32" s="148" t="s">
        <v>34</v>
      </c>
      <c r="E32" s="147">
        <v>4800</v>
      </c>
      <c r="F32" s="31">
        <v>198.99760000000001</v>
      </c>
      <c r="G32" s="31">
        <v>201.4177</v>
      </c>
      <c r="H32" s="33">
        <f t="shared" si="1"/>
        <v>11616.479999999956</v>
      </c>
      <c r="I32" s="34"/>
      <c r="J32" s="35"/>
    </row>
    <row r="33" spans="1:10" ht="15.75" x14ac:dyDescent="0.25">
      <c r="A33" s="15" t="s">
        <v>48</v>
      </c>
      <c r="B33" s="147" t="s">
        <v>13</v>
      </c>
      <c r="C33" s="32">
        <v>51097662</v>
      </c>
      <c r="D33" s="148" t="s">
        <v>34</v>
      </c>
      <c r="E33" s="147">
        <v>4800</v>
      </c>
      <c r="F33" s="31">
        <v>4.1428000000000003</v>
      </c>
      <c r="G33" s="31">
        <v>4.1976000000000004</v>
      </c>
      <c r="H33" s="33">
        <f t="shared" si="1"/>
        <v>263.04000000000087</v>
      </c>
      <c r="I33" s="34"/>
      <c r="J33" s="35"/>
    </row>
    <row r="34" spans="1:10" ht="15.75" x14ac:dyDescent="0.25">
      <c r="A34" s="218" t="s">
        <v>49</v>
      </c>
      <c r="B34" s="219"/>
      <c r="C34" s="147"/>
      <c r="D34" s="148"/>
      <c r="E34" s="147"/>
      <c r="F34" s="36"/>
      <c r="G34" s="36"/>
      <c r="H34" s="23">
        <f>H20+H21+H22+H23+H24+H25+H26+H27+H28+H29+H30+H31+H32+H33</f>
        <v>73280.940000000352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47" t="s">
        <v>52</v>
      </c>
      <c r="C36" s="147">
        <v>51555209</v>
      </c>
      <c r="D36" s="148" t="s">
        <v>53</v>
      </c>
      <c r="E36" s="147">
        <v>7000</v>
      </c>
      <c r="F36" s="17">
        <v>6.1143000000000001</v>
      </c>
      <c r="G36" s="17">
        <v>6.1279000000000003</v>
      </c>
      <c r="H36" s="41">
        <f>(G36-F36)*E36</f>
        <v>95.20000000000195</v>
      </c>
      <c r="I36" s="42"/>
      <c r="J36" s="14"/>
    </row>
    <row r="37" spans="1:10" ht="15.75" x14ac:dyDescent="0.25">
      <c r="A37" s="15" t="s">
        <v>54</v>
      </c>
      <c r="B37" s="147" t="s">
        <v>52</v>
      </c>
      <c r="C37" s="147">
        <v>51555209</v>
      </c>
      <c r="D37" s="148" t="s">
        <v>53</v>
      </c>
      <c r="E37" s="147">
        <v>7000</v>
      </c>
      <c r="F37" s="21">
        <v>10.6759</v>
      </c>
      <c r="G37" s="21">
        <v>10.7247</v>
      </c>
      <c r="H37" s="18">
        <f>(G37-F37)*E37</f>
        <v>341.59999999999968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47" t="s">
        <v>52</v>
      </c>
      <c r="C39" s="147">
        <v>51097674</v>
      </c>
      <c r="D39" s="147" t="s">
        <v>14</v>
      </c>
      <c r="E39" s="147">
        <v>7200</v>
      </c>
      <c r="F39" s="21">
        <v>615.95989999999995</v>
      </c>
      <c r="G39" s="21">
        <v>618.31330000000003</v>
      </c>
      <c r="H39" s="18">
        <f>(G39-F39)*E39</f>
        <v>16944.480000000567</v>
      </c>
      <c r="I39" s="47"/>
      <c r="J39" s="20"/>
    </row>
    <row r="40" spans="1:10" ht="15.75" x14ac:dyDescent="0.25">
      <c r="A40" s="27" t="s">
        <v>57</v>
      </c>
      <c r="B40" s="147" t="s">
        <v>52</v>
      </c>
      <c r="C40" s="147">
        <v>51259257</v>
      </c>
      <c r="D40" s="147" t="s">
        <v>14</v>
      </c>
      <c r="E40" s="147">
        <v>7200</v>
      </c>
      <c r="F40" s="21">
        <v>1.0555000000000001</v>
      </c>
      <c r="G40" s="21">
        <v>1.0555000000000001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47"/>
      <c r="C41" s="147"/>
      <c r="D41" s="147"/>
      <c r="E41" s="147"/>
      <c r="F41" s="21"/>
      <c r="G41" s="21"/>
      <c r="H41" s="48">
        <f>H39+H40</f>
        <v>16944.480000000567</v>
      </c>
      <c r="I41" s="24">
        <f>H41-H49</f>
        <v>-116.11999999947147</v>
      </c>
      <c r="J41" s="25">
        <f>I41/H41</f>
        <v>-6.8529692265249563E-3</v>
      </c>
    </row>
    <row r="42" spans="1:10" ht="15.75" x14ac:dyDescent="0.25">
      <c r="A42" s="15" t="s">
        <v>59</v>
      </c>
      <c r="B42" s="147"/>
      <c r="C42" s="147"/>
      <c r="D42" s="148"/>
      <c r="E42" s="147"/>
      <c r="H42" s="18"/>
      <c r="I42" s="43"/>
      <c r="J42" s="20"/>
    </row>
    <row r="43" spans="1:10" ht="15.75" x14ac:dyDescent="0.25">
      <c r="A43" s="27" t="s">
        <v>60</v>
      </c>
      <c r="B43" s="147" t="s">
        <v>52</v>
      </c>
      <c r="C43" s="32">
        <v>51097648</v>
      </c>
      <c r="D43" s="147" t="s">
        <v>53</v>
      </c>
      <c r="E43" s="147">
        <v>1200</v>
      </c>
      <c r="F43" s="21">
        <v>504.17680000000001</v>
      </c>
      <c r="G43" s="21">
        <v>506.1823</v>
      </c>
      <c r="H43" s="33">
        <f>(G43-F43)*E43</f>
        <v>2406.5999999999804</v>
      </c>
      <c r="I43" s="43"/>
      <c r="J43" s="20"/>
    </row>
    <row r="44" spans="1:10" ht="15.75" x14ac:dyDescent="0.25">
      <c r="A44" s="27" t="s">
        <v>61</v>
      </c>
      <c r="B44" s="147" t="s">
        <v>52</v>
      </c>
      <c r="C44" s="32">
        <v>50555043</v>
      </c>
      <c r="D44" s="147" t="s">
        <v>53</v>
      </c>
      <c r="E44" s="147">
        <v>1200</v>
      </c>
      <c r="F44" s="21">
        <v>2109.8067999999998</v>
      </c>
      <c r="G44" s="21">
        <v>2117.9618</v>
      </c>
      <c r="H44" s="33">
        <f>(G44-F44)*E44</f>
        <v>9786.0000000002401</v>
      </c>
      <c r="I44" s="43"/>
      <c r="J44" s="20"/>
    </row>
    <row r="45" spans="1:10" ht="15.75" x14ac:dyDescent="0.25">
      <c r="A45" s="27" t="s">
        <v>62</v>
      </c>
      <c r="B45" s="147" t="s">
        <v>52</v>
      </c>
      <c r="C45" s="32">
        <v>51259336</v>
      </c>
      <c r="D45" s="147" t="s">
        <v>63</v>
      </c>
      <c r="E45" s="147">
        <v>2400</v>
      </c>
      <c r="F45" s="21">
        <v>4.2564000000000002</v>
      </c>
      <c r="G45" s="21">
        <v>4.2697000000000003</v>
      </c>
      <c r="H45" s="33">
        <f>(G45-F45)*E45</f>
        <v>31.920000000000215</v>
      </c>
      <c r="I45" s="43"/>
      <c r="J45" s="20"/>
    </row>
    <row r="46" spans="1:10" ht="15.75" x14ac:dyDescent="0.25">
      <c r="A46" s="27" t="s">
        <v>64</v>
      </c>
      <c r="B46" s="147" t="s">
        <v>52</v>
      </c>
      <c r="C46" s="32">
        <v>51259266</v>
      </c>
      <c r="D46" s="147" t="s">
        <v>53</v>
      </c>
      <c r="E46" s="147">
        <v>1200</v>
      </c>
      <c r="F46" s="21">
        <v>1023.0537</v>
      </c>
      <c r="G46" s="21">
        <v>1026.7331999999999</v>
      </c>
      <c r="H46" s="33">
        <f>(G46-F46)*E46</f>
        <v>4415.3999999998177</v>
      </c>
      <c r="I46" s="43"/>
      <c r="J46" s="20"/>
    </row>
    <row r="47" spans="1:10" ht="15.75" x14ac:dyDescent="0.25">
      <c r="A47" s="27" t="s">
        <v>65</v>
      </c>
      <c r="B47" s="147" t="s">
        <v>52</v>
      </c>
      <c r="C47" s="32">
        <v>51431336</v>
      </c>
      <c r="D47" s="147" t="s">
        <v>53</v>
      </c>
      <c r="E47" s="147">
        <v>1200</v>
      </c>
      <c r="F47" s="21">
        <v>61.092300000000002</v>
      </c>
      <c r="G47" s="21">
        <v>61.401200000000003</v>
      </c>
      <c r="H47" s="33">
        <f>(G47-F47)*E47</f>
        <v>370.68000000000154</v>
      </c>
      <c r="I47" s="43"/>
      <c r="J47" s="20"/>
    </row>
    <row r="48" spans="1:10" ht="15.75" x14ac:dyDescent="0.25">
      <c r="A48" s="15" t="s">
        <v>66</v>
      </c>
      <c r="B48" s="147" t="s">
        <v>67</v>
      </c>
      <c r="C48" s="147">
        <v>49174</v>
      </c>
      <c r="D48" s="148" t="s">
        <v>53</v>
      </c>
      <c r="E48" s="147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17060.600000000039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47" t="s">
        <v>52</v>
      </c>
      <c r="C51" s="147">
        <v>51097603</v>
      </c>
      <c r="D51" s="148" t="s">
        <v>53</v>
      </c>
      <c r="E51" s="147">
        <v>7000</v>
      </c>
      <c r="F51" s="17">
        <v>2008.3942</v>
      </c>
      <c r="G51" s="17">
        <v>2015.6899000000001</v>
      </c>
      <c r="H51" s="18">
        <f>(G51-F51)*E51</f>
        <v>51069.900000000867</v>
      </c>
      <c r="I51" s="43"/>
      <c r="J51" s="20"/>
    </row>
    <row r="52" spans="1:10" ht="15.75" x14ac:dyDescent="0.25">
      <c r="A52" s="27" t="s">
        <v>72</v>
      </c>
      <c r="B52" s="147" t="s">
        <v>52</v>
      </c>
      <c r="C52" s="147">
        <v>51097590</v>
      </c>
      <c r="D52" s="148" t="s">
        <v>53</v>
      </c>
      <c r="E52" s="147">
        <v>7000</v>
      </c>
      <c r="F52" s="21">
        <v>12.876200000000001</v>
      </c>
      <c r="G52" s="21">
        <v>12.8986</v>
      </c>
      <c r="H52" s="18">
        <f>(G52-F52)*E52</f>
        <v>156.79999999999518</v>
      </c>
      <c r="I52" s="43"/>
      <c r="J52" s="20"/>
    </row>
    <row r="53" spans="1:10" ht="15.75" x14ac:dyDescent="0.25">
      <c r="A53" s="15" t="s">
        <v>66</v>
      </c>
      <c r="B53" s="147" t="s">
        <v>67</v>
      </c>
      <c r="C53" s="147">
        <v>49174</v>
      </c>
      <c r="D53" s="148" t="s">
        <v>53</v>
      </c>
      <c r="E53" s="147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47"/>
      <c r="D54" s="148"/>
      <c r="E54" s="147"/>
      <c r="F54" s="21"/>
      <c r="G54" s="21"/>
      <c r="H54" s="48">
        <f>H51+H52+H53</f>
        <v>51326.700000000863</v>
      </c>
      <c r="I54" s="47"/>
      <c r="J54" s="59"/>
    </row>
    <row r="55" spans="1:10" ht="15.75" x14ac:dyDescent="0.25">
      <c r="A55" s="27" t="s">
        <v>74</v>
      </c>
      <c r="B55" s="147" t="s">
        <v>52</v>
      </c>
      <c r="C55" s="147">
        <v>51100980</v>
      </c>
      <c r="D55" s="147" t="s">
        <v>75</v>
      </c>
      <c r="E55" s="147">
        <v>12000</v>
      </c>
      <c r="F55" s="21">
        <v>1181.5197000000001</v>
      </c>
      <c r="G55" s="21">
        <v>1185.8012000000001</v>
      </c>
      <c r="H55" s="18">
        <f>(G55-F55)*E55</f>
        <v>51378.000000000611</v>
      </c>
      <c r="I55" s="47"/>
      <c r="J55" s="58"/>
    </row>
    <row r="56" spans="1:10" ht="15.75" x14ac:dyDescent="0.25">
      <c r="A56" s="27" t="s">
        <v>76</v>
      </c>
      <c r="B56" s="147" t="s">
        <v>52</v>
      </c>
      <c r="C56" s="147">
        <v>51097623</v>
      </c>
      <c r="D56" s="147" t="s">
        <v>75</v>
      </c>
      <c r="E56" s="147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47"/>
      <c r="C57" s="147"/>
      <c r="D57" s="147"/>
      <c r="E57" s="147"/>
      <c r="F57" s="21"/>
      <c r="G57" s="21"/>
      <c r="H57" s="48">
        <f>H55+H56</f>
        <v>51378.000000000611</v>
      </c>
      <c r="I57" s="61">
        <f>H54-H64-H53</f>
        <v>-210.21999999887339</v>
      </c>
      <c r="J57" s="25">
        <f>I57/H57</f>
        <v>-4.0916345517316927E-3</v>
      </c>
    </row>
    <row r="58" spans="1:10" ht="15.75" x14ac:dyDescent="0.25">
      <c r="A58" s="27" t="s">
        <v>78</v>
      </c>
      <c r="B58" s="147" t="s">
        <v>52</v>
      </c>
      <c r="C58" s="147">
        <v>51097675</v>
      </c>
      <c r="D58" s="147" t="s">
        <v>34</v>
      </c>
      <c r="E58" s="147">
        <v>4800</v>
      </c>
      <c r="F58" s="21">
        <v>540.21379999999999</v>
      </c>
      <c r="G58" s="21">
        <v>543.79629999999997</v>
      </c>
      <c r="H58" s="18">
        <f t="shared" ref="H58:H63" si="2">(G58-F58)*E58</f>
        <v>17195.999999999913</v>
      </c>
      <c r="I58" s="62"/>
      <c r="J58" s="59"/>
    </row>
    <row r="59" spans="1:10" ht="15.75" x14ac:dyDescent="0.25">
      <c r="A59" s="27" t="s">
        <v>79</v>
      </c>
      <c r="B59" s="147" t="s">
        <v>52</v>
      </c>
      <c r="C59" s="147">
        <v>51100997</v>
      </c>
      <c r="D59" s="147" t="s">
        <v>21</v>
      </c>
      <c r="E59" s="147">
        <v>3600</v>
      </c>
      <c r="F59" s="21">
        <v>1406.5273</v>
      </c>
      <c r="G59" s="21">
        <v>1409.3508999999999</v>
      </c>
      <c r="H59" s="18">
        <f t="shared" si="2"/>
        <v>10164.959999999792</v>
      </c>
      <c r="I59" s="62"/>
      <c r="J59" s="59"/>
    </row>
    <row r="60" spans="1:10" ht="15.75" x14ac:dyDescent="0.25">
      <c r="A60" s="27" t="s">
        <v>80</v>
      </c>
      <c r="B60" s="147" t="s">
        <v>52</v>
      </c>
      <c r="C60" s="147">
        <v>51555218</v>
      </c>
      <c r="D60" s="147">
        <f>400/5</f>
        <v>80</v>
      </c>
      <c r="E60" s="147">
        <v>4800</v>
      </c>
      <c r="F60" s="21">
        <v>69.354900000000001</v>
      </c>
      <c r="G60" s="21">
        <v>69.944000000000003</v>
      </c>
      <c r="H60" s="18">
        <f t="shared" si="2"/>
        <v>2827.6800000000094</v>
      </c>
      <c r="I60" s="62"/>
      <c r="J60" s="59"/>
    </row>
    <row r="61" spans="1:10" ht="15.75" x14ac:dyDescent="0.25">
      <c r="A61" s="27" t="s">
        <v>81</v>
      </c>
      <c r="B61" s="147" t="s">
        <v>52</v>
      </c>
      <c r="C61" s="147">
        <v>51555151</v>
      </c>
      <c r="D61" s="147">
        <f>400/5</f>
        <v>80</v>
      </c>
      <c r="E61" s="147">
        <v>4800</v>
      </c>
      <c r="F61" s="63">
        <v>0.30690000000000001</v>
      </c>
      <c r="G61" s="63">
        <v>0.30690000000000001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47" t="s">
        <v>52</v>
      </c>
      <c r="C62" s="147">
        <v>51097599</v>
      </c>
      <c r="D62" s="147" t="s">
        <v>21</v>
      </c>
      <c r="E62" s="147">
        <v>3600</v>
      </c>
      <c r="F62" s="21">
        <v>987.80139999999994</v>
      </c>
      <c r="G62" s="21">
        <v>990.1105</v>
      </c>
      <c r="H62" s="18">
        <f t="shared" si="2"/>
        <v>8312.7600000002076</v>
      </c>
      <c r="I62" s="62"/>
      <c r="J62" s="59"/>
    </row>
    <row r="63" spans="1:10" ht="15.75" x14ac:dyDescent="0.25">
      <c r="A63" s="27" t="s">
        <v>83</v>
      </c>
      <c r="B63" s="147" t="s">
        <v>52</v>
      </c>
      <c r="C63" s="147">
        <v>51097620</v>
      </c>
      <c r="D63" s="147" t="s">
        <v>34</v>
      </c>
      <c r="E63" s="147">
        <v>4800</v>
      </c>
      <c r="F63" s="21">
        <v>538.2165</v>
      </c>
      <c r="G63" s="21">
        <v>540.91139999999996</v>
      </c>
      <c r="H63" s="18">
        <f t="shared" si="2"/>
        <v>12935.519999999815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51436.919999999736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47" t="s">
        <v>52</v>
      </c>
      <c r="C66" s="9">
        <v>51259238</v>
      </c>
      <c r="D66" s="74" t="s">
        <v>53</v>
      </c>
      <c r="E66" s="74">
        <v>7000</v>
      </c>
      <c r="F66" s="75">
        <v>584.69749999999999</v>
      </c>
      <c r="G66" s="75">
        <v>587.62260000000003</v>
      </c>
      <c r="H66" s="76">
        <f>(G66-F66)*E66</f>
        <v>20475.700000000303</v>
      </c>
      <c r="I66" s="77"/>
      <c r="J66" s="78"/>
    </row>
    <row r="67" spans="1:10" ht="15.75" x14ac:dyDescent="0.25">
      <c r="A67" s="27" t="s">
        <v>86</v>
      </c>
      <c r="B67" s="147" t="s">
        <v>52</v>
      </c>
      <c r="C67" s="147">
        <v>51259324</v>
      </c>
      <c r="D67" s="148" t="s">
        <v>53</v>
      </c>
      <c r="E67" s="148">
        <v>7000</v>
      </c>
      <c r="F67" s="21">
        <v>452.16430000000003</v>
      </c>
      <c r="G67" s="21">
        <v>454.33699999999999</v>
      </c>
      <c r="H67" s="18">
        <f>(G67-F67)*E67</f>
        <v>15208.899999999743</v>
      </c>
      <c r="I67" s="51"/>
      <c r="J67" s="58"/>
    </row>
    <row r="68" spans="1:10" s="129" customFormat="1" ht="15.75" x14ac:dyDescent="0.25">
      <c r="A68" s="27" t="s">
        <v>87</v>
      </c>
      <c r="B68" s="79" t="s">
        <v>88</v>
      </c>
      <c r="C68" s="147">
        <v>51491618</v>
      </c>
      <c r="D68" s="148" t="s">
        <v>63</v>
      </c>
      <c r="E68" s="147">
        <v>40</v>
      </c>
      <c r="F68" s="28">
        <v>1344.7425000000001</v>
      </c>
      <c r="G68" s="28">
        <v>1355.8485000000001</v>
      </c>
      <c r="H68" s="18">
        <f>(G68-F68)*E68</f>
        <v>444.23999999999978</v>
      </c>
      <c r="I68" s="51"/>
      <c r="J68" s="58"/>
    </row>
    <row r="69" spans="1:10" s="129" customFormat="1" ht="15.75" x14ac:dyDescent="0.25">
      <c r="A69" s="27" t="s">
        <v>89</v>
      </c>
      <c r="B69" s="79" t="s">
        <v>88</v>
      </c>
      <c r="C69" s="147">
        <v>51491624</v>
      </c>
      <c r="D69" s="148" t="s">
        <v>63</v>
      </c>
      <c r="E69" s="147">
        <v>40</v>
      </c>
      <c r="F69" s="28">
        <v>180.226</v>
      </c>
      <c r="G69" s="28">
        <v>181.0035</v>
      </c>
      <c r="H69" s="18">
        <f>(G69-F69)*E69</f>
        <v>31.100000000000136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35684.600000000049</v>
      </c>
      <c r="I70" s="85">
        <f>H70-H73-H68-H69</f>
        <v>-428.3399999995197</v>
      </c>
      <c r="J70" s="25">
        <f>I70/H70</f>
        <v>-1.200349730694807E-2</v>
      </c>
    </row>
    <row r="71" spans="1:10" ht="15.75" x14ac:dyDescent="0.25">
      <c r="A71" s="27" t="s">
        <v>91</v>
      </c>
      <c r="B71" s="147" t="s">
        <v>52</v>
      </c>
      <c r="C71" s="86">
        <v>51097588</v>
      </c>
      <c r="D71" s="148" t="s">
        <v>75</v>
      </c>
      <c r="E71" s="147">
        <v>12000</v>
      </c>
      <c r="F71" s="21">
        <v>349.71980000000002</v>
      </c>
      <c r="G71" s="21">
        <v>351.36349999999999</v>
      </c>
      <c r="H71" s="18">
        <f>(G71-F71)*E71</f>
        <v>19724.399999999605</v>
      </c>
      <c r="I71" s="51"/>
      <c r="J71" s="58"/>
    </row>
    <row r="72" spans="1:10" ht="15.75" x14ac:dyDescent="0.25">
      <c r="A72" s="27" t="s">
        <v>92</v>
      </c>
      <c r="B72" s="147" t="s">
        <v>52</v>
      </c>
      <c r="C72" s="86">
        <v>51431335</v>
      </c>
      <c r="D72" s="148" t="s">
        <v>75</v>
      </c>
      <c r="E72" s="147">
        <v>12000</v>
      </c>
      <c r="F72" s="21">
        <v>275.72280000000001</v>
      </c>
      <c r="G72" s="21">
        <v>277.0489</v>
      </c>
      <c r="H72" s="18">
        <f>(G72-F72)*E72</f>
        <v>15913.199999999961</v>
      </c>
      <c r="I72" s="51"/>
      <c r="J72" s="58"/>
    </row>
    <row r="73" spans="1:10" ht="15.75" x14ac:dyDescent="0.25">
      <c r="A73" s="87" t="s">
        <v>93</v>
      </c>
      <c r="B73" s="147" t="s">
        <v>27</v>
      </c>
      <c r="C73" s="147"/>
      <c r="D73" s="148"/>
      <c r="E73" s="147"/>
      <c r="F73" s="21"/>
      <c r="G73" s="21"/>
      <c r="H73" s="48">
        <f>H71+ H72</f>
        <v>35637.599999999569</v>
      </c>
      <c r="I73" s="85">
        <f>H73-H81</f>
        <v>-99.240000000376313</v>
      </c>
      <c r="J73" s="25">
        <f>I73/H73</f>
        <v>-2.7846993063611889E-3</v>
      </c>
    </row>
    <row r="74" spans="1:10" ht="15.75" x14ac:dyDescent="0.25">
      <c r="A74" s="27" t="s">
        <v>94</v>
      </c>
      <c r="B74" s="147" t="s">
        <v>52</v>
      </c>
      <c r="C74" s="86">
        <v>51097676</v>
      </c>
      <c r="D74" s="88" t="s">
        <v>63</v>
      </c>
      <c r="E74" s="147">
        <v>2400</v>
      </c>
      <c r="F74" s="21">
        <v>732.45579999999995</v>
      </c>
      <c r="G74" s="21">
        <v>736.1703</v>
      </c>
      <c r="H74" s="18">
        <f>(G74-F74)*E74</f>
        <v>8914.8000000001048</v>
      </c>
      <c r="I74" s="51"/>
      <c r="J74" s="58"/>
    </row>
    <row r="75" spans="1:10" ht="15.75" x14ac:dyDescent="0.25">
      <c r="A75" s="27" t="s">
        <v>95</v>
      </c>
      <c r="B75" s="147" t="s">
        <v>52</v>
      </c>
      <c r="C75" s="86">
        <v>51431355</v>
      </c>
      <c r="D75" s="148" t="s">
        <v>21</v>
      </c>
      <c r="E75" s="148">
        <v>3600</v>
      </c>
      <c r="F75" s="21">
        <v>379.18360000000001</v>
      </c>
      <c r="G75" s="21">
        <v>380.56319999999999</v>
      </c>
      <c r="H75" s="18">
        <f>(G75-F75)*E75</f>
        <v>4966.5599999999358</v>
      </c>
      <c r="I75" s="51"/>
      <c r="J75" s="52"/>
    </row>
    <row r="76" spans="1:10" ht="15.75" x14ac:dyDescent="0.25">
      <c r="A76" s="27" t="s">
        <v>96</v>
      </c>
      <c r="B76" s="147" t="s">
        <v>52</v>
      </c>
      <c r="C76" s="86">
        <v>51259331</v>
      </c>
      <c r="D76" s="88" t="s">
        <v>37</v>
      </c>
      <c r="E76" s="147">
        <v>600</v>
      </c>
      <c r="F76" s="21">
        <v>173.38239999999999</v>
      </c>
      <c r="G76" s="21">
        <v>174.40940000000001</v>
      </c>
      <c r="H76" s="18">
        <f>(G76-F76)*E76</f>
        <v>616.20000000000914</v>
      </c>
      <c r="I76" s="51"/>
      <c r="J76" s="52"/>
    </row>
    <row r="77" spans="1:10" ht="15.75" x14ac:dyDescent="0.25">
      <c r="A77" s="27" t="s">
        <v>97</v>
      </c>
      <c r="B77" s="147" t="s">
        <v>52</v>
      </c>
      <c r="C77" s="86">
        <v>51259326</v>
      </c>
      <c r="D77" s="88" t="s">
        <v>14</v>
      </c>
      <c r="E77" s="147">
        <v>7200</v>
      </c>
      <c r="F77" s="21">
        <v>345.7774</v>
      </c>
      <c r="G77" s="21">
        <v>347.29169999999999</v>
      </c>
      <c r="H77" s="18">
        <f>(G77-F77)*E77</f>
        <v>10902.959999999939</v>
      </c>
      <c r="I77" s="51"/>
      <c r="J77" s="52"/>
    </row>
    <row r="78" spans="1:10" ht="15.75" x14ac:dyDescent="0.25">
      <c r="A78" s="27" t="s">
        <v>98</v>
      </c>
      <c r="B78" s="147" t="s">
        <v>52</v>
      </c>
      <c r="C78" s="86">
        <v>51431351</v>
      </c>
      <c r="D78" s="88" t="s">
        <v>14</v>
      </c>
      <c r="E78" s="147">
        <v>7200</v>
      </c>
      <c r="F78" s="21">
        <v>250.4014</v>
      </c>
      <c r="G78" s="21">
        <v>251.83699999999999</v>
      </c>
      <c r="H78" s="18">
        <f>(G78-F78)*E78</f>
        <v>10336.319999999956</v>
      </c>
      <c r="I78" s="51"/>
      <c r="J78" s="52"/>
    </row>
    <row r="79" spans="1:10" ht="15.75" x14ac:dyDescent="0.25">
      <c r="A79" s="89" t="s">
        <v>99</v>
      </c>
      <c r="B79" s="147" t="s">
        <v>52</v>
      </c>
      <c r="C79" s="90">
        <v>51097666</v>
      </c>
      <c r="D79" s="88" t="s">
        <v>63</v>
      </c>
      <c r="E79" s="147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47" t="s">
        <v>52</v>
      </c>
      <c r="C80" s="90">
        <v>51259323</v>
      </c>
      <c r="D80" s="88" t="s">
        <v>63</v>
      </c>
      <c r="E80" s="147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35736.839999999946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47" t="s">
        <v>52</v>
      </c>
      <c r="C83" s="106">
        <v>51431297</v>
      </c>
      <c r="D83" s="148" t="s">
        <v>53</v>
      </c>
      <c r="E83" s="100">
        <v>7000</v>
      </c>
      <c r="F83" s="17">
        <v>304.0274</v>
      </c>
      <c r="G83" s="17">
        <v>306.58420000000001</v>
      </c>
      <c r="H83" s="18">
        <f>(G83-F83)*E83</f>
        <v>17897.600000000068</v>
      </c>
      <c r="I83" s="107"/>
      <c r="J83" s="108"/>
    </row>
    <row r="84" spans="1:10" ht="15.75" x14ac:dyDescent="0.25">
      <c r="A84" s="105" t="s">
        <v>86</v>
      </c>
      <c r="B84" s="147" t="s">
        <v>52</v>
      </c>
      <c r="C84" s="106">
        <v>51431332</v>
      </c>
      <c r="D84" s="148" t="s">
        <v>53</v>
      </c>
      <c r="E84" s="100">
        <v>7000</v>
      </c>
      <c r="F84" s="17">
        <v>358.83760000000001</v>
      </c>
      <c r="G84" s="17">
        <v>358.97230000000002</v>
      </c>
      <c r="H84" s="18">
        <f>(G84-F84)*E84</f>
        <v>942.90000000006557</v>
      </c>
      <c r="I84" s="147"/>
      <c r="J84" s="58"/>
    </row>
    <row r="85" spans="1:10" s="129" customFormat="1" ht="15.75" x14ac:dyDescent="0.25">
      <c r="A85" s="27" t="s">
        <v>87</v>
      </c>
      <c r="B85" s="147" t="s">
        <v>103</v>
      </c>
      <c r="C85" s="109">
        <v>150773</v>
      </c>
      <c r="D85" s="148" t="s">
        <v>53</v>
      </c>
      <c r="E85" s="109">
        <v>20</v>
      </c>
      <c r="F85" s="17">
        <v>15714.1</v>
      </c>
      <c r="G85" s="17">
        <v>15720.5</v>
      </c>
      <c r="H85" s="18">
        <f>(G85-F85)*E85</f>
        <v>127.99999999999272</v>
      </c>
      <c r="I85" s="51"/>
      <c r="J85" s="58"/>
    </row>
    <row r="86" spans="1:10" s="129" customFormat="1" ht="15.75" x14ac:dyDescent="0.25">
      <c r="A86" s="27" t="s">
        <v>89</v>
      </c>
      <c r="B86" s="147" t="s">
        <v>103</v>
      </c>
      <c r="C86" s="109">
        <v>150791</v>
      </c>
      <c r="D86" s="148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49"/>
      <c r="C87" s="32"/>
      <c r="D87" s="82"/>
      <c r="E87" s="82"/>
      <c r="F87" s="21"/>
      <c r="G87" s="21"/>
      <c r="H87" s="48">
        <f>H83+H84</f>
        <v>18840.500000000135</v>
      </c>
      <c r="I87" s="85">
        <f>H87-H90-H85-H86</f>
        <v>420.66000000000349</v>
      </c>
      <c r="J87" s="25">
        <f>I87/H87</f>
        <v>2.2327432923754702E-2</v>
      </c>
    </row>
    <row r="88" spans="1:10" ht="15.75" x14ac:dyDescent="0.25">
      <c r="A88" s="27" t="s">
        <v>104</v>
      </c>
      <c r="B88" s="147" t="s">
        <v>52</v>
      </c>
      <c r="C88" s="106">
        <v>51431342</v>
      </c>
      <c r="D88" s="88" t="s">
        <v>34</v>
      </c>
      <c r="E88" s="147">
        <v>4800</v>
      </c>
      <c r="F88" s="21">
        <v>432.19490000000002</v>
      </c>
      <c r="G88" s="21">
        <v>435.87490000000003</v>
      </c>
      <c r="H88" s="18">
        <f>(G88-F88)*E88</f>
        <v>17664.000000000033</v>
      </c>
      <c r="I88" s="51"/>
      <c r="J88" s="52"/>
    </row>
    <row r="89" spans="1:10" ht="15.75" x14ac:dyDescent="0.25">
      <c r="A89" s="27" t="s">
        <v>105</v>
      </c>
      <c r="B89" s="147" t="s">
        <v>52</v>
      </c>
      <c r="C89" s="106">
        <v>51431343</v>
      </c>
      <c r="D89" s="88" t="s">
        <v>34</v>
      </c>
      <c r="E89" s="147">
        <v>4800</v>
      </c>
      <c r="F89" s="21">
        <v>506.49919999999997</v>
      </c>
      <c r="G89" s="21">
        <v>506.63</v>
      </c>
      <c r="H89" s="18">
        <f>(G89-F89)*E89</f>
        <v>627.84000000010565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18291.840000000138</v>
      </c>
      <c r="I90" s="85">
        <f>H90-H98</f>
        <v>-78.73999999984153</v>
      </c>
      <c r="J90" s="25">
        <f>I90/H90</f>
        <v>-4.3046516916745905E-3</v>
      </c>
    </row>
    <row r="91" spans="1:10" ht="15.75" x14ac:dyDescent="0.25">
      <c r="A91" s="27" t="s">
        <v>107</v>
      </c>
      <c r="B91" s="147" t="s">
        <v>52</v>
      </c>
      <c r="C91" s="106">
        <v>51431347</v>
      </c>
      <c r="D91" s="148" t="s">
        <v>53</v>
      </c>
      <c r="E91" s="147">
        <v>1200</v>
      </c>
      <c r="F91" s="21">
        <v>1202.1474000000001</v>
      </c>
      <c r="G91" s="21">
        <v>1202.1474000000001</v>
      </c>
      <c r="H91" s="18">
        <f>(G91-F91)*E91</f>
        <v>0</v>
      </c>
      <c r="I91" s="51"/>
      <c r="J91" s="52"/>
    </row>
    <row r="92" spans="1:10" ht="15.75" x14ac:dyDescent="0.25">
      <c r="A92" s="27" t="s">
        <v>108</v>
      </c>
      <c r="B92" s="147" t="s">
        <v>52</v>
      </c>
      <c r="C92" s="106">
        <v>51431339</v>
      </c>
      <c r="D92" s="148" t="s">
        <v>53</v>
      </c>
      <c r="E92" s="147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47" t="s">
        <v>52</v>
      </c>
      <c r="C93" s="106">
        <v>51217244</v>
      </c>
      <c r="D93" s="147" t="s">
        <v>37</v>
      </c>
      <c r="E93" s="147">
        <v>600</v>
      </c>
      <c r="F93" s="30">
        <v>342.63760000000002</v>
      </c>
      <c r="G93" s="30">
        <v>343.56709999999998</v>
      </c>
      <c r="H93" s="18">
        <f t="shared" si="4"/>
        <v>557.69999999997708</v>
      </c>
      <c r="I93" s="51"/>
      <c r="J93" s="52"/>
    </row>
    <row r="94" spans="1:10" ht="15.75" x14ac:dyDescent="0.25">
      <c r="A94" s="27" t="s">
        <v>110</v>
      </c>
      <c r="B94" s="147" t="s">
        <v>52</v>
      </c>
      <c r="C94" s="106">
        <v>51217267</v>
      </c>
      <c r="D94" s="88" t="s">
        <v>63</v>
      </c>
      <c r="E94" s="147">
        <v>2400</v>
      </c>
      <c r="F94" s="30">
        <v>20.569800000000001</v>
      </c>
      <c r="G94" s="30">
        <v>20.6006</v>
      </c>
      <c r="H94" s="18">
        <f t="shared" si="4"/>
        <v>73.919999999998254</v>
      </c>
      <c r="I94" s="51"/>
      <c r="J94" s="52"/>
    </row>
    <row r="95" spans="1:10" ht="15.75" x14ac:dyDescent="0.25">
      <c r="A95" s="27" t="s">
        <v>111</v>
      </c>
      <c r="B95" s="147" t="s">
        <v>52</v>
      </c>
      <c r="C95" s="147">
        <v>51555165</v>
      </c>
      <c r="D95" s="148" t="s">
        <v>53</v>
      </c>
      <c r="E95" s="147">
        <v>1200</v>
      </c>
      <c r="F95" s="30">
        <v>926.35919999999999</v>
      </c>
      <c r="G95" s="30">
        <v>935.01969999999994</v>
      </c>
      <c r="H95" s="18">
        <f t="shared" si="4"/>
        <v>10392.599999999948</v>
      </c>
      <c r="I95" s="51" t="s">
        <v>27</v>
      </c>
      <c r="J95" s="52"/>
    </row>
    <row r="96" spans="1:10" ht="15.75" x14ac:dyDescent="0.25">
      <c r="A96" s="113" t="s">
        <v>112</v>
      </c>
      <c r="B96" s="147" t="s">
        <v>52</v>
      </c>
      <c r="C96" s="106">
        <v>51431346</v>
      </c>
      <c r="D96" s="114" t="s">
        <v>37</v>
      </c>
      <c r="E96" s="114">
        <v>600</v>
      </c>
      <c r="F96" s="30">
        <v>369.45600000000002</v>
      </c>
      <c r="G96" s="30">
        <v>371.69639999999998</v>
      </c>
      <c r="H96" s="115">
        <f t="shared" si="4"/>
        <v>1344.2399999999793</v>
      </c>
      <c r="I96" s="116"/>
      <c r="J96" s="117"/>
    </row>
    <row r="97" spans="1:10" ht="15.75" x14ac:dyDescent="0.25">
      <c r="A97" s="27" t="s">
        <v>113</v>
      </c>
      <c r="B97" s="147" t="s">
        <v>52</v>
      </c>
      <c r="C97" s="106">
        <v>51431352</v>
      </c>
      <c r="D97" s="88" t="s">
        <v>21</v>
      </c>
      <c r="E97" s="147">
        <v>3600</v>
      </c>
      <c r="F97" s="21">
        <v>246.14519999999999</v>
      </c>
      <c r="G97" s="21">
        <v>247.77690000000001</v>
      </c>
      <c r="H97" s="18">
        <f t="shared" si="4"/>
        <v>5874.1200000000845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18370.57999999998</v>
      </c>
      <c r="I98" s="51"/>
      <c r="J98" s="52"/>
    </row>
    <row r="99" spans="1:10" ht="15.75" x14ac:dyDescent="0.25">
      <c r="A99" s="45" t="s">
        <v>114</v>
      </c>
      <c r="B99" s="147" t="s">
        <v>52</v>
      </c>
      <c r="C99" s="120">
        <v>51431357</v>
      </c>
      <c r="D99" s="148" t="s">
        <v>63</v>
      </c>
      <c r="E99" s="148">
        <v>14000</v>
      </c>
      <c r="F99" s="28">
        <v>865.58550000000002</v>
      </c>
      <c r="G99" s="28">
        <v>868.91210000000001</v>
      </c>
      <c r="H99" s="121">
        <f t="shared" si="4"/>
        <v>46572.39999999979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>
      <selection sqref="A1:XFD104857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125</v>
      </c>
      <c r="G2" s="4" t="s">
        <v>126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53" t="s">
        <v>13</v>
      </c>
      <c r="C4" s="153">
        <v>51555166</v>
      </c>
      <c r="D4" s="153" t="s">
        <v>14</v>
      </c>
      <c r="E4" s="153">
        <v>132000</v>
      </c>
      <c r="F4" s="17">
        <v>6.9631999999999996</v>
      </c>
      <c r="G4" s="17">
        <v>6.9710999999999999</v>
      </c>
      <c r="H4" s="18">
        <f>(G4-F4)*E4</f>
        <v>1042.8000000000318</v>
      </c>
      <c r="I4" s="19"/>
      <c r="J4" s="20"/>
    </row>
    <row r="5" spans="1:10" ht="15.75" x14ac:dyDescent="0.25">
      <c r="A5" s="15" t="s">
        <v>15</v>
      </c>
      <c r="B5" s="153" t="s">
        <v>13</v>
      </c>
      <c r="C5" s="153">
        <v>51555191</v>
      </c>
      <c r="D5" s="153" t="s">
        <v>14</v>
      </c>
      <c r="E5" s="153">
        <v>132000</v>
      </c>
      <c r="F5" s="21">
        <v>389.09589999999997</v>
      </c>
      <c r="G5" s="21">
        <v>391.15839999999997</v>
      </c>
      <c r="H5" s="18">
        <f>(G5-F5)*E5</f>
        <v>272250</v>
      </c>
      <c r="I5" s="19"/>
      <c r="J5" s="20"/>
    </row>
    <row r="6" spans="1:10" ht="15.75" x14ac:dyDescent="0.25">
      <c r="A6" s="218" t="s">
        <v>16</v>
      </c>
      <c r="B6" s="219"/>
      <c r="C6" s="153"/>
      <c r="D6" s="154"/>
      <c r="E6" s="153"/>
      <c r="H6" s="23">
        <f>H4+H5</f>
        <v>273292.80000000005</v>
      </c>
      <c r="I6" s="24">
        <f>H6-H9-H19</f>
        <v>2183.3999999965163</v>
      </c>
      <c r="J6" s="25">
        <f>I6/H6</f>
        <v>7.9892335253490612E-3</v>
      </c>
    </row>
    <row r="7" spans="1:10" ht="15.75" x14ac:dyDescent="0.25">
      <c r="A7" s="26" t="s">
        <v>17</v>
      </c>
      <c r="B7" s="153" t="s">
        <v>13</v>
      </c>
      <c r="C7" s="153">
        <v>51097629</v>
      </c>
      <c r="D7" s="154" t="s">
        <v>14</v>
      </c>
      <c r="E7" s="153">
        <v>42000</v>
      </c>
      <c r="F7" s="21">
        <v>1142.0536999999999</v>
      </c>
      <c r="G7" s="21">
        <v>1146.6458</v>
      </c>
      <c r="H7" s="18">
        <f>(G7-F7)*E7</f>
        <v>192868.20000000307</v>
      </c>
      <c r="I7" s="19"/>
      <c r="J7" s="20"/>
    </row>
    <row r="8" spans="1:10" ht="15.75" x14ac:dyDescent="0.25">
      <c r="A8" s="26" t="s">
        <v>18</v>
      </c>
      <c r="B8" s="153" t="s">
        <v>13</v>
      </c>
      <c r="C8" s="153">
        <v>51616820</v>
      </c>
      <c r="D8" s="154" t="s">
        <v>14</v>
      </c>
      <c r="E8" s="153">
        <v>42000</v>
      </c>
      <c r="F8" s="21">
        <v>15.3347</v>
      </c>
      <c r="G8" s="21">
        <v>15.346500000000001</v>
      </c>
      <c r="H8" s="18">
        <f>(G8-F8)*E8</f>
        <v>495.60000000003868</v>
      </c>
      <c r="I8" s="19"/>
      <c r="J8" s="20"/>
    </row>
    <row r="9" spans="1:10" ht="15.75" x14ac:dyDescent="0.25">
      <c r="A9" s="218" t="s">
        <v>19</v>
      </c>
      <c r="B9" s="219"/>
      <c r="C9" s="153"/>
      <c r="D9" s="154"/>
      <c r="E9" s="153"/>
      <c r="F9" s="21"/>
      <c r="G9" s="21"/>
      <c r="H9" s="23">
        <f>H7+H8</f>
        <v>193363.8000000031</v>
      </c>
      <c r="I9" s="24">
        <f>H9-H16</f>
        <v>69.300000003626337</v>
      </c>
      <c r="J9" s="25">
        <f>I9/H9</f>
        <v>3.5839179827674685E-4</v>
      </c>
    </row>
    <row r="10" spans="1:10" ht="15.75" x14ac:dyDescent="0.25">
      <c r="A10" s="27" t="s">
        <v>20</v>
      </c>
      <c r="B10" s="153" t="s">
        <v>13</v>
      </c>
      <c r="C10" s="153">
        <v>51217286</v>
      </c>
      <c r="D10" s="154" t="s">
        <v>21</v>
      </c>
      <c r="E10" s="153">
        <v>21000</v>
      </c>
      <c r="F10" s="21">
        <v>902.76329999999996</v>
      </c>
      <c r="G10" s="21">
        <v>906.15589999999997</v>
      </c>
      <c r="H10" s="18">
        <f t="shared" ref="H10:H15" si="0">(G10-F10)*E10</f>
        <v>71244.600000000326</v>
      </c>
      <c r="I10" s="19"/>
      <c r="J10" s="20"/>
    </row>
    <row r="11" spans="1:10" ht="15.75" x14ac:dyDescent="0.25">
      <c r="A11" s="27" t="s">
        <v>22</v>
      </c>
      <c r="B11" s="153" t="s">
        <v>13</v>
      </c>
      <c r="C11" s="153">
        <v>51217292</v>
      </c>
      <c r="D11" s="154" t="s">
        <v>21</v>
      </c>
      <c r="E11" s="153">
        <v>21000</v>
      </c>
      <c r="F11" s="28">
        <v>3.9350999999999998</v>
      </c>
      <c r="G11" s="28">
        <v>3.9384999999999999</v>
      </c>
      <c r="H11" s="18">
        <f>(G11-F11)*E11</f>
        <v>71.400000000001455</v>
      </c>
      <c r="I11" s="19"/>
      <c r="J11" s="20"/>
    </row>
    <row r="12" spans="1:10" ht="15.75" x14ac:dyDescent="0.25">
      <c r="A12" s="27" t="s">
        <v>23</v>
      </c>
      <c r="B12" s="153" t="s">
        <v>13</v>
      </c>
      <c r="C12" s="153">
        <v>51217271</v>
      </c>
      <c r="D12" s="154" t="s">
        <v>21</v>
      </c>
      <c r="E12" s="153">
        <v>21000</v>
      </c>
      <c r="F12" s="21">
        <v>675.65290000000005</v>
      </c>
      <c r="G12" s="21">
        <v>678.49120000000005</v>
      </c>
      <c r="H12" s="18">
        <f t="shared" si="0"/>
        <v>59604.300000000083</v>
      </c>
      <c r="I12" s="19"/>
      <c r="J12" s="20"/>
    </row>
    <row r="13" spans="1:10" ht="15.75" x14ac:dyDescent="0.25">
      <c r="A13" s="27" t="s">
        <v>24</v>
      </c>
      <c r="B13" s="153" t="s">
        <v>13</v>
      </c>
      <c r="C13" s="153">
        <v>51217276</v>
      </c>
      <c r="D13" s="154" t="s">
        <v>21</v>
      </c>
      <c r="E13" s="153">
        <v>21000</v>
      </c>
      <c r="F13" s="28">
        <v>0.59670000000000001</v>
      </c>
      <c r="G13" s="28">
        <v>0.59830000000000005</v>
      </c>
      <c r="H13" s="18">
        <f>(G13-F13)*E13</f>
        <v>33.600000000000961</v>
      </c>
      <c r="I13" s="19"/>
      <c r="J13" s="20"/>
    </row>
    <row r="14" spans="1:10" ht="15.75" x14ac:dyDescent="0.25">
      <c r="A14" s="27" t="s">
        <v>25</v>
      </c>
      <c r="B14" s="153" t="s">
        <v>13</v>
      </c>
      <c r="C14" s="153">
        <v>51100990</v>
      </c>
      <c r="D14" s="154" t="s">
        <v>21</v>
      </c>
      <c r="E14" s="153">
        <v>21000</v>
      </c>
      <c r="F14" s="29">
        <v>725.03710000000001</v>
      </c>
      <c r="G14" s="29">
        <v>727.99379999999996</v>
      </c>
      <c r="H14" s="18">
        <f t="shared" si="0"/>
        <v>62090.699999999058</v>
      </c>
      <c r="I14" s="19"/>
      <c r="J14" s="20"/>
    </row>
    <row r="15" spans="1:10" ht="15.75" x14ac:dyDescent="0.25">
      <c r="A15" s="27" t="s">
        <v>26</v>
      </c>
      <c r="B15" s="153" t="s">
        <v>13</v>
      </c>
      <c r="C15" s="153">
        <v>51097622</v>
      </c>
      <c r="D15" s="154" t="s">
        <v>21</v>
      </c>
      <c r="E15" s="153">
        <v>21000</v>
      </c>
      <c r="F15" s="21">
        <v>9.3172999999999995</v>
      </c>
      <c r="G15" s="21">
        <v>9.3292000000000002</v>
      </c>
      <c r="H15" s="18">
        <f t="shared" si="0"/>
        <v>249.90000000001444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53"/>
      <c r="D16" s="154"/>
      <c r="E16" s="153"/>
      <c r="F16" s="21"/>
      <c r="G16" s="21"/>
      <c r="H16" s="23">
        <f>H10+H11+H12+H13+H14+H15</f>
        <v>193294.49999999948</v>
      </c>
      <c r="I16" s="19"/>
      <c r="J16" s="20"/>
    </row>
    <row r="17" spans="1:10" ht="15.75" x14ac:dyDescent="0.25">
      <c r="A17" s="26" t="s">
        <v>29</v>
      </c>
      <c r="B17" s="153" t="s">
        <v>13</v>
      </c>
      <c r="C17" s="153">
        <v>51097617</v>
      </c>
      <c r="D17" s="154" t="s">
        <v>30</v>
      </c>
      <c r="E17" s="153">
        <v>18000</v>
      </c>
      <c r="F17" s="30">
        <v>891.29549999999995</v>
      </c>
      <c r="G17" s="30">
        <v>895.61469999999997</v>
      </c>
      <c r="H17" s="18">
        <f>(G17-F17)*E17</f>
        <v>77745.600000000428</v>
      </c>
      <c r="I17" s="19"/>
      <c r="J17" s="20"/>
    </row>
    <row r="18" spans="1:10" ht="15.75" x14ac:dyDescent="0.25">
      <c r="A18" s="26" t="s">
        <v>31</v>
      </c>
      <c r="B18" s="153" t="s">
        <v>13</v>
      </c>
      <c r="C18" s="153">
        <v>51097655</v>
      </c>
      <c r="D18" s="154" t="s">
        <v>30</v>
      </c>
      <c r="E18" s="153">
        <v>18000</v>
      </c>
      <c r="F18" s="30">
        <v>11.5421</v>
      </c>
      <c r="G18" s="30">
        <v>11.5421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53"/>
      <c r="D19" s="154"/>
      <c r="E19" s="153"/>
      <c r="F19" s="30"/>
      <c r="G19" s="30"/>
      <c r="H19" s="23">
        <f>H17+H18</f>
        <v>77745.600000000428</v>
      </c>
      <c r="I19" s="24">
        <f>H19-H34</f>
        <v>3487.0800000003219</v>
      </c>
      <c r="J19" s="25">
        <f>I19/H19</f>
        <v>4.4852441810215658E-2</v>
      </c>
    </row>
    <row r="20" spans="1:10" ht="15.75" x14ac:dyDescent="0.25">
      <c r="A20" s="15" t="s">
        <v>33</v>
      </c>
      <c r="B20" s="153" t="s">
        <v>13</v>
      </c>
      <c r="C20" s="153">
        <v>51217282</v>
      </c>
      <c r="D20" s="154" t="s">
        <v>34</v>
      </c>
      <c r="E20" s="153">
        <v>4800</v>
      </c>
      <c r="F20" s="21">
        <v>385.26429999999999</v>
      </c>
      <c r="G20" s="21">
        <v>385.3424</v>
      </c>
      <c r="H20" s="18">
        <f t="shared" ref="H20:H33" si="1">(G20-F20)*E20</f>
        <v>374.88000000003012</v>
      </c>
      <c r="I20" s="19" t="s">
        <v>27</v>
      </c>
      <c r="J20" s="20"/>
    </row>
    <row r="21" spans="1:10" ht="15.75" x14ac:dyDescent="0.25">
      <c r="A21" s="15" t="s">
        <v>35</v>
      </c>
      <c r="B21" s="153" t="s">
        <v>13</v>
      </c>
      <c r="C21" s="153">
        <v>51217274</v>
      </c>
      <c r="D21" s="154" t="s">
        <v>34</v>
      </c>
      <c r="E21" s="153">
        <v>4800</v>
      </c>
      <c r="F21" s="21">
        <v>1389.2953</v>
      </c>
      <c r="G21" s="21">
        <v>1395.2561000000001</v>
      </c>
      <c r="H21" s="18">
        <f t="shared" si="1"/>
        <v>28611.840000000302</v>
      </c>
      <c r="I21" s="19"/>
      <c r="J21" s="20"/>
    </row>
    <row r="22" spans="1:10" ht="15.75" x14ac:dyDescent="0.25">
      <c r="A22" s="15" t="s">
        <v>36</v>
      </c>
      <c r="B22" s="153" t="s">
        <v>13</v>
      </c>
      <c r="C22" s="153">
        <v>51097664</v>
      </c>
      <c r="D22" s="154" t="s">
        <v>37</v>
      </c>
      <c r="E22" s="153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53" t="s">
        <v>13</v>
      </c>
      <c r="C23" s="153">
        <v>51097615</v>
      </c>
      <c r="D23" s="154" t="s">
        <v>37</v>
      </c>
      <c r="E23" s="153">
        <v>600</v>
      </c>
      <c r="F23" s="21">
        <v>46.4069</v>
      </c>
      <c r="G23" s="21">
        <v>46.702399999999997</v>
      </c>
      <c r="H23" s="18">
        <f t="shared" si="1"/>
        <v>177.29999999999819</v>
      </c>
      <c r="I23" s="19"/>
      <c r="J23" s="20"/>
    </row>
    <row r="24" spans="1:10" ht="15.75" x14ac:dyDescent="0.25">
      <c r="A24" s="15" t="s">
        <v>39</v>
      </c>
      <c r="B24" s="153" t="s">
        <v>13</v>
      </c>
      <c r="C24" s="153">
        <v>51217264</v>
      </c>
      <c r="D24" s="154" t="s">
        <v>37</v>
      </c>
      <c r="E24" s="153">
        <v>600</v>
      </c>
      <c r="F24" s="21">
        <v>108.49120000000001</v>
      </c>
      <c r="G24" s="21">
        <v>109.22110000000001</v>
      </c>
      <c r="H24" s="18">
        <f t="shared" si="1"/>
        <v>437.9400000000004</v>
      </c>
      <c r="I24" s="19"/>
      <c r="J24" s="20"/>
    </row>
    <row r="25" spans="1:10" ht="15.75" x14ac:dyDescent="0.25">
      <c r="A25" s="15" t="s">
        <v>40</v>
      </c>
      <c r="B25" s="153" t="s">
        <v>13</v>
      </c>
      <c r="C25" s="153">
        <v>51217288</v>
      </c>
      <c r="D25" s="154" t="s">
        <v>37</v>
      </c>
      <c r="E25" s="153">
        <v>600</v>
      </c>
      <c r="F25" s="21">
        <v>20.700500000000002</v>
      </c>
      <c r="G25" s="21">
        <v>20.731400000000001</v>
      </c>
      <c r="H25" s="18">
        <f t="shared" si="1"/>
        <v>18.539999999999424</v>
      </c>
      <c r="I25" s="19" t="s">
        <v>27</v>
      </c>
      <c r="J25" s="20"/>
    </row>
    <row r="26" spans="1:10" ht="15.75" x14ac:dyDescent="0.25">
      <c r="A26" s="15" t="s">
        <v>41</v>
      </c>
      <c r="B26" s="153" t="s">
        <v>13</v>
      </c>
      <c r="C26" s="153">
        <v>51217279</v>
      </c>
      <c r="D26" s="154" t="s">
        <v>37</v>
      </c>
      <c r="E26" s="153">
        <v>600</v>
      </c>
      <c r="F26" s="21">
        <v>15.696899999999999</v>
      </c>
      <c r="G26" s="21">
        <v>15.751300000000001</v>
      </c>
      <c r="H26" s="18">
        <f t="shared" si="1"/>
        <v>32.640000000000668</v>
      </c>
      <c r="I26" s="19" t="s">
        <v>27</v>
      </c>
      <c r="J26" s="20"/>
    </row>
    <row r="27" spans="1:10" ht="15.75" x14ac:dyDescent="0.25">
      <c r="A27" s="15" t="s">
        <v>42</v>
      </c>
      <c r="B27" s="153" t="s">
        <v>13</v>
      </c>
      <c r="C27" s="153">
        <v>51217272</v>
      </c>
      <c r="D27" s="154" t="s">
        <v>37</v>
      </c>
      <c r="E27" s="153">
        <v>600</v>
      </c>
      <c r="F27" s="31">
        <v>15.3956</v>
      </c>
      <c r="G27" s="31">
        <v>15.4489</v>
      </c>
      <c r="H27" s="18">
        <f t="shared" si="1"/>
        <v>31.980000000000075</v>
      </c>
      <c r="I27" s="19"/>
      <c r="J27" s="20"/>
    </row>
    <row r="28" spans="1:10" ht="15.75" x14ac:dyDescent="0.25">
      <c r="A28" s="15" t="s">
        <v>43</v>
      </c>
      <c r="B28" s="153" t="s">
        <v>13</v>
      </c>
      <c r="C28" s="153">
        <v>51616744</v>
      </c>
      <c r="D28" s="154">
        <f>300/5</f>
        <v>60</v>
      </c>
      <c r="E28" s="153">
        <v>3600</v>
      </c>
      <c r="F28" s="31">
        <v>109.78489999999999</v>
      </c>
      <c r="G28" s="31">
        <v>109.78489999999999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53" t="s">
        <v>13</v>
      </c>
      <c r="C29" s="153">
        <v>51555226</v>
      </c>
      <c r="D29" s="154">
        <f>300/5</f>
        <v>60</v>
      </c>
      <c r="E29" s="153">
        <v>3600</v>
      </c>
      <c r="F29" s="31">
        <v>548.05280000000005</v>
      </c>
      <c r="G29" s="31">
        <v>552.33429999999998</v>
      </c>
      <c r="H29" s="18">
        <f>(G29-F29)*E29</f>
        <v>15413.399999999774</v>
      </c>
      <c r="I29" s="19"/>
      <c r="J29" s="20"/>
    </row>
    <row r="30" spans="1:10" ht="15.75" x14ac:dyDescent="0.25">
      <c r="A30" s="15" t="s">
        <v>45</v>
      </c>
      <c r="B30" s="153" t="s">
        <v>13</v>
      </c>
      <c r="C30" s="153">
        <v>51097658</v>
      </c>
      <c r="D30" s="154" t="s">
        <v>34</v>
      </c>
      <c r="E30" s="153">
        <v>4800</v>
      </c>
      <c r="F30" s="31">
        <v>697.24890000000005</v>
      </c>
      <c r="G30" s="31">
        <v>700.94</v>
      </c>
      <c r="H30" s="18">
        <f t="shared" si="1"/>
        <v>17717.280000000028</v>
      </c>
      <c r="I30" s="19"/>
      <c r="J30" s="20"/>
    </row>
    <row r="31" spans="1:10" ht="15.75" x14ac:dyDescent="0.25">
      <c r="A31" s="15" t="s">
        <v>46</v>
      </c>
      <c r="B31" s="153" t="s">
        <v>13</v>
      </c>
      <c r="C31" s="153">
        <v>51097635</v>
      </c>
      <c r="D31" s="154" t="s">
        <v>34</v>
      </c>
      <c r="E31" s="153">
        <v>4800</v>
      </c>
      <c r="F31" s="31">
        <v>48.476900000000001</v>
      </c>
      <c r="G31" s="31">
        <v>48.477899999999998</v>
      </c>
      <c r="H31" s="18">
        <f t="shared" si="1"/>
        <v>4.7999999999888132</v>
      </c>
      <c r="I31" s="19"/>
      <c r="J31" s="20"/>
    </row>
    <row r="32" spans="1:10" ht="15.75" x14ac:dyDescent="0.25">
      <c r="A32" s="15" t="s">
        <v>47</v>
      </c>
      <c r="B32" s="153" t="s">
        <v>13</v>
      </c>
      <c r="C32" s="32">
        <v>51097633</v>
      </c>
      <c r="D32" s="154" t="s">
        <v>34</v>
      </c>
      <c r="E32" s="153">
        <v>4800</v>
      </c>
      <c r="F32" s="31">
        <v>201.4177</v>
      </c>
      <c r="G32" s="31">
        <v>203.75149999999999</v>
      </c>
      <c r="H32" s="33">
        <f t="shared" si="1"/>
        <v>11202.239999999983</v>
      </c>
      <c r="I32" s="34"/>
      <c r="J32" s="35"/>
    </row>
    <row r="33" spans="1:10" ht="15.75" x14ac:dyDescent="0.25">
      <c r="A33" s="15" t="s">
        <v>48</v>
      </c>
      <c r="B33" s="153" t="s">
        <v>13</v>
      </c>
      <c r="C33" s="32">
        <v>51097662</v>
      </c>
      <c r="D33" s="154" t="s">
        <v>34</v>
      </c>
      <c r="E33" s="153">
        <v>4800</v>
      </c>
      <c r="F33" s="31">
        <v>4.1976000000000004</v>
      </c>
      <c r="G33" s="31">
        <v>4.2466999999999997</v>
      </c>
      <c r="H33" s="33">
        <f t="shared" si="1"/>
        <v>235.67999999999643</v>
      </c>
      <c r="I33" s="34"/>
      <c r="J33" s="35"/>
    </row>
    <row r="34" spans="1:10" ht="15.75" x14ac:dyDescent="0.25">
      <c r="A34" s="218" t="s">
        <v>49</v>
      </c>
      <c r="B34" s="219"/>
      <c r="C34" s="153"/>
      <c r="D34" s="154"/>
      <c r="E34" s="153"/>
      <c r="F34" s="36"/>
      <c r="G34" s="36"/>
      <c r="H34" s="23">
        <f>H20+H21+H22+H23+H24+H25+H26+H27+H28+H29+H30+H31+H32+H33</f>
        <v>74258.520000000106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53" t="s">
        <v>52</v>
      </c>
      <c r="C36" s="153">
        <v>51555209</v>
      </c>
      <c r="D36" s="154" t="s">
        <v>53</v>
      </c>
      <c r="E36" s="153">
        <v>7000</v>
      </c>
      <c r="F36" s="17">
        <v>6.1279000000000003</v>
      </c>
      <c r="G36" s="17">
        <v>6.1414999999999997</v>
      </c>
      <c r="H36" s="41">
        <f>(G36-F36)*E36</f>
        <v>95.199999999995725</v>
      </c>
      <c r="I36" s="42"/>
      <c r="J36" s="14"/>
    </row>
    <row r="37" spans="1:10" ht="15.75" x14ac:dyDescent="0.25">
      <c r="A37" s="15" t="s">
        <v>54</v>
      </c>
      <c r="B37" s="153" t="s">
        <v>52</v>
      </c>
      <c r="C37" s="153">
        <v>51555209</v>
      </c>
      <c r="D37" s="154" t="s">
        <v>53</v>
      </c>
      <c r="E37" s="153">
        <v>7000</v>
      </c>
      <c r="F37" s="21">
        <v>10.7247</v>
      </c>
      <c r="G37" s="21">
        <v>10.773</v>
      </c>
      <c r="H37" s="18">
        <f>(G37-F37)*E37</f>
        <v>338.09999999999542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53" t="s">
        <v>52</v>
      </c>
      <c r="C39" s="153">
        <v>51097674</v>
      </c>
      <c r="D39" s="153" t="s">
        <v>14</v>
      </c>
      <c r="E39" s="153">
        <v>7200</v>
      </c>
      <c r="F39" s="21">
        <v>618.31330000000003</v>
      </c>
      <c r="G39" s="21">
        <v>620.73019999999997</v>
      </c>
      <c r="H39" s="18">
        <f>(G39-F39)*E39</f>
        <v>17401.679999999578</v>
      </c>
      <c r="I39" s="47"/>
      <c r="J39" s="20"/>
    </row>
    <row r="40" spans="1:10" ht="15.75" x14ac:dyDescent="0.25">
      <c r="A40" s="27" t="s">
        <v>57</v>
      </c>
      <c r="B40" s="153" t="s">
        <v>52</v>
      </c>
      <c r="C40" s="153">
        <v>51259257</v>
      </c>
      <c r="D40" s="153" t="s">
        <v>14</v>
      </c>
      <c r="E40" s="153">
        <v>7200</v>
      </c>
      <c r="F40" s="21">
        <v>1.0555000000000001</v>
      </c>
      <c r="G40" s="21">
        <v>1.0555000000000001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53"/>
      <c r="C41" s="153"/>
      <c r="D41" s="153"/>
      <c r="E41" s="153"/>
      <c r="F41" s="21"/>
      <c r="G41" s="21"/>
      <c r="H41" s="48">
        <f>H39+H40</f>
        <v>17401.679999999578</v>
      </c>
      <c r="I41" s="24">
        <f>H41-H49</f>
        <v>-123.20000000034997</v>
      </c>
      <c r="J41" s="25">
        <f>I41/H41</f>
        <v>-7.079776205536072E-3</v>
      </c>
    </row>
    <row r="42" spans="1:10" ht="15.75" x14ac:dyDescent="0.25">
      <c r="A42" s="15" t="s">
        <v>59</v>
      </c>
      <c r="B42" s="153"/>
      <c r="C42" s="153"/>
      <c r="D42" s="154"/>
      <c r="E42" s="153"/>
      <c r="H42" s="18"/>
      <c r="I42" s="43"/>
      <c r="J42" s="20"/>
    </row>
    <row r="43" spans="1:10" ht="15.75" x14ac:dyDescent="0.25">
      <c r="A43" s="27" t="s">
        <v>60</v>
      </c>
      <c r="B43" s="153" t="s">
        <v>52</v>
      </c>
      <c r="C43" s="32">
        <v>51097648</v>
      </c>
      <c r="D43" s="153" t="s">
        <v>53</v>
      </c>
      <c r="E43" s="153">
        <v>1200</v>
      </c>
      <c r="F43" s="21">
        <v>506.1823</v>
      </c>
      <c r="G43" s="21">
        <v>508.18220000000002</v>
      </c>
      <c r="H43" s="33">
        <f>(G43-F43)*E43</f>
        <v>2399.8800000000301</v>
      </c>
      <c r="I43" s="43"/>
      <c r="J43" s="20"/>
    </row>
    <row r="44" spans="1:10" ht="15.75" x14ac:dyDescent="0.25">
      <c r="A44" s="27" t="s">
        <v>61</v>
      </c>
      <c r="B44" s="153" t="s">
        <v>52</v>
      </c>
      <c r="C44" s="32">
        <v>50555043</v>
      </c>
      <c r="D44" s="153" t="s">
        <v>53</v>
      </c>
      <c r="E44" s="153">
        <v>1200</v>
      </c>
      <c r="F44" s="21">
        <v>2117.9618</v>
      </c>
      <c r="G44" s="21">
        <v>2126.1954999999998</v>
      </c>
      <c r="H44" s="33">
        <f>(G44-F44)*E44</f>
        <v>9880.4399999997258</v>
      </c>
      <c r="I44" s="43"/>
      <c r="J44" s="20"/>
    </row>
    <row r="45" spans="1:10" ht="15.75" x14ac:dyDescent="0.25">
      <c r="A45" s="27" t="s">
        <v>62</v>
      </c>
      <c r="B45" s="153" t="s">
        <v>52</v>
      </c>
      <c r="C45" s="32">
        <v>51259336</v>
      </c>
      <c r="D45" s="153" t="s">
        <v>63</v>
      </c>
      <c r="E45" s="153">
        <v>2400</v>
      </c>
      <c r="F45" s="21">
        <v>4.2697000000000003</v>
      </c>
      <c r="G45" s="21">
        <v>4.2835000000000001</v>
      </c>
      <c r="H45" s="33">
        <f>(G45-F45)*E45</f>
        <v>33.11999999999955</v>
      </c>
      <c r="I45" s="43"/>
      <c r="J45" s="20"/>
    </row>
    <row r="46" spans="1:10" ht="15.75" x14ac:dyDescent="0.25">
      <c r="A46" s="27" t="s">
        <v>64</v>
      </c>
      <c r="B46" s="153" t="s">
        <v>52</v>
      </c>
      <c r="C46" s="32">
        <v>51259266</v>
      </c>
      <c r="D46" s="153" t="s">
        <v>53</v>
      </c>
      <c r="E46" s="153">
        <v>1200</v>
      </c>
      <c r="F46" s="21">
        <v>1026.7331999999999</v>
      </c>
      <c r="G46" s="21">
        <v>1030.7299</v>
      </c>
      <c r="H46" s="33">
        <f>(G46-F46)*E46</f>
        <v>4796.0400000001755</v>
      </c>
      <c r="I46" s="43"/>
      <c r="J46" s="20"/>
    </row>
    <row r="47" spans="1:10" ht="15.75" x14ac:dyDescent="0.25">
      <c r="A47" s="27" t="s">
        <v>65</v>
      </c>
      <c r="B47" s="153" t="s">
        <v>52</v>
      </c>
      <c r="C47" s="32">
        <v>51431336</v>
      </c>
      <c r="D47" s="153" t="s">
        <v>53</v>
      </c>
      <c r="E47" s="153">
        <v>1200</v>
      </c>
      <c r="F47" s="21">
        <v>61.401200000000003</v>
      </c>
      <c r="G47" s="21">
        <v>61.7057</v>
      </c>
      <c r="H47" s="33">
        <f>(G47-F47)*E47</f>
        <v>365.39999999999679</v>
      </c>
      <c r="I47" s="43"/>
      <c r="J47" s="20"/>
    </row>
    <row r="48" spans="1:10" ht="15.75" x14ac:dyDescent="0.25">
      <c r="A48" s="15" t="s">
        <v>66</v>
      </c>
      <c r="B48" s="153" t="s">
        <v>67</v>
      </c>
      <c r="C48" s="153">
        <v>49174</v>
      </c>
      <c r="D48" s="154" t="s">
        <v>53</v>
      </c>
      <c r="E48" s="153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17524.879999999928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53" t="s">
        <v>52</v>
      </c>
      <c r="C51" s="153">
        <v>51097603</v>
      </c>
      <c r="D51" s="154" t="s">
        <v>53</v>
      </c>
      <c r="E51" s="153">
        <v>7000</v>
      </c>
      <c r="F51" s="17">
        <v>2015.6899000000001</v>
      </c>
      <c r="G51" s="17">
        <v>2023.1215</v>
      </c>
      <c r="H51" s="18">
        <f>(G51-F51)*E51</f>
        <v>52021.199999999226</v>
      </c>
      <c r="I51" s="43"/>
      <c r="J51" s="20"/>
    </row>
    <row r="52" spans="1:10" ht="15.75" x14ac:dyDescent="0.25">
      <c r="A52" s="27" t="s">
        <v>72</v>
      </c>
      <c r="B52" s="153" t="s">
        <v>52</v>
      </c>
      <c r="C52" s="153">
        <v>51097590</v>
      </c>
      <c r="D52" s="154" t="s">
        <v>53</v>
      </c>
      <c r="E52" s="153">
        <v>7000</v>
      </c>
      <c r="F52" s="21">
        <v>12.8986</v>
      </c>
      <c r="G52" s="21">
        <v>12.920999999999999</v>
      </c>
      <c r="H52" s="18">
        <f>(G52-F52)*E52</f>
        <v>156.79999999999518</v>
      </c>
      <c r="I52" s="43"/>
      <c r="J52" s="20"/>
    </row>
    <row r="53" spans="1:10" ht="15.75" x14ac:dyDescent="0.25">
      <c r="A53" s="15" t="s">
        <v>66</v>
      </c>
      <c r="B53" s="153" t="s">
        <v>67</v>
      </c>
      <c r="C53" s="153">
        <v>49174</v>
      </c>
      <c r="D53" s="154" t="s">
        <v>53</v>
      </c>
      <c r="E53" s="153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53"/>
      <c r="D54" s="154"/>
      <c r="E54" s="153"/>
      <c r="F54" s="21"/>
      <c r="G54" s="21"/>
      <c r="H54" s="48">
        <f>H51+H52+H53</f>
        <v>52277.999999999221</v>
      </c>
      <c r="I54" s="47"/>
      <c r="J54" s="59"/>
    </row>
    <row r="55" spans="1:10" ht="15.75" x14ac:dyDescent="0.25">
      <c r="A55" s="27" t="s">
        <v>74</v>
      </c>
      <c r="B55" s="153" t="s">
        <v>52</v>
      </c>
      <c r="C55" s="153">
        <v>51100980</v>
      </c>
      <c r="D55" s="153" t="s">
        <v>75</v>
      </c>
      <c r="E55" s="153">
        <v>12000</v>
      </c>
      <c r="F55" s="21">
        <v>1185.8012000000001</v>
      </c>
      <c r="G55" s="21">
        <v>1190.1586</v>
      </c>
      <c r="H55" s="18">
        <f>(G55-F55)*E55</f>
        <v>52288.799999998446</v>
      </c>
      <c r="I55" s="47"/>
      <c r="J55" s="58"/>
    </row>
    <row r="56" spans="1:10" ht="15.75" x14ac:dyDescent="0.25">
      <c r="A56" s="27" t="s">
        <v>76</v>
      </c>
      <c r="B56" s="153" t="s">
        <v>52</v>
      </c>
      <c r="C56" s="153">
        <v>51097623</v>
      </c>
      <c r="D56" s="153" t="s">
        <v>75</v>
      </c>
      <c r="E56" s="153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53"/>
      <c r="C57" s="153"/>
      <c r="D57" s="153"/>
      <c r="E57" s="153"/>
      <c r="F57" s="21"/>
      <c r="G57" s="21"/>
      <c r="H57" s="48">
        <f>H55+H56</f>
        <v>52288.799999998446</v>
      </c>
      <c r="I57" s="61">
        <f>H54-H64-H53</f>
        <v>-202.12000000133412</v>
      </c>
      <c r="J57" s="25">
        <f>I57/H57</f>
        <v>-3.865454934925646E-3</v>
      </c>
    </row>
    <row r="58" spans="1:10" ht="15.75" x14ac:dyDescent="0.25">
      <c r="A58" s="27" t="s">
        <v>78</v>
      </c>
      <c r="B58" s="153" t="s">
        <v>52</v>
      </c>
      <c r="C58" s="153">
        <v>51097675</v>
      </c>
      <c r="D58" s="153" t="s">
        <v>34</v>
      </c>
      <c r="E58" s="153">
        <v>4800</v>
      </c>
      <c r="F58" s="21">
        <v>543.79629999999997</v>
      </c>
      <c r="G58" s="21">
        <v>547.34109999999998</v>
      </c>
      <c r="H58" s="18">
        <f t="shared" ref="H58:H63" si="2">(G58-F58)*E58</f>
        <v>17015.040000000045</v>
      </c>
      <c r="I58" s="62"/>
      <c r="J58" s="59"/>
    </row>
    <row r="59" spans="1:10" ht="15.75" x14ac:dyDescent="0.25">
      <c r="A59" s="27" t="s">
        <v>79</v>
      </c>
      <c r="B59" s="153" t="s">
        <v>52</v>
      </c>
      <c r="C59" s="153">
        <v>51100997</v>
      </c>
      <c r="D59" s="153" t="s">
        <v>21</v>
      </c>
      <c r="E59" s="153">
        <v>3600</v>
      </c>
      <c r="F59" s="21">
        <v>1409.3508999999999</v>
      </c>
      <c r="G59" s="21">
        <v>1412.175</v>
      </c>
      <c r="H59" s="18">
        <f t="shared" si="2"/>
        <v>10166.760000000158</v>
      </c>
      <c r="I59" s="62"/>
      <c r="J59" s="59"/>
    </row>
    <row r="60" spans="1:10" ht="15.75" x14ac:dyDescent="0.25">
      <c r="A60" s="27" t="s">
        <v>80</v>
      </c>
      <c r="B60" s="153" t="s">
        <v>52</v>
      </c>
      <c r="C60" s="153">
        <v>51555218</v>
      </c>
      <c r="D60" s="153">
        <f>400/5</f>
        <v>80</v>
      </c>
      <c r="E60" s="153">
        <v>4800</v>
      </c>
      <c r="F60" s="21">
        <v>69.944000000000003</v>
      </c>
      <c r="G60" s="21">
        <v>70.496399999999994</v>
      </c>
      <c r="H60" s="18">
        <f t="shared" si="2"/>
        <v>2651.5199999999595</v>
      </c>
      <c r="I60" s="62"/>
      <c r="J60" s="59"/>
    </row>
    <row r="61" spans="1:10" ht="15.75" x14ac:dyDescent="0.25">
      <c r="A61" s="27" t="s">
        <v>81</v>
      </c>
      <c r="B61" s="153" t="s">
        <v>52</v>
      </c>
      <c r="C61" s="153">
        <v>51555151</v>
      </c>
      <c r="D61" s="153">
        <f>400/5</f>
        <v>80</v>
      </c>
      <c r="E61" s="153">
        <v>4800</v>
      </c>
      <c r="F61" s="63">
        <v>0.30690000000000001</v>
      </c>
      <c r="G61" s="63">
        <v>0.30690000000000001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53" t="s">
        <v>52</v>
      </c>
      <c r="C62" s="153">
        <v>51097599</v>
      </c>
      <c r="D62" s="153" t="s">
        <v>21</v>
      </c>
      <c r="E62" s="153">
        <v>3600</v>
      </c>
      <c r="F62" s="21">
        <v>990.1105</v>
      </c>
      <c r="G62" s="21">
        <v>992.57749999999999</v>
      </c>
      <c r="H62" s="18">
        <f t="shared" si="2"/>
        <v>8881.1999999999443</v>
      </c>
      <c r="I62" s="62"/>
      <c r="J62" s="59"/>
    </row>
    <row r="63" spans="1:10" ht="15.75" x14ac:dyDescent="0.25">
      <c r="A63" s="27" t="s">
        <v>83</v>
      </c>
      <c r="B63" s="153" t="s">
        <v>52</v>
      </c>
      <c r="C63" s="153">
        <v>51097620</v>
      </c>
      <c r="D63" s="153" t="s">
        <v>34</v>
      </c>
      <c r="E63" s="153">
        <v>4800</v>
      </c>
      <c r="F63" s="21">
        <v>540.91139999999996</v>
      </c>
      <c r="G63" s="21">
        <v>543.75840000000005</v>
      </c>
      <c r="H63" s="18">
        <f t="shared" si="2"/>
        <v>13665.60000000045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52380.120000000556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53" t="s">
        <v>52</v>
      </c>
      <c r="C66" s="9">
        <v>51259238</v>
      </c>
      <c r="D66" s="74" t="s">
        <v>53</v>
      </c>
      <c r="E66" s="74">
        <v>7000</v>
      </c>
      <c r="F66" s="75">
        <v>587.62260000000003</v>
      </c>
      <c r="G66" s="75">
        <v>590.43190000000004</v>
      </c>
      <c r="H66" s="76">
        <f>(G66-F66)*E66</f>
        <v>19665.100000000053</v>
      </c>
      <c r="I66" s="77"/>
      <c r="J66" s="78"/>
    </row>
    <row r="67" spans="1:10" ht="15.75" x14ac:dyDescent="0.25">
      <c r="A67" s="27" t="s">
        <v>86</v>
      </c>
      <c r="B67" s="153" t="s">
        <v>52</v>
      </c>
      <c r="C67" s="153">
        <v>51259324</v>
      </c>
      <c r="D67" s="154" t="s">
        <v>53</v>
      </c>
      <c r="E67" s="154">
        <v>7000</v>
      </c>
      <c r="F67" s="21">
        <v>454.33699999999999</v>
      </c>
      <c r="G67" s="21">
        <v>456.31400000000002</v>
      </c>
      <c r="H67" s="18">
        <f>(G67-F67)*E67</f>
        <v>13839.000000000226</v>
      </c>
      <c r="I67" s="51"/>
      <c r="J67" s="58"/>
    </row>
    <row r="68" spans="1:10" s="129" customFormat="1" ht="15.75" x14ac:dyDescent="0.25">
      <c r="A68" s="27" t="s">
        <v>87</v>
      </c>
      <c r="B68" s="79" t="s">
        <v>88</v>
      </c>
      <c r="C68" s="153">
        <v>51491618</v>
      </c>
      <c r="D68" s="154" t="s">
        <v>63</v>
      </c>
      <c r="E68" s="153">
        <v>40</v>
      </c>
      <c r="F68" s="28">
        <v>1355.8485000000001</v>
      </c>
      <c r="G68" s="28">
        <v>1366.7355</v>
      </c>
      <c r="H68" s="18">
        <f>(G68-F68)*E68</f>
        <v>435.47999999999774</v>
      </c>
      <c r="I68" s="51"/>
      <c r="J68" s="58"/>
    </row>
    <row r="69" spans="1:10" s="129" customFormat="1" ht="15.75" x14ac:dyDescent="0.25">
      <c r="A69" s="27" t="s">
        <v>89</v>
      </c>
      <c r="B69" s="79" t="s">
        <v>88</v>
      </c>
      <c r="C69" s="153">
        <v>51491624</v>
      </c>
      <c r="D69" s="154" t="s">
        <v>63</v>
      </c>
      <c r="E69" s="153">
        <v>40</v>
      </c>
      <c r="F69" s="28">
        <v>181.0035</v>
      </c>
      <c r="G69" s="28">
        <v>181.85149999999999</v>
      </c>
      <c r="H69" s="18">
        <f>(G69-F69)*E69</f>
        <v>33.919999999999391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33504.100000000282</v>
      </c>
      <c r="I70" s="85">
        <f>H70-H73-H68-H69</f>
        <v>-571.29999999970755</v>
      </c>
      <c r="J70" s="25">
        <f>I70/H70</f>
        <v>-1.7051644425598741E-2</v>
      </c>
    </row>
    <row r="71" spans="1:10" ht="15.75" x14ac:dyDescent="0.25">
      <c r="A71" s="27" t="s">
        <v>91</v>
      </c>
      <c r="B71" s="153" t="s">
        <v>52</v>
      </c>
      <c r="C71" s="86">
        <v>51097588</v>
      </c>
      <c r="D71" s="154" t="s">
        <v>75</v>
      </c>
      <c r="E71" s="153">
        <v>12000</v>
      </c>
      <c r="F71" s="21">
        <v>351.36349999999999</v>
      </c>
      <c r="G71" s="21">
        <v>352.94909999999999</v>
      </c>
      <c r="H71" s="18">
        <f>(G71-F71)*E71</f>
        <v>19027.199999999993</v>
      </c>
      <c r="I71" s="51"/>
      <c r="J71" s="58"/>
    </row>
    <row r="72" spans="1:10" ht="15.75" x14ac:dyDescent="0.25">
      <c r="A72" s="27" t="s">
        <v>92</v>
      </c>
      <c r="B72" s="153" t="s">
        <v>52</v>
      </c>
      <c r="C72" s="86">
        <v>51431335</v>
      </c>
      <c r="D72" s="154" t="s">
        <v>75</v>
      </c>
      <c r="E72" s="153">
        <v>12000</v>
      </c>
      <c r="F72" s="21">
        <v>277.0489</v>
      </c>
      <c r="G72" s="21">
        <v>278.2638</v>
      </c>
      <c r="H72" s="18">
        <f>(G72-F72)*E72</f>
        <v>14578.800000000001</v>
      </c>
      <c r="I72" s="51"/>
      <c r="J72" s="58"/>
    </row>
    <row r="73" spans="1:10" ht="15.75" x14ac:dyDescent="0.25">
      <c r="A73" s="87" t="s">
        <v>93</v>
      </c>
      <c r="B73" s="153" t="s">
        <v>27</v>
      </c>
      <c r="C73" s="153"/>
      <c r="D73" s="154"/>
      <c r="E73" s="153"/>
      <c r="F73" s="21"/>
      <c r="G73" s="21"/>
      <c r="H73" s="48">
        <f>H71+ H72</f>
        <v>33605.999999999993</v>
      </c>
      <c r="I73" s="85">
        <f>H73-H81</f>
        <v>-74.580000000227301</v>
      </c>
      <c r="J73" s="25">
        <f>I73/H73</f>
        <v>-2.2192465631204941E-3</v>
      </c>
    </row>
    <row r="74" spans="1:10" ht="15.75" x14ac:dyDescent="0.25">
      <c r="A74" s="27" t="s">
        <v>94</v>
      </c>
      <c r="B74" s="153" t="s">
        <v>52</v>
      </c>
      <c r="C74" s="86">
        <v>51097676</v>
      </c>
      <c r="D74" s="88" t="s">
        <v>63</v>
      </c>
      <c r="E74" s="153">
        <v>2400</v>
      </c>
      <c r="F74" s="21">
        <v>736.1703</v>
      </c>
      <c r="G74" s="21">
        <v>739.65459999999996</v>
      </c>
      <c r="H74" s="18">
        <f>(G74-F74)*E74</f>
        <v>8362.3199999999088</v>
      </c>
      <c r="I74" s="51"/>
      <c r="J74" s="58"/>
    </row>
    <row r="75" spans="1:10" ht="15.75" x14ac:dyDescent="0.25">
      <c r="A75" s="27" t="s">
        <v>95</v>
      </c>
      <c r="B75" s="153" t="s">
        <v>52</v>
      </c>
      <c r="C75" s="86">
        <v>51431355</v>
      </c>
      <c r="D75" s="154" t="s">
        <v>21</v>
      </c>
      <c r="E75" s="154">
        <v>3600</v>
      </c>
      <c r="F75" s="21">
        <v>380.56319999999999</v>
      </c>
      <c r="G75" s="21">
        <v>381.88510000000002</v>
      </c>
      <c r="H75" s="18">
        <f>(G75-F75)*E75</f>
        <v>4758.8400000001002</v>
      </c>
      <c r="I75" s="51"/>
      <c r="J75" s="52"/>
    </row>
    <row r="76" spans="1:10" ht="15.75" x14ac:dyDescent="0.25">
      <c r="A76" s="27" t="s">
        <v>96</v>
      </c>
      <c r="B76" s="153" t="s">
        <v>52</v>
      </c>
      <c r="C76" s="86">
        <v>51259331</v>
      </c>
      <c r="D76" s="88" t="s">
        <v>37</v>
      </c>
      <c r="E76" s="153">
        <v>600</v>
      </c>
      <c r="F76" s="21">
        <v>174.40940000000001</v>
      </c>
      <c r="G76" s="21">
        <v>175.35589999999999</v>
      </c>
      <c r="H76" s="18">
        <f>(G76-F76)*E76</f>
        <v>567.89999999999168</v>
      </c>
      <c r="I76" s="51"/>
      <c r="J76" s="52"/>
    </row>
    <row r="77" spans="1:10" ht="15.75" x14ac:dyDescent="0.25">
      <c r="A77" s="27" t="s">
        <v>97</v>
      </c>
      <c r="B77" s="153" t="s">
        <v>52</v>
      </c>
      <c r="C77" s="86">
        <v>51259326</v>
      </c>
      <c r="D77" s="88" t="s">
        <v>14</v>
      </c>
      <c r="E77" s="153">
        <v>7200</v>
      </c>
      <c r="F77" s="21">
        <v>347.29169999999999</v>
      </c>
      <c r="G77" s="21">
        <v>348.78280000000001</v>
      </c>
      <c r="H77" s="18">
        <f>(G77-F77)*E77</f>
        <v>10735.920000000124</v>
      </c>
      <c r="I77" s="51"/>
      <c r="J77" s="52"/>
    </row>
    <row r="78" spans="1:10" ht="15.75" x14ac:dyDescent="0.25">
      <c r="A78" s="27" t="s">
        <v>98</v>
      </c>
      <c r="B78" s="153" t="s">
        <v>52</v>
      </c>
      <c r="C78" s="86">
        <v>51431351</v>
      </c>
      <c r="D78" s="88" t="s">
        <v>14</v>
      </c>
      <c r="E78" s="153">
        <v>7200</v>
      </c>
      <c r="F78" s="21">
        <v>251.83699999999999</v>
      </c>
      <c r="G78" s="21">
        <v>253.1225</v>
      </c>
      <c r="H78" s="18">
        <f>(G78-F78)*E78</f>
        <v>9255.600000000095</v>
      </c>
      <c r="I78" s="51"/>
      <c r="J78" s="52"/>
    </row>
    <row r="79" spans="1:10" ht="15.75" x14ac:dyDescent="0.25">
      <c r="A79" s="89" t="s">
        <v>99</v>
      </c>
      <c r="B79" s="153" t="s">
        <v>52</v>
      </c>
      <c r="C79" s="90">
        <v>51097666</v>
      </c>
      <c r="D79" s="88" t="s">
        <v>63</v>
      </c>
      <c r="E79" s="153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53" t="s">
        <v>52</v>
      </c>
      <c r="C80" s="90">
        <v>51259323</v>
      </c>
      <c r="D80" s="88" t="s">
        <v>63</v>
      </c>
      <c r="E80" s="153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33680.58000000022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53" t="s">
        <v>52</v>
      </c>
      <c r="C83" s="106">
        <v>51431297</v>
      </c>
      <c r="D83" s="154" t="s">
        <v>53</v>
      </c>
      <c r="E83" s="100">
        <v>7000</v>
      </c>
      <c r="F83" s="17">
        <v>306.58420000000001</v>
      </c>
      <c r="G83" s="17">
        <v>309.12569999999999</v>
      </c>
      <c r="H83" s="18">
        <f>(G83-F83)*E83</f>
        <v>17790.499999999894</v>
      </c>
      <c r="I83" s="107"/>
      <c r="J83" s="108"/>
    </row>
    <row r="84" spans="1:10" ht="15.75" x14ac:dyDescent="0.25">
      <c r="A84" s="105" t="s">
        <v>86</v>
      </c>
      <c r="B84" s="153" t="s">
        <v>52</v>
      </c>
      <c r="C84" s="106">
        <v>51431332</v>
      </c>
      <c r="D84" s="154" t="s">
        <v>53</v>
      </c>
      <c r="E84" s="100">
        <v>7000</v>
      </c>
      <c r="F84" s="17">
        <v>358.97230000000002</v>
      </c>
      <c r="G84" s="17">
        <v>359.10789999999997</v>
      </c>
      <c r="H84" s="18">
        <f>(G84-F84)*E84</f>
        <v>949.19999999967786</v>
      </c>
      <c r="I84" s="153"/>
      <c r="J84" s="58"/>
    </row>
    <row r="85" spans="1:10" s="129" customFormat="1" ht="15.75" x14ac:dyDescent="0.25">
      <c r="A85" s="27" t="s">
        <v>87</v>
      </c>
      <c r="B85" s="153" t="s">
        <v>103</v>
      </c>
      <c r="C85" s="109">
        <v>150773</v>
      </c>
      <c r="D85" s="154" t="s">
        <v>53</v>
      </c>
      <c r="E85" s="109">
        <v>20</v>
      </c>
      <c r="F85" s="17">
        <v>15720.5</v>
      </c>
      <c r="G85" s="17">
        <v>15727.3</v>
      </c>
      <c r="H85" s="18">
        <f>(G85-F85)*E85</f>
        <v>135.99999999998545</v>
      </c>
      <c r="I85" s="51"/>
      <c r="J85" s="58"/>
    </row>
    <row r="86" spans="1:10" s="129" customFormat="1" ht="15.75" x14ac:dyDescent="0.25">
      <c r="A86" s="27" t="s">
        <v>89</v>
      </c>
      <c r="B86" s="153" t="s">
        <v>103</v>
      </c>
      <c r="C86" s="109">
        <v>150791</v>
      </c>
      <c r="D86" s="154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55"/>
      <c r="C87" s="32"/>
      <c r="D87" s="82"/>
      <c r="E87" s="82"/>
      <c r="F87" s="21"/>
      <c r="G87" s="21"/>
      <c r="H87" s="48">
        <f>H83+H84</f>
        <v>18739.699999999571</v>
      </c>
      <c r="I87" s="85">
        <f>H87-H90-H85-H86</f>
        <v>407.85999999963315</v>
      </c>
      <c r="J87" s="25">
        <f>I87/H87</f>
        <v>2.1764489292765758E-2</v>
      </c>
    </row>
    <row r="88" spans="1:10" ht="15.75" x14ac:dyDescent="0.25">
      <c r="A88" s="27" t="s">
        <v>104</v>
      </c>
      <c r="B88" s="153" t="s">
        <v>52</v>
      </c>
      <c r="C88" s="106">
        <v>51431342</v>
      </c>
      <c r="D88" s="88" t="s">
        <v>34</v>
      </c>
      <c r="E88" s="153">
        <v>4800</v>
      </c>
      <c r="F88" s="21">
        <v>435.87490000000003</v>
      </c>
      <c r="G88" s="21">
        <v>439.53410000000002</v>
      </c>
      <c r="H88" s="18">
        <f>(G88-F88)*E88</f>
        <v>17564.159999999993</v>
      </c>
      <c r="I88" s="51"/>
      <c r="J88" s="52"/>
    </row>
    <row r="89" spans="1:10" ht="15.75" x14ac:dyDescent="0.25">
      <c r="A89" s="27" t="s">
        <v>105</v>
      </c>
      <c r="B89" s="153" t="s">
        <v>52</v>
      </c>
      <c r="C89" s="106">
        <v>51431343</v>
      </c>
      <c r="D89" s="88" t="s">
        <v>34</v>
      </c>
      <c r="E89" s="153">
        <v>4800</v>
      </c>
      <c r="F89" s="21">
        <v>506.63</v>
      </c>
      <c r="G89" s="21">
        <v>506.76159999999999</v>
      </c>
      <c r="H89" s="18">
        <f>(G89-F89)*E89</f>
        <v>631.67999999996027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18195.839999999953</v>
      </c>
      <c r="I90" s="85">
        <f>H90-H98</f>
        <v>-101.32000000008702</v>
      </c>
      <c r="J90" s="25">
        <f>I90/H90</f>
        <v>-5.5683057226315075E-3</v>
      </c>
    </row>
    <row r="91" spans="1:10" ht="15.75" x14ac:dyDescent="0.25">
      <c r="A91" s="27" t="s">
        <v>107</v>
      </c>
      <c r="B91" s="153" t="s">
        <v>52</v>
      </c>
      <c r="C91" s="106">
        <v>51431347</v>
      </c>
      <c r="D91" s="154" t="s">
        <v>53</v>
      </c>
      <c r="E91" s="153">
        <v>1200</v>
      </c>
      <c r="F91" s="21">
        <v>1202.1474000000001</v>
      </c>
      <c r="G91" s="21">
        <v>1202.1474000000001</v>
      </c>
      <c r="H91" s="18">
        <f>(G91-F91)*E91</f>
        <v>0</v>
      </c>
      <c r="I91" s="51"/>
      <c r="J91" s="52"/>
    </row>
    <row r="92" spans="1:10" ht="15.75" x14ac:dyDescent="0.25">
      <c r="A92" s="27" t="s">
        <v>108</v>
      </c>
      <c r="B92" s="153" t="s">
        <v>52</v>
      </c>
      <c r="C92" s="106">
        <v>51431339</v>
      </c>
      <c r="D92" s="154" t="s">
        <v>53</v>
      </c>
      <c r="E92" s="153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53" t="s">
        <v>52</v>
      </c>
      <c r="C93" s="106">
        <v>51217244</v>
      </c>
      <c r="D93" s="153" t="s">
        <v>37</v>
      </c>
      <c r="E93" s="153">
        <v>600</v>
      </c>
      <c r="F93" s="30">
        <v>343.56709999999998</v>
      </c>
      <c r="G93" s="30">
        <v>344.45350000000002</v>
      </c>
      <c r="H93" s="18">
        <f t="shared" si="4"/>
        <v>531.84000000002243</v>
      </c>
      <c r="I93" s="51"/>
      <c r="J93" s="52"/>
    </row>
    <row r="94" spans="1:10" ht="15.75" x14ac:dyDescent="0.25">
      <c r="A94" s="27" t="s">
        <v>110</v>
      </c>
      <c r="B94" s="153" t="s">
        <v>52</v>
      </c>
      <c r="C94" s="106">
        <v>51217267</v>
      </c>
      <c r="D94" s="88" t="s">
        <v>63</v>
      </c>
      <c r="E94" s="153">
        <v>2400</v>
      </c>
      <c r="F94" s="30">
        <v>20.6006</v>
      </c>
      <c r="G94" s="30">
        <v>20.644400000000001</v>
      </c>
      <c r="H94" s="18">
        <f t="shared" si="4"/>
        <v>105.12000000000228</v>
      </c>
      <c r="I94" s="51"/>
      <c r="J94" s="52"/>
    </row>
    <row r="95" spans="1:10" ht="15.75" x14ac:dyDescent="0.25">
      <c r="A95" s="27" t="s">
        <v>111</v>
      </c>
      <c r="B95" s="153" t="s">
        <v>52</v>
      </c>
      <c r="C95" s="153">
        <v>51555165</v>
      </c>
      <c r="D95" s="154" t="s">
        <v>53</v>
      </c>
      <c r="E95" s="153">
        <v>1200</v>
      </c>
      <c r="F95" s="30">
        <v>935.01969999999994</v>
      </c>
      <c r="G95" s="30">
        <v>943.67089999999996</v>
      </c>
      <c r="H95" s="18">
        <f t="shared" si="4"/>
        <v>10381.440000000021</v>
      </c>
      <c r="I95" s="51" t="s">
        <v>27</v>
      </c>
      <c r="J95" s="52"/>
    </row>
    <row r="96" spans="1:10" ht="15.75" x14ac:dyDescent="0.25">
      <c r="A96" s="113" t="s">
        <v>112</v>
      </c>
      <c r="B96" s="153" t="s">
        <v>52</v>
      </c>
      <c r="C96" s="106">
        <v>51431346</v>
      </c>
      <c r="D96" s="114" t="s">
        <v>37</v>
      </c>
      <c r="E96" s="114">
        <v>600</v>
      </c>
      <c r="F96" s="30">
        <v>371.69639999999998</v>
      </c>
      <c r="G96" s="30">
        <v>373.90320000000003</v>
      </c>
      <c r="H96" s="115">
        <f t="shared" si="4"/>
        <v>1324.0800000000263</v>
      </c>
      <c r="I96" s="116"/>
      <c r="J96" s="117"/>
    </row>
    <row r="97" spans="1:10" ht="15.75" x14ac:dyDescent="0.25">
      <c r="A97" s="27" t="s">
        <v>113</v>
      </c>
      <c r="B97" s="153" t="s">
        <v>52</v>
      </c>
      <c r="C97" s="106">
        <v>51431352</v>
      </c>
      <c r="D97" s="88" t="s">
        <v>21</v>
      </c>
      <c r="E97" s="153">
        <v>3600</v>
      </c>
      <c r="F97" s="21">
        <v>247.77690000000001</v>
      </c>
      <c r="G97" s="21">
        <v>249.39320000000001</v>
      </c>
      <c r="H97" s="18">
        <f t="shared" si="4"/>
        <v>5818.6799999999839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18297.16000000004</v>
      </c>
      <c r="I98" s="51"/>
      <c r="J98" s="52"/>
    </row>
    <row r="99" spans="1:10" ht="15.75" x14ac:dyDescent="0.25">
      <c r="A99" s="45" t="s">
        <v>114</v>
      </c>
      <c r="B99" s="153" t="s">
        <v>52</v>
      </c>
      <c r="C99" s="120">
        <v>51431357</v>
      </c>
      <c r="D99" s="154" t="s">
        <v>63</v>
      </c>
      <c r="E99" s="154">
        <v>14000</v>
      </c>
      <c r="F99" s="28">
        <v>868.91210000000001</v>
      </c>
      <c r="G99" s="28">
        <v>872.24220000000003</v>
      </c>
      <c r="H99" s="121">
        <f t="shared" si="4"/>
        <v>46621.40000000022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opLeftCell="E55" workbookViewId="0">
      <selection activeCell="D26" sqref="D2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126</v>
      </c>
      <c r="G2" s="4" t="s">
        <v>127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56" t="s">
        <v>13</v>
      </c>
      <c r="C4" s="156">
        <v>51555166</v>
      </c>
      <c r="D4" s="156" t="s">
        <v>14</v>
      </c>
      <c r="E4" s="156">
        <v>132000</v>
      </c>
      <c r="F4" s="17">
        <v>6.9710999999999999</v>
      </c>
      <c r="G4" s="17">
        <v>6.9791999999999996</v>
      </c>
      <c r="H4" s="18">
        <f>(G4-F4)*E4</f>
        <v>1069.1999999999703</v>
      </c>
      <c r="I4" s="19"/>
      <c r="J4" s="20"/>
    </row>
    <row r="5" spans="1:10" ht="15.75" x14ac:dyDescent="0.25">
      <c r="A5" s="15" t="s">
        <v>15</v>
      </c>
      <c r="B5" s="156" t="s">
        <v>13</v>
      </c>
      <c r="C5" s="156">
        <v>51555191</v>
      </c>
      <c r="D5" s="156" t="s">
        <v>14</v>
      </c>
      <c r="E5" s="156">
        <v>132000</v>
      </c>
      <c r="F5" s="21">
        <v>391.15839999999997</v>
      </c>
      <c r="G5" s="21">
        <v>393.14030000000002</v>
      </c>
      <c r="H5" s="18">
        <f>(G5-F5)*E5</f>
        <v>261610.80000000697</v>
      </c>
      <c r="I5" s="19"/>
      <c r="J5" s="20"/>
    </row>
    <row r="6" spans="1:10" ht="15.75" x14ac:dyDescent="0.25">
      <c r="A6" s="218" t="s">
        <v>16</v>
      </c>
      <c r="B6" s="219"/>
      <c r="C6" s="156"/>
      <c r="D6" s="157"/>
      <c r="E6" s="156"/>
      <c r="H6" s="23">
        <f>H4+H5</f>
        <v>262680.00000000693</v>
      </c>
      <c r="I6" s="24">
        <f>H6-H9-H19</f>
        <v>1920.6000000101485</v>
      </c>
      <c r="J6" s="25">
        <f>I6/H6</f>
        <v>7.311557788983165E-3</v>
      </c>
    </row>
    <row r="7" spans="1:10" ht="15.75" x14ac:dyDescent="0.25">
      <c r="A7" s="26" t="s">
        <v>17</v>
      </c>
      <c r="B7" s="156" t="s">
        <v>13</v>
      </c>
      <c r="C7" s="156">
        <v>51097629</v>
      </c>
      <c r="D7" s="157" t="s">
        <v>14</v>
      </c>
      <c r="E7" s="156">
        <v>42000</v>
      </c>
      <c r="F7" s="21">
        <v>1146.6458</v>
      </c>
      <c r="G7" s="21">
        <v>1151.0899999999999</v>
      </c>
      <c r="H7" s="18">
        <f>(G7-F7)*E7</f>
        <v>186656.39999999621</v>
      </c>
      <c r="I7" s="19"/>
      <c r="J7" s="20"/>
    </row>
    <row r="8" spans="1:10" ht="15.75" x14ac:dyDescent="0.25">
      <c r="A8" s="26" t="s">
        <v>18</v>
      </c>
      <c r="B8" s="156" t="s">
        <v>13</v>
      </c>
      <c r="C8" s="156">
        <v>51616820</v>
      </c>
      <c r="D8" s="157" t="s">
        <v>14</v>
      </c>
      <c r="E8" s="156">
        <v>42000</v>
      </c>
      <c r="F8" s="21">
        <v>15.346500000000001</v>
      </c>
      <c r="G8" s="21">
        <v>15.358000000000001</v>
      </c>
      <c r="H8" s="18">
        <f>(G8-F8)*E8</f>
        <v>482.99999999999341</v>
      </c>
      <c r="I8" s="19"/>
      <c r="J8" s="20"/>
    </row>
    <row r="9" spans="1:10" ht="15.75" x14ac:dyDescent="0.25">
      <c r="A9" s="218" t="s">
        <v>19</v>
      </c>
      <c r="B9" s="219"/>
      <c r="C9" s="156"/>
      <c r="D9" s="157"/>
      <c r="E9" s="156"/>
      <c r="F9" s="21"/>
      <c r="G9" s="21"/>
      <c r="H9" s="23">
        <f>H7+H8</f>
        <v>187139.39999999621</v>
      </c>
      <c r="I9" s="24">
        <f>H9-H16</f>
        <v>65.099999997270061</v>
      </c>
      <c r="J9" s="25">
        <f>I9/H9</f>
        <v>3.4786902168795764E-4</v>
      </c>
    </row>
    <row r="10" spans="1:10" ht="15.75" x14ac:dyDescent="0.25">
      <c r="A10" s="27" t="s">
        <v>20</v>
      </c>
      <c r="B10" s="156" t="s">
        <v>13</v>
      </c>
      <c r="C10" s="156">
        <v>51217286</v>
      </c>
      <c r="D10" s="157" t="s">
        <v>21</v>
      </c>
      <c r="E10" s="156">
        <v>21000</v>
      </c>
      <c r="F10" s="21">
        <v>906.15589999999997</v>
      </c>
      <c r="G10" s="21">
        <v>909.35059999999999</v>
      </c>
      <c r="H10" s="18">
        <f t="shared" ref="H10:H15" si="0">(G10-F10)*E10</f>
        <v>67088.700000000244</v>
      </c>
      <c r="I10" s="19"/>
      <c r="J10" s="20"/>
    </row>
    <row r="11" spans="1:10" ht="15.75" x14ac:dyDescent="0.25">
      <c r="A11" s="27" t="s">
        <v>22</v>
      </c>
      <c r="B11" s="156" t="s">
        <v>13</v>
      </c>
      <c r="C11" s="156">
        <v>51217292</v>
      </c>
      <c r="D11" s="157" t="s">
        <v>21</v>
      </c>
      <c r="E11" s="156">
        <v>21000</v>
      </c>
      <c r="F11" s="28">
        <v>3.9384999999999999</v>
      </c>
      <c r="G11" s="28">
        <v>3.9447999999999999</v>
      </c>
      <c r="H11" s="18">
        <f>(G11-F11)*E11</f>
        <v>132.29999999999941</v>
      </c>
      <c r="I11" s="19"/>
      <c r="J11" s="20"/>
    </row>
    <row r="12" spans="1:10" ht="15.75" x14ac:dyDescent="0.25">
      <c r="A12" s="27" t="s">
        <v>23</v>
      </c>
      <c r="B12" s="156" t="s">
        <v>13</v>
      </c>
      <c r="C12" s="156">
        <v>51217271</v>
      </c>
      <c r="D12" s="157" t="s">
        <v>21</v>
      </c>
      <c r="E12" s="156">
        <v>21000</v>
      </c>
      <c r="F12" s="21">
        <v>678.49120000000005</v>
      </c>
      <c r="G12" s="21">
        <v>681.26819999999998</v>
      </c>
      <c r="H12" s="18">
        <f t="shared" si="0"/>
        <v>58316.99999999853</v>
      </c>
      <c r="I12" s="19"/>
      <c r="J12" s="20"/>
    </row>
    <row r="13" spans="1:10" ht="15.75" x14ac:dyDescent="0.25">
      <c r="A13" s="27" t="s">
        <v>24</v>
      </c>
      <c r="B13" s="156" t="s">
        <v>13</v>
      </c>
      <c r="C13" s="156">
        <v>51217276</v>
      </c>
      <c r="D13" s="157" t="s">
        <v>21</v>
      </c>
      <c r="E13" s="156">
        <v>21000</v>
      </c>
      <c r="F13" s="28">
        <v>0.59830000000000005</v>
      </c>
      <c r="G13" s="28">
        <v>0.5988</v>
      </c>
      <c r="H13" s="18">
        <f>(G13-F13)*E13</f>
        <v>10.499999999998844</v>
      </c>
      <c r="I13" s="19"/>
      <c r="J13" s="20"/>
    </row>
    <row r="14" spans="1:10" ht="15.75" x14ac:dyDescent="0.25">
      <c r="A14" s="27" t="s">
        <v>25</v>
      </c>
      <c r="B14" s="156" t="s">
        <v>13</v>
      </c>
      <c r="C14" s="156">
        <v>51100990</v>
      </c>
      <c r="D14" s="157" t="s">
        <v>21</v>
      </c>
      <c r="E14" s="156">
        <v>21000</v>
      </c>
      <c r="F14" s="29">
        <v>727.99379999999996</v>
      </c>
      <c r="G14" s="29">
        <v>730.91269999999997</v>
      </c>
      <c r="H14" s="18">
        <f t="shared" si="0"/>
        <v>61296.900000000162</v>
      </c>
      <c r="I14" s="19"/>
      <c r="J14" s="20"/>
    </row>
    <row r="15" spans="1:10" ht="15.75" x14ac:dyDescent="0.25">
      <c r="A15" s="27" t="s">
        <v>26</v>
      </c>
      <c r="B15" s="156" t="s">
        <v>13</v>
      </c>
      <c r="C15" s="156">
        <v>51097622</v>
      </c>
      <c r="D15" s="157" t="s">
        <v>21</v>
      </c>
      <c r="E15" s="156">
        <v>21000</v>
      </c>
      <c r="F15" s="21">
        <v>9.3292000000000002</v>
      </c>
      <c r="G15" s="21">
        <v>9.3400999999999996</v>
      </c>
      <c r="H15" s="18">
        <f t="shared" si="0"/>
        <v>228.89999999998878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56"/>
      <c r="D16" s="157"/>
      <c r="E16" s="156"/>
      <c r="F16" s="21"/>
      <c r="G16" s="21"/>
      <c r="H16" s="23">
        <f>H10+H11+H12+H13+H14+H15</f>
        <v>187074.29999999894</v>
      </c>
      <c r="I16" s="19"/>
      <c r="J16" s="20"/>
    </row>
    <row r="17" spans="1:10" ht="15.75" x14ac:dyDescent="0.25">
      <c r="A17" s="26" t="s">
        <v>29</v>
      </c>
      <c r="B17" s="156" t="s">
        <v>13</v>
      </c>
      <c r="C17" s="156">
        <v>51097617</v>
      </c>
      <c r="D17" s="157" t="s">
        <v>30</v>
      </c>
      <c r="E17" s="156">
        <v>18000</v>
      </c>
      <c r="F17" s="30">
        <v>895.61469999999997</v>
      </c>
      <c r="G17" s="30">
        <v>899.7047</v>
      </c>
      <c r="H17" s="18">
        <f>(G17-F17)*E17</f>
        <v>73620.000000000568</v>
      </c>
      <c r="I17" s="19"/>
      <c r="J17" s="20"/>
    </row>
    <row r="18" spans="1:10" ht="15.75" x14ac:dyDescent="0.25">
      <c r="A18" s="26" t="s">
        <v>31</v>
      </c>
      <c r="B18" s="156" t="s">
        <v>13</v>
      </c>
      <c r="C18" s="156">
        <v>51097655</v>
      </c>
      <c r="D18" s="157" t="s">
        <v>30</v>
      </c>
      <c r="E18" s="156">
        <v>18000</v>
      </c>
      <c r="F18" s="30">
        <v>11.5421</v>
      </c>
      <c r="G18" s="30">
        <v>11.5421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56"/>
      <c r="D19" s="157"/>
      <c r="E19" s="156"/>
      <c r="F19" s="30"/>
      <c r="G19" s="30"/>
      <c r="H19" s="23">
        <f>H17+H18</f>
        <v>73620.000000000568</v>
      </c>
      <c r="I19" s="24">
        <f>H19-H34</f>
        <v>2661.6600000010803</v>
      </c>
      <c r="J19" s="25">
        <f>I19/H19</f>
        <v>3.6154034229843243E-2</v>
      </c>
    </row>
    <row r="20" spans="1:10" ht="15.75" x14ac:dyDescent="0.25">
      <c r="A20" s="15" t="s">
        <v>33</v>
      </c>
      <c r="B20" s="156" t="s">
        <v>13</v>
      </c>
      <c r="C20" s="156">
        <v>51217282</v>
      </c>
      <c r="D20" s="157" t="s">
        <v>34</v>
      </c>
      <c r="E20" s="156">
        <v>4800</v>
      </c>
      <c r="F20" s="21">
        <v>385.3424</v>
      </c>
      <c r="G20" s="21">
        <v>385.39580000000001</v>
      </c>
      <c r="H20" s="18">
        <f t="shared" ref="H20:H33" si="1">(G20-F20)*E20</f>
        <v>256.32000000005064</v>
      </c>
      <c r="I20" s="19" t="s">
        <v>27</v>
      </c>
      <c r="J20" s="20"/>
    </row>
    <row r="21" spans="1:10" ht="15.75" x14ac:dyDescent="0.25">
      <c r="A21" s="15" t="s">
        <v>35</v>
      </c>
      <c r="B21" s="156" t="s">
        <v>13</v>
      </c>
      <c r="C21" s="156">
        <v>51217274</v>
      </c>
      <c r="D21" s="157" t="s">
        <v>34</v>
      </c>
      <c r="E21" s="156">
        <v>4800</v>
      </c>
      <c r="F21" s="21">
        <v>1395.2561000000001</v>
      </c>
      <c r="G21" s="21">
        <v>1401.1206</v>
      </c>
      <c r="H21" s="18">
        <f t="shared" si="1"/>
        <v>28149.599999999555</v>
      </c>
      <c r="I21" s="19"/>
      <c r="J21" s="20"/>
    </row>
    <row r="22" spans="1:10" ht="15.75" x14ac:dyDescent="0.25">
      <c r="A22" s="15" t="s">
        <v>36</v>
      </c>
      <c r="B22" s="156" t="s">
        <v>13</v>
      </c>
      <c r="C22" s="156">
        <v>51097664</v>
      </c>
      <c r="D22" s="157" t="s">
        <v>37</v>
      </c>
      <c r="E22" s="156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56" t="s">
        <v>13</v>
      </c>
      <c r="C23" s="156">
        <v>51097615</v>
      </c>
      <c r="D23" s="157" t="s">
        <v>37</v>
      </c>
      <c r="E23" s="156">
        <v>600</v>
      </c>
      <c r="F23" s="21">
        <v>46.702399999999997</v>
      </c>
      <c r="G23" s="21">
        <v>46.995600000000003</v>
      </c>
      <c r="H23" s="18">
        <f t="shared" si="1"/>
        <v>175.92000000000354</v>
      </c>
      <c r="I23" s="19"/>
      <c r="J23" s="20"/>
    </row>
    <row r="24" spans="1:10" ht="15.75" x14ac:dyDescent="0.25">
      <c r="A24" s="15" t="s">
        <v>39</v>
      </c>
      <c r="B24" s="156" t="s">
        <v>13</v>
      </c>
      <c r="C24" s="156">
        <v>51217264</v>
      </c>
      <c r="D24" s="157" t="s">
        <v>37</v>
      </c>
      <c r="E24" s="156">
        <v>600</v>
      </c>
      <c r="F24" s="21">
        <v>109.22110000000001</v>
      </c>
      <c r="G24" s="21">
        <v>109.92359999999999</v>
      </c>
      <c r="H24" s="18">
        <f t="shared" si="1"/>
        <v>421.49999999999181</v>
      </c>
      <c r="I24" s="19"/>
      <c r="J24" s="20"/>
    </row>
    <row r="25" spans="1:10" ht="15.75" x14ac:dyDescent="0.25">
      <c r="A25" s="15" t="s">
        <v>40</v>
      </c>
      <c r="B25" s="156" t="s">
        <v>13</v>
      </c>
      <c r="C25" s="156">
        <v>51217288</v>
      </c>
      <c r="D25" s="157" t="s">
        <v>37</v>
      </c>
      <c r="E25" s="156">
        <v>600</v>
      </c>
      <c r="F25" s="21">
        <v>20.731400000000001</v>
      </c>
      <c r="G25" s="21">
        <v>20.762699999999999</v>
      </c>
      <c r="H25" s="18">
        <f t="shared" si="1"/>
        <v>18.779999999998864</v>
      </c>
      <c r="I25" s="19" t="s">
        <v>27</v>
      </c>
      <c r="J25" s="20"/>
    </row>
    <row r="26" spans="1:10" ht="15.75" x14ac:dyDescent="0.25">
      <c r="A26" s="15" t="s">
        <v>41</v>
      </c>
      <c r="B26" s="156" t="s">
        <v>13</v>
      </c>
      <c r="C26" s="156">
        <v>51217279</v>
      </c>
      <c r="D26" s="157" t="s">
        <v>37</v>
      </c>
      <c r="E26" s="156">
        <v>600</v>
      </c>
      <c r="F26" s="21">
        <v>15.751300000000001</v>
      </c>
      <c r="G26" s="21">
        <v>15.805300000000001</v>
      </c>
      <c r="H26" s="18">
        <f t="shared" si="1"/>
        <v>32.400000000000162</v>
      </c>
      <c r="I26" s="19" t="s">
        <v>27</v>
      </c>
      <c r="J26" s="20"/>
    </row>
    <row r="27" spans="1:10" ht="15.75" x14ac:dyDescent="0.25">
      <c r="A27" s="15" t="s">
        <v>42</v>
      </c>
      <c r="B27" s="156" t="s">
        <v>13</v>
      </c>
      <c r="C27" s="156">
        <v>51217272</v>
      </c>
      <c r="D27" s="157" t="s">
        <v>37</v>
      </c>
      <c r="E27" s="156">
        <v>600</v>
      </c>
      <c r="F27" s="31">
        <v>15.4489</v>
      </c>
      <c r="G27" s="31">
        <v>15.501799999999999</v>
      </c>
      <c r="H27" s="18">
        <f t="shared" si="1"/>
        <v>31.739999999999569</v>
      </c>
      <c r="I27" s="19"/>
      <c r="J27" s="20"/>
    </row>
    <row r="28" spans="1:10" ht="15.75" x14ac:dyDescent="0.25">
      <c r="A28" s="15" t="s">
        <v>43</v>
      </c>
      <c r="B28" s="156" t="s">
        <v>13</v>
      </c>
      <c r="C28" s="156">
        <v>51616744</v>
      </c>
      <c r="D28" s="157">
        <f>300/5</f>
        <v>60</v>
      </c>
      <c r="E28" s="156">
        <v>3600</v>
      </c>
      <c r="F28" s="31">
        <v>109.78489999999999</v>
      </c>
      <c r="G28" s="31">
        <v>109.78489999999999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56" t="s">
        <v>13</v>
      </c>
      <c r="C29" s="156">
        <v>51555226</v>
      </c>
      <c r="D29" s="157">
        <f>300/5</f>
        <v>60</v>
      </c>
      <c r="E29" s="156">
        <v>3600</v>
      </c>
      <c r="F29" s="31">
        <v>552.33429999999998</v>
      </c>
      <c r="G29" s="31">
        <v>556.20370000000003</v>
      </c>
      <c r="H29" s="18">
        <f>(G29-F29)*E29</f>
        <v>13929.840000000149</v>
      </c>
      <c r="I29" s="19"/>
      <c r="J29" s="20"/>
    </row>
    <row r="30" spans="1:10" ht="15.75" x14ac:dyDescent="0.25">
      <c r="A30" s="15" t="s">
        <v>45</v>
      </c>
      <c r="B30" s="156" t="s">
        <v>13</v>
      </c>
      <c r="C30" s="156">
        <v>51097658</v>
      </c>
      <c r="D30" s="157" t="s">
        <v>34</v>
      </c>
      <c r="E30" s="156">
        <v>4800</v>
      </c>
      <c r="F30" s="31">
        <v>700.94</v>
      </c>
      <c r="G30" s="31">
        <v>704.48599999999999</v>
      </c>
      <c r="H30" s="18">
        <f t="shared" si="1"/>
        <v>17020.79999999969</v>
      </c>
      <c r="I30" s="19"/>
      <c r="J30" s="20"/>
    </row>
    <row r="31" spans="1:10" ht="15.75" x14ac:dyDescent="0.25">
      <c r="A31" s="15" t="s">
        <v>46</v>
      </c>
      <c r="B31" s="156" t="s">
        <v>13</v>
      </c>
      <c r="C31" s="156">
        <v>51097635</v>
      </c>
      <c r="D31" s="157" t="s">
        <v>34</v>
      </c>
      <c r="E31" s="156">
        <v>4800</v>
      </c>
      <c r="F31" s="31">
        <v>48.477899999999998</v>
      </c>
      <c r="G31" s="31">
        <v>48.479799999999997</v>
      </c>
      <c r="H31" s="18">
        <f t="shared" si="1"/>
        <v>9.1199999999957981</v>
      </c>
      <c r="I31" s="19"/>
      <c r="J31" s="20"/>
    </row>
    <row r="32" spans="1:10" ht="15.75" x14ac:dyDescent="0.25">
      <c r="A32" s="15" t="s">
        <v>47</v>
      </c>
      <c r="B32" s="156" t="s">
        <v>13</v>
      </c>
      <c r="C32" s="32">
        <v>51097633</v>
      </c>
      <c r="D32" s="157" t="s">
        <v>34</v>
      </c>
      <c r="E32" s="156">
        <v>4800</v>
      </c>
      <c r="F32" s="31">
        <v>203.75149999999999</v>
      </c>
      <c r="G32" s="31">
        <v>205.9873</v>
      </c>
      <c r="H32" s="33">
        <f t="shared" si="1"/>
        <v>10731.840000000057</v>
      </c>
      <c r="I32" s="34"/>
      <c r="J32" s="35"/>
    </row>
    <row r="33" spans="1:10" ht="15.75" x14ac:dyDescent="0.25">
      <c r="A33" s="15" t="s">
        <v>48</v>
      </c>
      <c r="B33" s="156" t="s">
        <v>13</v>
      </c>
      <c r="C33" s="32">
        <v>51097662</v>
      </c>
      <c r="D33" s="157" t="s">
        <v>34</v>
      </c>
      <c r="E33" s="156">
        <v>4800</v>
      </c>
      <c r="F33" s="31">
        <v>4.2466999999999997</v>
      </c>
      <c r="G33" s="31">
        <v>4.2843</v>
      </c>
      <c r="H33" s="33">
        <f t="shared" si="1"/>
        <v>180.48000000000144</v>
      </c>
      <c r="I33" s="34"/>
      <c r="J33" s="35"/>
    </row>
    <row r="34" spans="1:10" ht="15.75" x14ac:dyDescent="0.25">
      <c r="A34" s="218" t="s">
        <v>49</v>
      </c>
      <c r="B34" s="219"/>
      <c r="C34" s="156"/>
      <c r="D34" s="157"/>
      <c r="E34" s="156"/>
      <c r="F34" s="36"/>
      <c r="G34" s="36"/>
      <c r="H34" s="23">
        <f>H20+H21+H22+H23+H24+H25+H26+H27+H28+H29+H30+H31+H32+H33</f>
        <v>70958.339999999487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56" t="s">
        <v>52</v>
      </c>
      <c r="C36" s="156">
        <v>51555209</v>
      </c>
      <c r="D36" s="157" t="s">
        <v>53</v>
      </c>
      <c r="E36" s="156">
        <v>7000</v>
      </c>
      <c r="F36" s="17">
        <v>6.1414999999999997</v>
      </c>
      <c r="G36" s="17">
        <v>6.1553000000000004</v>
      </c>
      <c r="H36" s="41">
        <f>(G36-F36)*E36</f>
        <v>96.600000000004911</v>
      </c>
      <c r="I36" s="42"/>
      <c r="J36" s="14"/>
    </row>
    <row r="37" spans="1:10" ht="15.75" x14ac:dyDescent="0.25">
      <c r="A37" s="15" t="s">
        <v>54</v>
      </c>
      <c r="B37" s="156" t="s">
        <v>52</v>
      </c>
      <c r="C37" s="156">
        <v>51555209</v>
      </c>
      <c r="D37" s="157" t="s">
        <v>53</v>
      </c>
      <c r="E37" s="156">
        <v>7000</v>
      </c>
      <c r="F37" s="21">
        <v>10.773</v>
      </c>
      <c r="G37" s="21">
        <v>10.8216</v>
      </c>
      <c r="H37" s="18">
        <f>(G37-F37)*E37</f>
        <v>340.20000000000294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56" t="s">
        <v>52</v>
      </c>
      <c r="C39" s="156">
        <v>51097674</v>
      </c>
      <c r="D39" s="156" t="s">
        <v>14</v>
      </c>
      <c r="E39" s="156">
        <v>7200</v>
      </c>
      <c r="F39" s="21">
        <v>620.73019999999997</v>
      </c>
      <c r="G39" s="21">
        <v>623.08270000000005</v>
      </c>
      <c r="H39" s="18">
        <f>(G39-F39)*E39</f>
        <v>16938.000000000557</v>
      </c>
      <c r="I39" s="47"/>
      <c r="J39" s="20"/>
    </row>
    <row r="40" spans="1:10" ht="15.75" x14ac:dyDescent="0.25">
      <c r="A40" s="27" t="s">
        <v>57</v>
      </c>
      <c r="B40" s="156" t="s">
        <v>52</v>
      </c>
      <c r="C40" s="156">
        <v>51259257</v>
      </c>
      <c r="D40" s="156" t="s">
        <v>14</v>
      </c>
      <c r="E40" s="156">
        <v>7200</v>
      </c>
      <c r="F40" s="21">
        <v>1.0555000000000001</v>
      </c>
      <c r="G40" s="21">
        <v>1.0555000000000001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56"/>
      <c r="C41" s="156"/>
      <c r="D41" s="156"/>
      <c r="E41" s="156"/>
      <c r="F41" s="21"/>
      <c r="G41" s="21"/>
      <c r="H41" s="48">
        <f>H39+H40</f>
        <v>16938.000000000557</v>
      </c>
      <c r="I41" s="24">
        <f>H41-H49</f>
        <v>-127.51999999985492</v>
      </c>
      <c r="J41" s="25">
        <f>I41/H41</f>
        <v>-7.5286338410586098E-3</v>
      </c>
    </row>
    <row r="42" spans="1:10" ht="15.75" x14ac:dyDescent="0.25">
      <c r="A42" s="15" t="s">
        <v>59</v>
      </c>
      <c r="B42" s="156"/>
      <c r="C42" s="156"/>
      <c r="D42" s="157"/>
      <c r="E42" s="156"/>
      <c r="H42" s="18"/>
      <c r="I42" s="43"/>
      <c r="J42" s="20"/>
    </row>
    <row r="43" spans="1:10" ht="15.75" x14ac:dyDescent="0.25">
      <c r="A43" s="27" t="s">
        <v>60</v>
      </c>
      <c r="B43" s="156" t="s">
        <v>52</v>
      </c>
      <c r="C43" s="32">
        <v>51097648</v>
      </c>
      <c r="D43" s="156" t="s">
        <v>53</v>
      </c>
      <c r="E43" s="156">
        <v>1200</v>
      </c>
      <c r="F43" s="21">
        <v>508.18220000000002</v>
      </c>
      <c r="G43" s="21">
        <v>510.1062</v>
      </c>
      <c r="H43" s="33">
        <f>(G43-F43)*E43</f>
        <v>2308.7999999999738</v>
      </c>
      <c r="I43" s="43"/>
      <c r="J43" s="20"/>
    </row>
    <row r="44" spans="1:10" ht="15.75" x14ac:dyDescent="0.25">
      <c r="A44" s="27" t="s">
        <v>61</v>
      </c>
      <c r="B44" s="156" t="s">
        <v>52</v>
      </c>
      <c r="C44" s="32">
        <v>50555043</v>
      </c>
      <c r="D44" s="156" t="s">
        <v>53</v>
      </c>
      <c r="E44" s="156">
        <v>1200</v>
      </c>
      <c r="F44" s="21">
        <v>2126.1954999999998</v>
      </c>
      <c r="G44" s="21">
        <v>2134.1271000000002</v>
      </c>
      <c r="H44" s="33">
        <f>(G44-F44)*E44</f>
        <v>9517.920000000413</v>
      </c>
      <c r="I44" s="43"/>
      <c r="J44" s="20"/>
    </row>
    <row r="45" spans="1:10" ht="15.75" x14ac:dyDescent="0.25">
      <c r="A45" s="27" t="s">
        <v>62</v>
      </c>
      <c r="B45" s="156" t="s">
        <v>52</v>
      </c>
      <c r="C45" s="32">
        <v>51259336</v>
      </c>
      <c r="D45" s="156" t="s">
        <v>63</v>
      </c>
      <c r="E45" s="156">
        <v>2400</v>
      </c>
      <c r="F45" s="21">
        <v>4.2835000000000001</v>
      </c>
      <c r="G45" s="21">
        <v>4.2972000000000001</v>
      </c>
      <c r="H45" s="33">
        <f>(G45-F45)*E45</f>
        <v>32.880000000000109</v>
      </c>
      <c r="I45" s="43"/>
      <c r="J45" s="20"/>
    </row>
    <row r="46" spans="1:10" ht="15.75" x14ac:dyDescent="0.25">
      <c r="A46" s="27" t="s">
        <v>64</v>
      </c>
      <c r="B46" s="156" t="s">
        <v>52</v>
      </c>
      <c r="C46" s="32">
        <v>51259266</v>
      </c>
      <c r="D46" s="156" t="s">
        <v>53</v>
      </c>
      <c r="E46" s="156">
        <v>1200</v>
      </c>
      <c r="F46" s="21">
        <v>1030.7299</v>
      </c>
      <c r="G46" s="21">
        <v>1034.6782000000001</v>
      </c>
      <c r="H46" s="33">
        <f>(G46-F46)*E46</f>
        <v>4737.960000000021</v>
      </c>
      <c r="I46" s="43"/>
      <c r="J46" s="20"/>
    </row>
    <row r="47" spans="1:10" ht="15.75" x14ac:dyDescent="0.25">
      <c r="A47" s="27" t="s">
        <v>65</v>
      </c>
      <c r="B47" s="156" t="s">
        <v>52</v>
      </c>
      <c r="C47" s="32">
        <v>51431336</v>
      </c>
      <c r="D47" s="156" t="s">
        <v>53</v>
      </c>
      <c r="E47" s="156">
        <v>1200</v>
      </c>
      <c r="F47" s="21">
        <v>61.7057</v>
      </c>
      <c r="G47" s="21">
        <v>62.054000000000002</v>
      </c>
      <c r="H47" s="33">
        <f>(G47-F47)*E47</f>
        <v>417.9600000000022</v>
      </c>
      <c r="I47" s="43"/>
      <c r="J47" s="20"/>
    </row>
    <row r="48" spans="1:10" ht="15.75" x14ac:dyDescent="0.25">
      <c r="A48" s="15" t="s">
        <v>66</v>
      </c>
      <c r="B48" s="156" t="s">
        <v>67</v>
      </c>
      <c r="C48" s="156">
        <v>49174</v>
      </c>
      <c r="D48" s="157" t="s">
        <v>53</v>
      </c>
      <c r="E48" s="156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17065.520000000412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56" t="s">
        <v>52</v>
      </c>
      <c r="C51" s="156">
        <v>51097603</v>
      </c>
      <c r="D51" s="157" t="s">
        <v>53</v>
      </c>
      <c r="E51" s="156">
        <v>7000</v>
      </c>
      <c r="F51" s="17">
        <v>2023.1215</v>
      </c>
      <c r="G51" s="17">
        <v>2030.0479</v>
      </c>
      <c r="H51" s="18">
        <f>(G51-F51)*E51</f>
        <v>48484.800000000403</v>
      </c>
      <c r="I51" s="43"/>
      <c r="J51" s="20"/>
    </row>
    <row r="52" spans="1:10" ht="15.75" x14ac:dyDescent="0.25">
      <c r="A52" s="27" t="s">
        <v>72</v>
      </c>
      <c r="B52" s="156" t="s">
        <v>52</v>
      </c>
      <c r="C52" s="156">
        <v>51097590</v>
      </c>
      <c r="D52" s="157" t="s">
        <v>53</v>
      </c>
      <c r="E52" s="156">
        <v>7000</v>
      </c>
      <c r="F52" s="21">
        <v>12.920999999999999</v>
      </c>
      <c r="G52" s="21">
        <v>12.945399999999999</v>
      </c>
      <c r="H52" s="18">
        <f>(G52-F52)*E52</f>
        <v>170.79999999999984</v>
      </c>
      <c r="I52" s="43"/>
      <c r="J52" s="20"/>
    </row>
    <row r="53" spans="1:10" ht="15.75" x14ac:dyDescent="0.25">
      <c r="A53" s="15" t="s">
        <v>66</v>
      </c>
      <c r="B53" s="156" t="s">
        <v>67</v>
      </c>
      <c r="C53" s="156">
        <v>49174</v>
      </c>
      <c r="D53" s="157" t="s">
        <v>53</v>
      </c>
      <c r="E53" s="156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56"/>
      <c r="D54" s="157"/>
      <c r="E54" s="156"/>
      <c r="F54" s="21"/>
      <c r="G54" s="21"/>
      <c r="H54" s="48">
        <f>H51+H52+H53</f>
        <v>48755.600000000406</v>
      </c>
      <c r="I54" s="47"/>
      <c r="J54" s="59"/>
    </row>
    <row r="55" spans="1:10" ht="15.75" x14ac:dyDescent="0.25">
      <c r="A55" s="27" t="s">
        <v>74</v>
      </c>
      <c r="B55" s="156" t="s">
        <v>52</v>
      </c>
      <c r="C55" s="156">
        <v>51100980</v>
      </c>
      <c r="D55" s="156" t="s">
        <v>75</v>
      </c>
      <c r="E55" s="156">
        <v>12000</v>
      </c>
      <c r="F55" s="21">
        <v>1190.1586</v>
      </c>
      <c r="G55" s="21">
        <v>1194.2129</v>
      </c>
      <c r="H55" s="18">
        <f>(G55-F55)*E55</f>
        <v>48651.600000000144</v>
      </c>
      <c r="I55" s="47"/>
      <c r="J55" s="58"/>
    </row>
    <row r="56" spans="1:10" ht="15.75" x14ac:dyDescent="0.25">
      <c r="A56" s="27" t="s">
        <v>76</v>
      </c>
      <c r="B56" s="156" t="s">
        <v>52</v>
      </c>
      <c r="C56" s="156">
        <v>51097623</v>
      </c>
      <c r="D56" s="156" t="s">
        <v>75</v>
      </c>
      <c r="E56" s="156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56"/>
      <c r="C57" s="156"/>
      <c r="D57" s="156"/>
      <c r="E57" s="156"/>
      <c r="F57" s="21"/>
      <c r="G57" s="21"/>
      <c r="H57" s="48">
        <f>H55+H56</f>
        <v>48651.600000000144</v>
      </c>
      <c r="I57" s="61">
        <f>H54-H64-H53</f>
        <v>-99.919999999910942</v>
      </c>
      <c r="J57" s="25">
        <f>I57/H57</f>
        <v>-2.0537865147273811E-3</v>
      </c>
    </row>
    <row r="58" spans="1:10" ht="15.75" x14ac:dyDescent="0.25">
      <c r="A58" s="27" t="s">
        <v>78</v>
      </c>
      <c r="B58" s="156" t="s">
        <v>52</v>
      </c>
      <c r="C58" s="156">
        <v>51097675</v>
      </c>
      <c r="D58" s="156" t="s">
        <v>34</v>
      </c>
      <c r="E58" s="156">
        <v>4800</v>
      </c>
      <c r="F58" s="21">
        <v>547.34109999999998</v>
      </c>
      <c r="G58" s="21">
        <v>550.32240000000002</v>
      </c>
      <c r="H58" s="18">
        <f t="shared" ref="H58:H63" si="2">(G58-F58)*E58</f>
        <v>14310.240000000158</v>
      </c>
      <c r="I58" s="62"/>
      <c r="J58" s="59"/>
    </row>
    <row r="59" spans="1:10" ht="15.75" x14ac:dyDescent="0.25">
      <c r="A59" s="27" t="s">
        <v>79</v>
      </c>
      <c r="B59" s="156" t="s">
        <v>52</v>
      </c>
      <c r="C59" s="156">
        <v>51100997</v>
      </c>
      <c r="D59" s="156" t="s">
        <v>21</v>
      </c>
      <c r="E59" s="156">
        <v>3600</v>
      </c>
      <c r="F59" s="21">
        <v>1412.175</v>
      </c>
      <c r="G59" s="21">
        <v>1414.9547</v>
      </c>
      <c r="H59" s="18">
        <f t="shared" si="2"/>
        <v>10006.920000000173</v>
      </c>
      <c r="I59" s="62"/>
      <c r="J59" s="59"/>
    </row>
    <row r="60" spans="1:10" ht="15.75" x14ac:dyDescent="0.25">
      <c r="A60" s="27" t="s">
        <v>80</v>
      </c>
      <c r="B60" s="156" t="s">
        <v>52</v>
      </c>
      <c r="C60" s="156">
        <v>51555218</v>
      </c>
      <c r="D60" s="156">
        <f>400/5</f>
        <v>80</v>
      </c>
      <c r="E60" s="156">
        <v>4800</v>
      </c>
      <c r="F60" s="21">
        <v>70.496399999999994</v>
      </c>
      <c r="G60" s="21">
        <v>70.959400000000002</v>
      </c>
      <c r="H60" s="18">
        <f t="shared" si="2"/>
        <v>2222.4000000000387</v>
      </c>
      <c r="I60" s="62"/>
      <c r="J60" s="59"/>
    </row>
    <row r="61" spans="1:10" ht="15.75" x14ac:dyDescent="0.25">
      <c r="A61" s="27" t="s">
        <v>81</v>
      </c>
      <c r="B61" s="156" t="s">
        <v>52</v>
      </c>
      <c r="C61" s="156">
        <v>51555151</v>
      </c>
      <c r="D61" s="156">
        <f>400/5</f>
        <v>80</v>
      </c>
      <c r="E61" s="156">
        <v>4800</v>
      </c>
      <c r="F61" s="63">
        <v>0.30690000000000001</v>
      </c>
      <c r="G61" s="63">
        <v>0.30690000000000001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56" t="s">
        <v>52</v>
      </c>
      <c r="C62" s="156">
        <v>51097599</v>
      </c>
      <c r="D62" s="156" t="s">
        <v>21</v>
      </c>
      <c r="E62" s="156">
        <v>3600</v>
      </c>
      <c r="F62" s="21">
        <v>992.57749999999999</v>
      </c>
      <c r="G62" s="21">
        <v>995.03340000000003</v>
      </c>
      <c r="H62" s="18">
        <f t="shared" si="2"/>
        <v>8841.2400000001526</v>
      </c>
      <c r="I62" s="62"/>
      <c r="J62" s="59"/>
    </row>
    <row r="63" spans="1:10" ht="15.75" x14ac:dyDescent="0.25">
      <c r="A63" s="27" t="s">
        <v>83</v>
      </c>
      <c r="B63" s="156" t="s">
        <v>52</v>
      </c>
      <c r="C63" s="156">
        <v>51097620</v>
      </c>
      <c r="D63" s="156" t="s">
        <v>34</v>
      </c>
      <c r="E63" s="156">
        <v>4800</v>
      </c>
      <c r="F63" s="21">
        <v>543.75840000000005</v>
      </c>
      <c r="G63" s="21">
        <v>546.54480000000001</v>
      </c>
      <c r="H63" s="18">
        <f t="shared" si="2"/>
        <v>13374.719999999797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48755.520000000317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56" t="s">
        <v>52</v>
      </c>
      <c r="C66" s="9">
        <v>51259238</v>
      </c>
      <c r="D66" s="74" t="s">
        <v>53</v>
      </c>
      <c r="E66" s="74">
        <v>7000</v>
      </c>
      <c r="F66" s="75">
        <v>590.43190000000004</v>
      </c>
      <c r="G66" s="75">
        <v>593.02779999999996</v>
      </c>
      <c r="H66" s="76">
        <f>(G66-F66)*E66</f>
        <v>18171.299999999406</v>
      </c>
      <c r="I66" s="77"/>
      <c r="J66" s="78"/>
    </row>
    <row r="67" spans="1:10" ht="15.75" x14ac:dyDescent="0.25">
      <c r="A67" s="27" t="s">
        <v>86</v>
      </c>
      <c r="B67" s="156" t="s">
        <v>52</v>
      </c>
      <c r="C67" s="156">
        <v>51259324</v>
      </c>
      <c r="D67" s="157" t="s">
        <v>53</v>
      </c>
      <c r="E67" s="157">
        <v>7000</v>
      </c>
      <c r="F67" s="21">
        <v>456.31400000000002</v>
      </c>
      <c r="G67" s="21">
        <v>458.2115</v>
      </c>
      <c r="H67" s="18">
        <f>(G67-F67)*E67</f>
        <v>13282.499999999856</v>
      </c>
      <c r="I67" s="51"/>
      <c r="J67" s="58"/>
    </row>
    <row r="68" spans="1:10" s="129" customFormat="1" ht="15.75" x14ac:dyDescent="0.25">
      <c r="A68" s="27" t="s">
        <v>87</v>
      </c>
      <c r="B68" s="79" t="s">
        <v>88</v>
      </c>
      <c r="C68" s="156">
        <v>51491618</v>
      </c>
      <c r="D68" s="157" t="s">
        <v>63</v>
      </c>
      <c r="E68" s="156">
        <v>40</v>
      </c>
      <c r="F68" s="28">
        <v>1366.7355</v>
      </c>
      <c r="G68" s="28">
        <v>1377.402</v>
      </c>
      <c r="H68" s="18">
        <f>(G68-F68)*E68</f>
        <v>426.66000000000167</v>
      </c>
      <c r="I68" s="51"/>
      <c r="J68" s="58"/>
    </row>
    <row r="69" spans="1:10" s="129" customFormat="1" ht="15.75" x14ac:dyDescent="0.25">
      <c r="A69" s="27" t="s">
        <v>89</v>
      </c>
      <c r="B69" s="79" t="s">
        <v>88</v>
      </c>
      <c r="C69" s="156">
        <v>51491624</v>
      </c>
      <c r="D69" s="157" t="s">
        <v>63</v>
      </c>
      <c r="E69" s="156">
        <v>40</v>
      </c>
      <c r="F69" s="28">
        <v>181.85149999999999</v>
      </c>
      <c r="G69" s="28">
        <v>182.64750000000001</v>
      </c>
      <c r="H69" s="18">
        <f>(G69-F69)*E69</f>
        <v>31.840000000000828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31453.799999999261</v>
      </c>
      <c r="I70" s="85">
        <f>H70-H73-H68-H69</f>
        <v>-612.70000000091636</v>
      </c>
      <c r="J70" s="25">
        <f>I70/H70</f>
        <v>-1.9479363383786086E-2</v>
      </c>
    </row>
    <row r="71" spans="1:10" ht="15.75" x14ac:dyDescent="0.25">
      <c r="A71" s="27" t="s">
        <v>91</v>
      </c>
      <c r="B71" s="156" t="s">
        <v>52</v>
      </c>
      <c r="C71" s="86">
        <v>51097588</v>
      </c>
      <c r="D71" s="157" t="s">
        <v>75</v>
      </c>
      <c r="E71" s="156">
        <v>12000</v>
      </c>
      <c r="F71" s="21">
        <v>352.94909999999999</v>
      </c>
      <c r="G71" s="21">
        <v>354.41660000000002</v>
      </c>
      <c r="H71" s="18">
        <f>(G71-F71)*E71</f>
        <v>17610.000000000357</v>
      </c>
      <c r="I71" s="51"/>
      <c r="J71" s="58"/>
    </row>
    <row r="72" spans="1:10" ht="15.75" x14ac:dyDescent="0.25">
      <c r="A72" s="27" t="s">
        <v>92</v>
      </c>
      <c r="B72" s="156" t="s">
        <v>52</v>
      </c>
      <c r="C72" s="86">
        <v>51431335</v>
      </c>
      <c r="D72" s="157" t="s">
        <v>75</v>
      </c>
      <c r="E72" s="156">
        <v>12000</v>
      </c>
      <c r="F72" s="21">
        <v>278.2638</v>
      </c>
      <c r="G72" s="21">
        <v>279.43029999999999</v>
      </c>
      <c r="H72" s="18">
        <f>(G72-F72)*E72</f>
        <v>13997.99999999982</v>
      </c>
      <c r="I72" s="51"/>
      <c r="J72" s="58"/>
    </row>
    <row r="73" spans="1:10" ht="15.75" x14ac:dyDescent="0.25">
      <c r="A73" s="87" t="s">
        <v>93</v>
      </c>
      <c r="B73" s="156" t="s">
        <v>27</v>
      </c>
      <c r="C73" s="156"/>
      <c r="D73" s="157"/>
      <c r="E73" s="156"/>
      <c r="F73" s="21"/>
      <c r="G73" s="21"/>
      <c r="H73" s="48">
        <f>H71+ H72</f>
        <v>31608.000000000175</v>
      </c>
      <c r="I73" s="85">
        <f>H73-H81</f>
        <v>-51.71999999970285</v>
      </c>
      <c r="J73" s="25">
        <f>I73/H73</f>
        <v>-1.6362946089503469E-3</v>
      </c>
    </row>
    <row r="74" spans="1:10" ht="15.75" x14ac:dyDescent="0.25">
      <c r="A74" s="27" t="s">
        <v>94</v>
      </c>
      <c r="B74" s="156" t="s">
        <v>52</v>
      </c>
      <c r="C74" s="86">
        <v>51097676</v>
      </c>
      <c r="D74" s="88" t="s">
        <v>63</v>
      </c>
      <c r="E74" s="156">
        <v>2400</v>
      </c>
      <c r="F74" s="21">
        <v>739.65459999999996</v>
      </c>
      <c r="G74" s="21">
        <v>742.8854</v>
      </c>
      <c r="H74" s="18">
        <f>(G74-F74)*E74</f>
        <v>7753.9200000001074</v>
      </c>
      <c r="I74" s="51"/>
      <c r="J74" s="58"/>
    </row>
    <row r="75" spans="1:10" ht="15.75" x14ac:dyDescent="0.25">
      <c r="A75" s="27" t="s">
        <v>95</v>
      </c>
      <c r="B75" s="156" t="s">
        <v>52</v>
      </c>
      <c r="C75" s="86">
        <v>51431355</v>
      </c>
      <c r="D75" s="157" t="s">
        <v>21</v>
      </c>
      <c r="E75" s="157">
        <v>3600</v>
      </c>
      <c r="F75" s="21">
        <v>381.88510000000002</v>
      </c>
      <c r="G75" s="21">
        <v>383.17939999999999</v>
      </c>
      <c r="H75" s="18">
        <f>(G75-F75)*E75</f>
        <v>4659.4799999998713</v>
      </c>
      <c r="I75" s="51"/>
      <c r="J75" s="52"/>
    </row>
    <row r="76" spans="1:10" ht="15.75" x14ac:dyDescent="0.25">
      <c r="A76" s="27" t="s">
        <v>96</v>
      </c>
      <c r="B76" s="156" t="s">
        <v>52</v>
      </c>
      <c r="C76" s="86">
        <v>51259331</v>
      </c>
      <c r="D76" s="88" t="s">
        <v>37</v>
      </c>
      <c r="E76" s="156">
        <v>600</v>
      </c>
      <c r="F76" s="21">
        <v>175.35589999999999</v>
      </c>
      <c r="G76" s="21">
        <v>176.2055</v>
      </c>
      <c r="H76" s="18">
        <f>(G76-F76)*E76</f>
        <v>509.76000000000568</v>
      </c>
      <c r="I76" s="51"/>
      <c r="J76" s="52"/>
    </row>
    <row r="77" spans="1:10" ht="15.75" x14ac:dyDescent="0.25">
      <c r="A77" s="27" t="s">
        <v>97</v>
      </c>
      <c r="B77" s="156" t="s">
        <v>52</v>
      </c>
      <c r="C77" s="86">
        <v>51259326</v>
      </c>
      <c r="D77" s="88" t="s">
        <v>14</v>
      </c>
      <c r="E77" s="156">
        <v>7200</v>
      </c>
      <c r="F77" s="21">
        <v>348.78280000000001</v>
      </c>
      <c r="G77" s="21">
        <v>350.1585</v>
      </c>
      <c r="H77" s="18">
        <f>(G77-F77)*E77</f>
        <v>9905.0399999999627</v>
      </c>
      <c r="I77" s="51"/>
      <c r="J77" s="52"/>
    </row>
    <row r="78" spans="1:10" ht="15.75" x14ac:dyDescent="0.25">
      <c r="A78" s="27" t="s">
        <v>98</v>
      </c>
      <c r="B78" s="156" t="s">
        <v>52</v>
      </c>
      <c r="C78" s="86">
        <v>51431351</v>
      </c>
      <c r="D78" s="88" t="s">
        <v>14</v>
      </c>
      <c r="E78" s="156">
        <v>7200</v>
      </c>
      <c r="F78" s="21">
        <v>253.1225</v>
      </c>
      <c r="G78" s="21">
        <v>254.34909999999999</v>
      </c>
      <c r="H78" s="18">
        <f>(G78-F78)*E78</f>
        <v>8831.5199999999313</v>
      </c>
      <c r="I78" s="51"/>
      <c r="J78" s="52"/>
    </row>
    <row r="79" spans="1:10" ht="15.75" x14ac:dyDescent="0.25">
      <c r="A79" s="89" t="s">
        <v>99</v>
      </c>
      <c r="B79" s="156" t="s">
        <v>52</v>
      </c>
      <c r="C79" s="90">
        <v>51097666</v>
      </c>
      <c r="D79" s="88" t="s">
        <v>63</v>
      </c>
      <c r="E79" s="156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56" t="s">
        <v>52</v>
      </c>
      <c r="C80" s="90">
        <v>51259323</v>
      </c>
      <c r="D80" s="88" t="s">
        <v>63</v>
      </c>
      <c r="E80" s="156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31659.719999999877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56" t="s">
        <v>52</v>
      </c>
      <c r="C83" s="106">
        <v>51431297</v>
      </c>
      <c r="D83" s="157" t="s">
        <v>53</v>
      </c>
      <c r="E83" s="100">
        <v>7000</v>
      </c>
      <c r="F83" s="17">
        <v>309.12569999999999</v>
      </c>
      <c r="G83" s="17">
        <v>311.65839999999997</v>
      </c>
      <c r="H83" s="18">
        <f>(G83-F83)*E83</f>
        <v>17728.899999999841</v>
      </c>
      <c r="I83" s="107"/>
      <c r="J83" s="108"/>
    </row>
    <row r="84" spans="1:10" ht="15.75" x14ac:dyDescent="0.25">
      <c r="A84" s="105" t="s">
        <v>86</v>
      </c>
      <c r="B84" s="156" t="s">
        <v>52</v>
      </c>
      <c r="C84" s="106">
        <v>51431332</v>
      </c>
      <c r="D84" s="157" t="s">
        <v>53</v>
      </c>
      <c r="E84" s="100">
        <v>7000</v>
      </c>
      <c r="F84" s="17">
        <v>359.10789999999997</v>
      </c>
      <c r="G84" s="17">
        <v>359.23630000000003</v>
      </c>
      <c r="H84" s="18">
        <f>(G84-F84)*E84</f>
        <v>898.80000000039217</v>
      </c>
      <c r="I84" s="156"/>
      <c r="J84" s="58"/>
    </row>
    <row r="85" spans="1:10" s="129" customFormat="1" ht="15.75" x14ac:dyDescent="0.25">
      <c r="A85" s="27" t="s">
        <v>87</v>
      </c>
      <c r="B85" s="156" t="s">
        <v>103</v>
      </c>
      <c r="C85" s="109">
        <v>150773</v>
      </c>
      <c r="D85" s="157" t="s">
        <v>53</v>
      </c>
      <c r="E85" s="109">
        <v>20</v>
      </c>
      <c r="F85" s="17">
        <v>15727.3</v>
      </c>
      <c r="G85" s="17">
        <v>15733.8</v>
      </c>
      <c r="H85" s="18">
        <f>(G85-F85)*E85</f>
        <v>130</v>
      </c>
      <c r="I85" s="51"/>
      <c r="J85" s="58"/>
    </row>
    <row r="86" spans="1:10" s="129" customFormat="1" ht="15.75" x14ac:dyDescent="0.25">
      <c r="A86" s="27" t="s">
        <v>89</v>
      </c>
      <c r="B86" s="156" t="s">
        <v>103</v>
      </c>
      <c r="C86" s="109">
        <v>150791</v>
      </c>
      <c r="D86" s="157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58"/>
      <c r="C87" s="32"/>
      <c r="D87" s="82"/>
      <c r="E87" s="82"/>
      <c r="F87" s="21"/>
      <c r="G87" s="21"/>
      <c r="H87" s="48">
        <f>H83+H84</f>
        <v>18627.700000000234</v>
      </c>
      <c r="I87" s="85">
        <f>H87-H90-H85-H86</f>
        <v>385.86000000020431</v>
      </c>
      <c r="J87" s="25">
        <f>I87/H87</f>
        <v>2.0714312556042853E-2</v>
      </c>
    </row>
    <row r="88" spans="1:10" ht="15.75" x14ac:dyDescent="0.25">
      <c r="A88" s="27" t="s">
        <v>104</v>
      </c>
      <c r="B88" s="156" t="s">
        <v>52</v>
      </c>
      <c r="C88" s="106">
        <v>51431342</v>
      </c>
      <c r="D88" s="88" t="s">
        <v>34</v>
      </c>
      <c r="E88" s="156">
        <v>4800</v>
      </c>
      <c r="F88" s="21">
        <v>439.53410000000002</v>
      </c>
      <c r="G88" s="21">
        <v>443.18340000000001</v>
      </c>
      <c r="H88" s="18">
        <f>(G88-F88)*E88</f>
        <v>17516.639999999916</v>
      </c>
      <c r="I88" s="51"/>
      <c r="J88" s="52"/>
    </row>
    <row r="89" spans="1:10" ht="15.75" x14ac:dyDescent="0.25">
      <c r="A89" s="27" t="s">
        <v>105</v>
      </c>
      <c r="B89" s="156" t="s">
        <v>52</v>
      </c>
      <c r="C89" s="106">
        <v>51431343</v>
      </c>
      <c r="D89" s="88" t="s">
        <v>34</v>
      </c>
      <c r="E89" s="156">
        <v>4800</v>
      </c>
      <c r="F89" s="21">
        <v>506.76159999999999</v>
      </c>
      <c r="G89" s="21">
        <v>506.88560000000001</v>
      </c>
      <c r="H89" s="18">
        <f>(G89-F89)*E89</f>
        <v>595.2000000001135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18111.840000000029</v>
      </c>
      <c r="I90" s="85">
        <f>H90-H98</f>
        <v>-83.980000000025029</v>
      </c>
      <c r="J90" s="25">
        <f>I90/H90</f>
        <v>-4.6367459076507352E-3</v>
      </c>
    </row>
    <row r="91" spans="1:10" ht="15.75" x14ac:dyDescent="0.25">
      <c r="A91" s="27" t="s">
        <v>107</v>
      </c>
      <c r="B91" s="156" t="s">
        <v>52</v>
      </c>
      <c r="C91" s="106">
        <v>51431347</v>
      </c>
      <c r="D91" s="157" t="s">
        <v>53</v>
      </c>
      <c r="E91" s="156">
        <v>1200</v>
      </c>
      <c r="F91" s="21">
        <v>1202.1474000000001</v>
      </c>
      <c r="G91" s="21">
        <v>1202.1474000000001</v>
      </c>
      <c r="H91" s="18">
        <f>(G91-F91)*E91</f>
        <v>0</v>
      </c>
      <c r="I91" s="51"/>
      <c r="J91" s="52"/>
    </row>
    <row r="92" spans="1:10" ht="15.75" x14ac:dyDescent="0.25">
      <c r="A92" s="27" t="s">
        <v>108</v>
      </c>
      <c r="B92" s="156" t="s">
        <v>52</v>
      </c>
      <c r="C92" s="106">
        <v>51431339</v>
      </c>
      <c r="D92" s="157" t="s">
        <v>53</v>
      </c>
      <c r="E92" s="156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56" t="s">
        <v>52</v>
      </c>
      <c r="C93" s="106">
        <v>51217244</v>
      </c>
      <c r="D93" s="156" t="s">
        <v>37</v>
      </c>
      <c r="E93" s="156">
        <v>600</v>
      </c>
      <c r="F93" s="30">
        <v>344.45350000000002</v>
      </c>
      <c r="G93" s="30">
        <v>345.28460000000001</v>
      </c>
      <c r="H93" s="18">
        <f t="shared" si="4"/>
        <v>498.65999999999531</v>
      </c>
      <c r="I93" s="51"/>
      <c r="J93" s="52"/>
    </row>
    <row r="94" spans="1:10" ht="15.75" x14ac:dyDescent="0.25">
      <c r="A94" s="27" t="s">
        <v>110</v>
      </c>
      <c r="B94" s="156" t="s">
        <v>52</v>
      </c>
      <c r="C94" s="106">
        <v>51217267</v>
      </c>
      <c r="D94" s="88" t="s">
        <v>63</v>
      </c>
      <c r="E94" s="156">
        <v>2400</v>
      </c>
      <c r="F94" s="30">
        <v>20.644400000000001</v>
      </c>
      <c r="G94" s="30">
        <v>20.6876</v>
      </c>
      <c r="H94" s="18">
        <f t="shared" si="4"/>
        <v>103.67999999999711</v>
      </c>
      <c r="I94" s="51"/>
      <c r="J94" s="52"/>
    </row>
    <row r="95" spans="1:10" ht="15.75" x14ac:dyDescent="0.25">
      <c r="A95" s="27" t="s">
        <v>111</v>
      </c>
      <c r="B95" s="156" t="s">
        <v>52</v>
      </c>
      <c r="C95" s="156">
        <v>51555165</v>
      </c>
      <c r="D95" s="157" t="s">
        <v>53</v>
      </c>
      <c r="E95" s="156">
        <v>1200</v>
      </c>
      <c r="F95" s="30">
        <v>943.67089999999996</v>
      </c>
      <c r="G95" s="30">
        <v>952.30830000000003</v>
      </c>
      <c r="H95" s="18">
        <f t="shared" si="4"/>
        <v>10364.880000000085</v>
      </c>
      <c r="I95" s="51" t="s">
        <v>27</v>
      </c>
      <c r="J95" s="52"/>
    </row>
    <row r="96" spans="1:10" ht="15.75" x14ac:dyDescent="0.25">
      <c r="A96" s="113" t="s">
        <v>112</v>
      </c>
      <c r="B96" s="156" t="s">
        <v>52</v>
      </c>
      <c r="C96" s="106">
        <v>51431346</v>
      </c>
      <c r="D96" s="114" t="s">
        <v>37</v>
      </c>
      <c r="E96" s="114">
        <v>600</v>
      </c>
      <c r="F96" s="30">
        <v>373.90320000000003</v>
      </c>
      <c r="G96" s="30">
        <v>376.06700000000001</v>
      </c>
      <c r="H96" s="115">
        <f t="shared" si="4"/>
        <v>1298.2799999999884</v>
      </c>
      <c r="I96" s="116"/>
      <c r="J96" s="117"/>
    </row>
    <row r="97" spans="1:10" ht="15.75" x14ac:dyDescent="0.25">
      <c r="A97" s="27" t="s">
        <v>113</v>
      </c>
      <c r="B97" s="156" t="s">
        <v>52</v>
      </c>
      <c r="C97" s="106">
        <v>51431352</v>
      </c>
      <c r="D97" s="88" t="s">
        <v>21</v>
      </c>
      <c r="E97" s="156">
        <v>3600</v>
      </c>
      <c r="F97" s="21">
        <v>249.39320000000001</v>
      </c>
      <c r="G97" s="21">
        <v>251.0044</v>
      </c>
      <c r="H97" s="18">
        <f t="shared" si="4"/>
        <v>5800.3199999999879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18195.820000000054</v>
      </c>
      <c r="I98" s="51"/>
      <c r="J98" s="52"/>
    </row>
    <row r="99" spans="1:10" ht="15.75" x14ac:dyDescent="0.25">
      <c r="A99" s="45" t="s">
        <v>114</v>
      </c>
      <c r="B99" s="156" t="s">
        <v>52</v>
      </c>
      <c r="C99" s="120">
        <v>51431357</v>
      </c>
      <c r="D99" s="157" t="s">
        <v>63</v>
      </c>
      <c r="E99" s="157">
        <v>14000</v>
      </c>
      <c r="F99" s="28">
        <v>872.24220000000003</v>
      </c>
      <c r="G99" s="28">
        <v>875.50319999999999</v>
      </c>
      <c r="H99" s="121">
        <f t="shared" si="4"/>
        <v>45653.999999999542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>
      <selection sqref="A1:XFD104857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127</v>
      </c>
      <c r="G2" s="4" t="s">
        <v>128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59" t="s">
        <v>13</v>
      </c>
      <c r="C4" s="159">
        <v>51555166</v>
      </c>
      <c r="D4" s="159" t="s">
        <v>14</v>
      </c>
      <c r="E4" s="159">
        <v>132000</v>
      </c>
      <c r="F4" s="17">
        <v>6.9791999999999996</v>
      </c>
      <c r="G4" s="17">
        <v>6.9870000000000001</v>
      </c>
      <c r="H4" s="18">
        <f>(G4-F4)*E4</f>
        <v>1029.6000000000624</v>
      </c>
      <c r="I4" s="19"/>
      <c r="J4" s="20"/>
    </row>
    <row r="5" spans="1:10" ht="15.75" x14ac:dyDescent="0.25">
      <c r="A5" s="15" t="s">
        <v>15</v>
      </c>
      <c r="B5" s="159" t="s">
        <v>13</v>
      </c>
      <c r="C5" s="159">
        <v>51555191</v>
      </c>
      <c r="D5" s="159" t="s">
        <v>14</v>
      </c>
      <c r="E5" s="159">
        <v>132000</v>
      </c>
      <c r="F5" s="21">
        <v>393.14030000000002</v>
      </c>
      <c r="G5" s="21">
        <v>395.06659999999999</v>
      </c>
      <c r="H5" s="18">
        <f>(G5-F5)*E5</f>
        <v>254271.59999999593</v>
      </c>
      <c r="I5" s="19"/>
      <c r="J5" s="20"/>
    </row>
    <row r="6" spans="1:10" ht="15.75" x14ac:dyDescent="0.25">
      <c r="A6" s="218" t="s">
        <v>16</v>
      </c>
      <c r="B6" s="219"/>
      <c r="C6" s="159"/>
      <c r="D6" s="160"/>
      <c r="E6" s="159"/>
      <c r="H6" s="23">
        <f>H4+H5</f>
        <v>255301.199999996</v>
      </c>
      <c r="I6" s="24">
        <f>H6-H9-H19</f>
        <v>2103.599999996557</v>
      </c>
      <c r="J6" s="25">
        <f>I6/H6</f>
        <v>8.2396792494378798E-3</v>
      </c>
    </row>
    <row r="7" spans="1:10" ht="15.75" x14ac:dyDescent="0.25">
      <c r="A7" s="26" t="s">
        <v>17</v>
      </c>
      <c r="B7" s="159" t="s">
        <v>13</v>
      </c>
      <c r="C7" s="159">
        <v>51097629</v>
      </c>
      <c r="D7" s="160" t="s">
        <v>14</v>
      </c>
      <c r="E7" s="159">
        <v>42000</v>
      </c>
      <c r="F7" s="21">
        <v>1151.0899999999999</v>
      </c>
      <c r="G7" s="21">
        <v>1155.3725999999999</v>
      </c>
      <c r="H7" s="18">
        <f>(G7-F7)*E7</f>
        <v>179869.2000000001</v>
      </c>
      <c r="I7" s="19"/>
      <c r="J7" s="20"/>
    </row>
    <row r="8" spans="1:10" ht="15.75" x14ac:dyDescent="0.25">
      <c r="A8" s="26" t="s">
        <v>18</v>
      </c>
      <c r="B8" s="159" t="s">
        <v>13</v>
      </c>
      <c r="C8" s="159">
        <v>51616820</v>
      </c>
      <c r="D8" s="160" t="s">
        <v>14</v>
      </c>
      <c r="E8" s="159">
        <v>42000</v>
      </c>
      <c r="F8" s="21">
        <v>15.358000000000001</v>
      </c>
      <c r="G8" s="21">
        <v>15.3688</v>
      </c>
      <c r="H8" s="18">
        <f>(G8-F8)*E8</f>
        <v>453.59999999998735</v>
      </c>
      <c r="I8" s="19"/>
      <c r="J8" s="20"/>
    </row>
    <row r="9" spans="1:10" ht="15.75" x14ac:dyDescent="0.25">
      <c r="A9" s="218" t="s">
        <v>19</v>
      </c>
      <c r="B9" s="219"/>
      <c r="C9" s="159"/>
      <c r="D9" s="160"/>
      <c r="E9" s="159"/>
      <c r="F9" s="21"/>
      <c r="G9" s="21"/>
      <c r="H9" s="23">
        <f>H7+H8</f>
        <v>180322.80000000008</v>
      </c>
      <c r="I9" s="24">
        <f>H9-H16</f>
        <v>12.599999998812564</v>
      </c>
      <c r="J9" s="25">
        <f>I9/H9</f>
        <v>6.987469138019462E-5</v>
      </c>
    </row>
    <row r="10" spans="1:10" ht="15.75" x14ac:dyDescent="0.25">
      <c r="A10" s="27" t="s">
        <v>20</v>
      </c>
      <c r="B10" s="159" t="s">
        <v>13</v>
      </c>
      <c r="C10" s="159">
        <v>51217286</v>
      </c>
      <c r="D10" s="160" t="s">
        <v>21</v>
      </c>
      <c r="E10" s="159">
        <v>21000</v>
      </c>
      <c r="F10" s="21">
        <v>909.35059999999999</v>
      </c>
      <c r="G10" s="21">
        <v>912.44569999999999</v>
      </c>
      <c r="H10" s="18">
        <f t="shared" ref="H10:H15" si="0">(G10-F10)*E10</f>
        <v>64997.100000000049</v>
      </c>
      <c r="I10" s="19"/>
      <c r="J10" s="20"/>
    </row>
    <row r="11" spans="1:10" ht="15.75" x14ac:dyDescent="0.25">
      <c r="A11" s="27" t="s">
        <v>22</v>
      </c>
      <c r="B11" s="159" t="s">
        <v>13</v>
      </c>
      <c r="C11" s="159">
        <v>51217292</v>
      </c>
      <c r="D11" s="160" t="s">
        <v>21</v>
      </c>
      <c r="E11" s="159">
        <v>21000</v>
      </c>
      <c r="F11" s="28">
        <v>3.9447999999999999</v>
      </c>
      <c r="G11" s="28">
        <v>3.9504999999999999</v>
      </c>
      <c r="H11" s="18">
        <f>(G11-F11)*E11</f>
        <v>119.70000000000081</v>
      </c>
      <c r="I11" s="19"/>
      <c r="J11" s="20"/>
    </row>
    <row r="12" spans="1:10" ht="15.75" x14ac:dyDescent="0.25">
      <c r="A12" s="27" t="s">
        <v>23</v>
      </c>
      <c r="B12" s="159" t="s">
        <v>13</v>
      </c>
      <c r="C12" s="159">
        <v>51217271</v>
      </c>
      <c r="D12" s="160" t="s">
        <v>21</v>
      </c>
      <c r="E12" s="159">
        <v>21000</v>
      </c>
      <c r="F12" s="21">
        <v>681.26819999999998</v>
      </c>
      <c r="G12" s="21">
        <v>684.01369999999997</v>
      </c>
      <c r="H12" s="18">
        <f t="shared" si="0"/>
        <v>57655.499999999847</v>
      </c>
      <c r="I12" s="19"/>
      <c r="J12" s="20"/>
    </row>
    <row r="13" spans="1:10" ht="15.75" x14ac:dyDescent="0.25">
      <c r="A13" s="27" t="s">
        <v>24</v>
      </c>
      <c r="B13" s="159" t="s">
        <v>13</v>
      </c>
      <c r="C13" s="159">
        <v>51217276</v>
      </c>
      <c r="D13" s="160" t="s">
        <v>21</v>
      </c>
      <c r="E13" s="159">
        <v>21000</v>
      </c>
      <c r="F13" s="28">
        <v>0.5988</v>
      </c>
      <c r="G13" s="28">
        <v>0.59930000000000005</v>
      </c>
      <c r="H13" s="18">
        <f>(G13-F13)*E13</f>
        <v>10.500000000001176</v>
      </c>
      <c r="I13" s="19"/>
      <c r="J13" s="20"/>
    </row>
    <row r="14" spans="1:10" ht="15.75" x14ac:dyDescent="0.25">
      <c r="A14" s="27" t="s">
        <v>25</v>
      </c>
      <c r="B14" s="159" t="s">
        <v>13</v>
      </c>
      <c r="C14" s="159">
        <v>51100990</v>
      </c>
      <c r="D14" s="160" t="s">
        <v>21</v>
      </c>
      <c r="E14" s="159">
        <v>21000</v>
      </c>
      <c r="F14" s="29">
        <v>730.91269999999997</v>
      </c>
      <c r="G14" s="29">
        <v>733.64070000000004</v>
      </c>
      <c r="H14" s="18">
        <f t="shared" si="0"/>
        <v>57288.000000001375</v>
      </c>
      <c r="I14" s="19"/>
      <c r="J14" s="20"/>
    </row>
    <row r="15" spans="1:10" ht="15.75" x14ac:dyDescent="0.25">
      <c r="A15" s="27" t="s">
        <v>26</v>
      </c>
      <c r="B15" s="159" t="s">
        <v>13</v>
      </c>
      <c r="C15" s="159">
        <v>51097622</v>
      </c>
      <c r="D15" s="160" t="s">
        <v>21</v>
      </c>
      <c r="E15" s="159">
        <v>21000</v>
      </c>
      <c r="F15" s="21">
        <v>9.3400999999999996</v>
      </c>
      <c r="G15" s="21">
        <v>9.3514999999999997</v>
      </c>
      <c r="H15" s="18">
        <f t="shared" si="0"/>
        <v>239.40000000000163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59"/>
      <c r="D16" s="160"/>
      <c r="E16" s="159"/>
      <c r="F16" s="21"/>
      <c r="G16" s="21"/>
      <c r="H16" s="23">
        <f>H10+H11+H12+H13+H14+H15</f>
        <v>180310.20000000126</v>
      </c>
      <c r="I16" s="19"/>
      <c r="J16" s="20"/>
    </row>
    <row r="17" spans="1:10" ht="15.75" x14ac:dyDescent="0.25">
      <c r="A17" s="26" t="s">
        <v>29</v>
      </c>
      <c r="B17" s="159" t="s">
        <v>13</v>
      </c>
      <c r="C17" s="159">
        <v>51097617</v>
      </c>
      <c r="D17" s="160" t="s">
        <v>30</v>
      </c>
      <c r="E17" s="159">
        <v>18000</v>
      </c>
      <c r="F17" s="30">
        <v>899.7047</v>
      </c>
      <c r="G17" s="30">
        <v>903.75329999999997</v>
      </c>
      <c r="H17" s="18">
        <f>(G17-F17)*E17</f>
        <v>72874.799999999363</v>
      </c>
      <c r="I17" s="19"/>
      <c r="J17" s="20"/>
    </row>
    <row r="18" spans="1:10" ht="15.75" x14ac:dyDescent="0.25">
      <c r="A18" s="26" t="s">
        <v>31</v>
      </c>
      <c r="B18" s="159" t="s">
        <v>13</v>
      </c>
      <c r="C18" s="159">
        <v>51097655</v>
      </c>
      <c r="D18" s="160" t="s">
        <v>30</v>
      </c>
      <c r="E18" s="159">
        <v>18000</v>
      </c>
      <c r="F18" s="30">
        <v>11.5421</v>
      </c>
      <c r="G18" s="30">
        <v>11.5421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59"/>
      <c r="D19" s="160"/>
      <c r="E19" s="159"/>
      <c r="F19" s="30"/>
      <c r="G19" s="30"/>
      <c r="H19" s="23">
        <f>H17+H18</f>
        <v>72874.799999999363</v>
      </c>
      <c r="I19" s="24">
        <f>H19-H34</f>
        <v>2320.1999999993859</v>
      </c>
      <c r="J19" s="25">
        <f>I19/H19</f>
        <v>3.1838166279693478E-2</v>
      </c>
    </row>
    <row r="20" spans="1:10" ht="15.75" x14ac:dyDescent="0.25">
      <c r="A20" s="15" t="s">
        <v>33</v>
      </c>
      <c r="B20" s="159" t="s">
        <v>13</v>
      </c>
      <c r="C20" s="159">
        <v>51217282</v>
      </c>
      <c r="D20" s="160" t="s">
        <v>34</v>
      </c>
      <c r="E20" s="159">
        <v>4800</v>
      </c>
      <c r="F20" s="21">
        <v>385.39580000000001</v>
      </c>
      <c r="G20" s="21">
        <v>385.43950000000001</v>
      </c>
      <c r="H20" s="18">
        <f t="shared" ref="H20:H33" si="1">(G20-F20)*E20</f>
        <v>209.76000000000568</v>
      </c>
      <c r="I20" s="19" t="s">
        <v>27</v>
      </c>
      <c r="J20" s="20"/>
    </row>
    <row r="21" spans="1:10" ht="15.75" x14ac:dyDescent="0.25">
      <c r="A21" s="15" t="s">
        <v>35</v>
      </c>
      <c r="B21" s="159" t="s">
        <v>13</v>
      </c>
      <c r="C21" s="159">
        <v>51217274</v>
      </c>
      <c r="D21" s="160" t="s">
        <v>34</v>
      </c>
      <c r="E21" s="159">
        <v>4800</v>
      </c>
      <c r="F21" s="21">
        <v>1401.1206</v>
      </c>
      <c r="G21" s="21">
        <v>1407.0346</v>
      </c>
      <c r="H21" s="18">
        <f t="shared" si="1"/>
        <v>28387.199999999939</v>
      </c>
      <c r="I21" s="19"/>
      <c r="J21" s="20"/>
    </row>
    <row r="22" spans="1:10" ht="15.75" x14ac:dyDescent="0.25">
      <c r="A22" s="15" t="s">
        <v>36</v>
      </c>
      <c r="B22" s="159" t="s">
        <v>13</v>
      </c>
      <c r="C22" s="159">
        <v>51097664</v>
      </c>
      <c r="D22" s="160" t="s">
        <v>37</v>
      </c>
      <c r="E22" s="159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59" t="s">
        <v>13</v>
      </c>
      <c r="C23" s="159">
        <v>51097615</v>
      </c>
      <c r="D23" s="160" t="s">
        <v>37</v>
      </c>
      <c r="E23" s="159">
        <v>600</v>
      </c>
      <c r="F23" s="21">
        <v>46.995600000000003</v>
      </c>
      <c r="G23" s="21">
        <v>47.303400000000003</v>
      </c>
      <c r="H23" s="18">
        <f t="shared" si="1"/>
        <v>184.68000000000018</v>
      </c>
      <c r="I23" s="19"/>
      <c r="J23" s="20"/>
    </row>
    <row r="24" spans="1:10" ht="15.75" x14ac:dyDescent="0.25">
      <c r="A24" s="15" t="s">
        <v>39</v>
      </c>
      <c r="B24" s="159" t="s">
        <v>13</v>
      </c>
      <c r="C24" s="159">
        <v>51217264</v>
      </c>
      <c r="D24" s="160" t="s">
        <v>37</v>
      </c>
      <c r="E24" s="159">
        <v>600</v>
      </c>
      <c r="F24" s="21">
        <v>109.92359999999999</v>
      </c>
      <c r="G24" s="21">
        <v>110.5248</v>
      </c>
      <c r="H24" s="18">
        <f t="shared" si="1"/>
        <v>360.72000000000344</v>
      </c>
      <c r="I24" s="19"/>
      <c r="J24" s="20"/>
    </row>
    <row r="25" spans="1:10" ht="15.75" x14ac:dyDescent="0.25">
      <c r="A25" s="15" t="s">
        <v>40</v>
      </c>
      <c r="B25" s="159" t="s">
        <v>13</v>
      </c>
      <c r="C25" s="159">
        <v>51217288</v>
      </c>
      <c r="D25" s="160" t="s">
        <v>37</v>
      </c>
      <c r="E25" s="159">
        <v>600</v>
      </c>
      <c r="F25" s="21">
        <v>20.762699999999999</v>
      </c>
      <c r="G25" s="21">
        <v>20.7944</v>
      </c>
      <c r="H25" s="18">
        <f t="shared" si="1"/>
        <v>19.020000000000437</v>
      </c>
      <c r="I25" s="19" t="s">
        <v>27</v>
      </c>
      <c r="J25" s="20"/>
    </row>
    <row r="26" spans="1:10" ht="15.75" x14ac:dyDescent="0.25">
      <c r="A26" s="15" t="s">
        <v>41</v>
      </c>
      <c r="B26" s="159" t="s">
        <v>13</v>
      </c>
      <c r="C26" s="159">
        <v>51217279</v>
      </c>
      <c r="D26" s="160" t="s">
        <v>37</v>
      </c>
      <c r="E26" s="159">
        <v>600</v>
      </c>
      <c r="F26" s="21">
        <v>15.805300000000001</v>
      </c>
      <c r="G26" s="21">
        <v>15.8597</v>
      </c>
      <c r="H26" s="18">
        <f t="shared" si="1"/>
        <v>32.639999999999603</v>
      </c>
      <c r="I26" s="19" t="s">
        <v>27</v>
      </c>
      <c r="J26" s="20"/>
    </row>
    <row r="27" spans="1:10" ht="15.75" x14ac:dyDescent="0.25">
      <c r="A27" s="15" t="s">
        <v>42</v>
      </c>
      <c r="B27" s="159" t="s">
        <v>13</v>
      </c>
      <c r="C27" s="159">
        <v>51217272</v>
      </c>
      <c r="D27" s="160" t="s">
        <v>37</v>
      </c>
      <c r="E27" s="159">
        <v>600</v>
      </c>
      <c r="F27" s="31">
        <v>15.501799999999999</v>
      </c>
      <c r="G27" s="31">
        <v>15.555300000000001</v>
      </c>
      <c r="H27" s="18">
        <f t="shared" si="1"/>
        <v>32.100000000000861</v>
      </c>
      <c r="I27" s="19"/>
      <c r="J27" s="20"/>
    </row>
    <row r="28" spans="1:10" ht="15.75" x14ac:dyDescent="0.25">
      <c r="A28" s="15" t="s">
        <v>43</v>
      </c>
      <c r="B28" s="159" t="s">
        <v>13</v>
      </c>
      <c r="C28" s="159">
        <v>51616744</v>
      </c>
      <c r="D28" s="160">
        <f>300/5</f>
        <v>60</v>
      </c>
      <c r="E28" s="159">
        <v>3600</v>
      </c>
      <c r="F28" s="31">
        <v>109.78489999999999</v>
      </c>
      <c r="G28" s="31">
        <v>109.78489999999999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59" t="s">
        <v>13</v>
      </c>
      <c r="C29" s="159">
        <v>51555226</v>
      </c>
      <c r="D29" s="160">
        <f>300/5</f>
        <v>60</v>
      </c>
      <c r="E29" s="159">
        <v>3600</v>
      </c>
      <c r="F29" s="31">
        <v>556.20370000000003</v>
      </c>
      <c r="G29" s="31">
        <v>559.98130000000003</v>
      </c>
      <c r="H29" s="18">
        <f>(G29-F29)*E29</f>
        <v>13599.360000000024</v>
      </c>
      <c r="I29" s="19"/>
      <c r="J29" s="20"/>
    </row>
    <row r="30" spans="1:10" ht="15.75" x14ac:dyDescent="0.25">
      <c r="A30" s="15" t="s">
        <v>45</v>
      </c>
      <c r="B30" s="159" t="s">
        <v>13</v>
      </c>
      <c r="C30" s="159">
        <v>51097658</v>
      </c>
      <c r="D30" s="160" t="s">
        <v>34</v>
      </c>
      <c r="E30" s="159">
        <v>4800</v>
      </c>
      <c r="F30" s="31">
        <v>704.48599999999999</v>
      </c>
      <c r="G30" s="31">
        <v>707.9538</v>
      </c>
      <c r="H30" s="18">
        <f t="shared" si="1"/>
        <v>16645.440000000053</v>
      </c>
      <c r="I30" s="19"/>
      <c r="J30" s="20"/>
    </row>
    <row r="31" spans="1:10" ht="15.75" x14ac:dyDescent="0.25">
      <c r="A31" s="15" t="s">
        <v>46</v>
      </c>
      <c r="B31" s="159" t="s">
        <v>13</v>
      </c>
      <c r="C31" s="159">
        <v>51097635</v>
      </c>
      <c r="D31" s="160" t="s">
        <v>34</v>
      </c>
      <c r="E31" s="159">
        <v>4800</v>
      </c>
      <c r="F31" s="31">
        <v>48.479799999999997</v>
      </c>
      <c r="G31" s="31">
        <v>48.481900000000003</v>
      </c>
      <c r="H31" s="18">
        <f t="shared" si="1"/>
        <v>10.080000000027667</v>
      </c>
      <c r="I31" s="19"/>
      <c r="J31" s="20"/>
    </row>
    <row r="32" spans="1:10" ht="15.75" x14ac:dyDescent="0.25">
      <c r="A32" s="15" t="s">
        <v>47</v>
      </c>
      <c r="B32" s="159" t="s">
        <v>13</v>
      </c>
      <c r="C32" s="32">
        <v>51097633</v>
      </c>
      <c r="D32" s="160" t="s">
        <v>34</v>
      </c>
      <c r="E32" s="159">
        <v>4800</v>
      </c>
      <c r="F32" s="31">
        <v>205.9873</v>
      </c>
      <c r="G32" s="31">
        <v>208.25389999999999</v>
      </c>
      <c r="H32" s="33">
        <f t="shared" si="1"/>
        <v>10879.679999999917</v>
      </c>
      <c r="I32" s="34"/>
      <c r="J32" s="35"/>
    </row>
    <row r="33" spans="1:10" ht="15.75" x14ac:dyDescent="0.25">
      <c r="A33" s="15" t="s">
        <v>48</v>
      </c>
      <c r="B33" s="159" t="s">
        <v>13</v>
      </c>
      <c r="C33" s="32">
        <v>51097662</v>
      </c>
      <c r="D33" s="160" t="s">
        <v>34</v>
      </c>
      <c r="E33" s="159">
        <v>4800</v>
      </c>
      <c r="F33" s="31">
        <v>4.2843</v>
      </c>
      <c r="G33" s="31">
        <v>4.3247</v>
      </c>
      <c r="H33" s="33">
        <f t="shared" si="1"/>
        <v>193.91999999999996</v>
      </c>
      <c r="I33" s="34"/>
      <c r="J33" s="35"/>
    </row>
    <row r="34" spans="1:10" ht="15.75" x14ac:dyDescent="0.25">
      <c r="A34" s="218" t="s">
        <v>49</v>
      </c>
      <c r="B34" s="219"/>
      <c r="C34" s="159"/>
      <c r="D34" s="160"/>
      <c r="E34" s="159"/>
      <c r="F34" s="36"/>
      <c r="G34" s="36"/>
      <c r="H34" s="23">
        <f>H20+H21+H22+H23+H24+H25+H26+H27+H28+H29+H30+H31+H32+H33</f>
        <v>70554.599999999977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59" t="s">
        <v>52</v>
      </c>
      <c r="C36" s="159">
        <v>51555209</v>
      </c>
      <c r="D36" s="160" t="s">
        <v>53</v>
      </c>
      <c r="E36" s="159">
        <v>7000</v>
      </c>
      <c r="F36" s="17">
        <v>6.1553000000000004</v>
      </c>
      <c r="G36" s="17">
        <v>6.1692</v>
      </c>
      <c r="H36" s="41">
        <f>(G36-F36)*E36</f>
        <v>97.299999999997056</v>
      </c>
      <c r="I36" s="42"/>
      <c r="J36" s="14"/>
    </row>
    <row r="37" spans="1:10" ht="15.75" x14ac:dyDescent="0.25">
      <c r="A37" s="15" t="s">
        <v>54</v>
      </c>
      <c r="B37" s="159" t="s">
        <v>52</v>
      </c>
      <c r="C37" s="159">
        <v>51555209</v>
      </c>
      <c r="D37" s="160" t="s">
        <v>53</v>
      </c>
      <c r="E37" s="159">
        <v>7000</v>
      </c>
      <c r="F37" s="21">
        <v>10.8216</v>
      </c>
      <c r="G37" s="21">
        <v>10.8696</v>
      </c>
      <c r="H37" s="18">
        <f>(G37-F37)*E37</f>
        <v>336.00000000000028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59" t="s">
        <v>52</v>
      </c>
      <c r="C39" s="159">
        <v>51097674</v>
      </c>
      <c r="D39" s="159" t="s">
        <v>14</v>
      </c>
      <c r="E39" s="159">
        <v>7200</v>
      </c>
      <c r="F39" s="21">
        <v>623.08270000000005</v>
      </c>
      <c r="G39" s="21">
        <v>625.42840000000001</v>
      </c>
      <c r="H39" s="18">
        <f>(G39-F39)*E39</f>
        <v>16889.03999999975</v>
      </c>
      <c r="I39" s="47"/>
      <c r="J39" s="20"/>
    </row>
    <row r="40" spans="1:10" ht="15.75" x14ac:dyDescent="0.25">
      <c r="A40" s="27" t="s">
        <v>57</v>
      </c>
      <c r="B40" s="159" t="s">
        <v>52</v>
      </c>
      <c r="C40" s="159">
        <v>51259257</v>
      </c>
      <c r="D40" s="159" t="s">
        <v>14</v>
      </c>
      <c r="E40" s="159">
        <v>7200</v>
      </c>
      <c r="F40" s="21">
        <v>1.0555000000000001</v>
      </c>
      <c r="G40" s="21">
        <v>1.0555000000000001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59"/>
      <c r="C41" s="159"/>
      <c r="D41" s="159"/>
      <c r="E41" s="159"/>
      <c r="F41" s="21"/>
      <c r="G41" s="21"/>
      <c r="H41" s="48">
        <f>H39+H40</f>
        <v>16889.03999999975</v>
      </c>
      <c r="I41" s="24">
        <f>H41-H49</f>
        <v>-124.0399999998408</v>
      </c>
      <c r="J41" s="25">
        <f>I41/H41</f>
        <v>-7.3444079710772575E-3</v>
      </c>
    </row>
    <row r="42" spans="1:10" ht="15.75" x14ac:dyDescent="0.25">
      <c r="A42" s="15" t="s">
        <v>59</v>
      </c>
      <c r="B42" s="159"/>
      <c r="C42" s="159"/>
      <c r="D42" s="160"/>
      <c r="E42" s="159"/>
      <c r="H42" s="18"/>
      <c r="I42" s="43"/>
      <c r="J42" s="20"/>
    </row>
    <row r="43" spans="1:10" ht="15.75" x14ac:dyDescent="0.25">
      <c r="A43" s="27" t="s">
        <v>60</v>
      </c>
      <c r="B43" s="159" t="s">
        <v>52</v>
      </c>
      <c r="C43" s="32">
        <v>51097648</v>
      </c>
      <c r="D43" s="159" t="s">
        <v>53</v>
      </c>
      <c r="E43" s="159">
        <v>1200</v>
      </c>
      <c r="F43" s="21">
        <v>510.1062</v>
      </c>
      <c r="G43" s="21">
        <v>511.94760000000002</v>
      </c>
      <c r="H43" s="33">
        <f>(G43-F43)*E43</f>
        <v>2209.6800000000258</v>
      </c>
      <c r="I43" s="43"/>
      <c r="J43" s="20"/>
    </row>
    <row r="44" spans="1:10" ht="15.75" x14ac:dyDescent="0.25">
      <c r="A44" s="27" t="s">
        <v>61</v>
      </c>
      <c r="B44" s="159" t="s">
        <v>52</v>
      </c>
      <c r="C44" s="32">
        <v>50555043</v>
      </c>
      <c r="D44" s="159" t="s">
        <v>53</v>
      </c>
      <c r="E44" s="159">
        <v>1200</v>
      </c>
      <c r="F44" s="21">
        <v>2134.1271000000002</v>
      </c>
      <c r="G44" s="21">
        <v>2141.9603999999999</v>
      </c>
      <c r="H44" s="33">
        <f>(G44-F44)*E44</f>
        <v>9399.9599999997372</v>
      </c>
      <c r="I44" s="43"/>
      <c r="J44" s="20"/>
    </row>
    <row r="45" spans="1:10" ht="15.75" x14ac:dyDescent="0.25">
      <c r="A45" s="27" t="s">
        <v>62</v>
      </c>
      <c r="B45" s="159" t="s">
        <v>52</v>
      </c>
      <c r="C45" s="32">
        <v>51259336</v>
      </c>
      <c r="D45" s="159" t="s">
        <v>63</v>
      </c>
      <c r="E45" s="159">
        <v>2400</v>
      </c>
      <c r="F45" s="21">
        <v>4.2972000000000001</v>
      </c>
      <c r="G45" s="21">
        <v>4.3110999999999997</v>
      </c>
      <c r="H45" s="33">
        <f>(G45-F45)*E45</f>
        <v>33.35999999999899</v>
      </c>
      <c r="I45" s="43"/>
      <c r="J45" s="20"/>
    </row>
    <row r="46" spans="1:10" ht="15.75" x14ac:dyDescent="0.25">
      <c r="A46" s="27" t="s">
        <v>64</v>
      </c>
      <c r="B46" s="159" t="s">
        <v>52</v>
      </c>
      <c r="C46" s="32">
        <v>51259266</v>
      </c>
      <c r="D46" s="159" t="s">
        <v>53</v>
      </c>
      <c r="E46" s="159">
        <v>1200</v>
      </c>
      <c r="F46" s="21">
        <v>1034.6782000000001</v>
      </c>
      <c r="G46" s="21">
        <v>1038.7294999999999</v>
      </c>
      <c r="H46" s="33">
        <f>(G46-F46)*E46</f>
        <v>4861.5599999998267</v>
      </c>
      <c r="I46" s="43"/>
      <c r="J46" s="20"/>
    </row>
    <row r="47" spans="1:10" ht="15.75" x14ac:dyDescent="0.25">
      <c r="A47" s="27" t="s">
        <v>65</v>
      </c>
      <c r="B47" s="159" t="s">
        <v>52</v>
      </c>
      <c r="C47" s="32">
        <v>51431336</v>
      </c>
      <c r="D47" s="159" t="s">
        <v>53</v>
      </c>
      <c r="E47" s="159">
        <v>1200</v>
      </c>
      <c r="F47" s="21">
        <v>62.054000000000002</v>
      </c>
      <c r="G47" s="21">
        <v>62.436100000000003</v>
      </c>
      <c r="H47" s="33">
        <f>(G47-F47)*E47</f>
        <v>458.52000000000146</v>
      </c>
      <c r="I47" s="43"/>
      <c r="J47" s="20"/>
    </row>
    <row r="48" spans="1:10" ht="15.75" x14ac:dyDescent="0.25">
      <c r="A48" s="15" t="s">
        <v>66</v>
      </c>
      <c r="B48" s="159" t="s">
        <v>67</v>
      </c>
      <c r="C48" s="159">
        <v>49174</v>
      </c>
      <c r="D48" s="160" t="s">
        <v>53</v>
      </c>
      <c r="E48" s="159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17013.079999999591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59" t="s">
        <v>52</v>
      </c>
      <c r="C51" s="159">
        <v>51097603</v>
      </c>
      <c r="D51" s="160" t="s">
        <v>53</v>
      </c>
      <c r="E51" s="159">
        <v>7000</v>
      </c>
      <c r="F51" s="17">
        <v>2030.0479</v>
      </c>
      <c r="G51" s="17">
        <v>2036.6973</v>
      </c>
      <c r="H51" s="18">
        <f>(G51-F51)*E51</f>
        <v>46545.800000000097</v>
      </c>
      <c r="I51" s="43"/>
      <c r="J51" s="20"/>
    </row>
    <row r="52" spans="1:10" ht="15.75" x14ac:dyDescent="0.25">
      <c r="A52" s="27" t="s">
        <v>72</v>
      </c>
      <c r="B52" s="159" t="s">
        <v>52</v>
      </c>
      <c r="C52" s="159">
        <v>51097590</v>
      </c>
      <c r="D52" s="160" t="s">
        <v>53</v>
      </c>
      <c r="E52" s="159">
        <v>7000</v>
      </c>
      <c r="F52" s="21">
        <v>12.945399999999999</v>
      </c>
      <c r="G52" s="21">
        <v>12.968999999999999</v>
      </c>
      <c r="H52" s="18">
        <f>(G52-F52)*E52</f>
        <v>165.20000000000044</v>
      </c>
      <c r="I52" s="43"/>
      <c r="J52" s="20"/>
    </row>
    <row r="53" spans="1:10" ht="15.75" x14ac:dyDescent="0.25">
      <c r="A53" s="15" t="s">
        <v>66</v>
      </c>
      <c r="B53" s="159" t="s">
        <v>67</v>
      </c>
      <c r="C53" s="159">
        <v>49174</v>
      </c>
      <c r="D53" s="160" t="s">
        <v>53</v>
      </c>
      <c r="E53" s="159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59"/>
      <c r="D54" s="160"/>
      <c r="E54" s="159"/>
      <c r="F54" s="21"/>
      <c r="G54" s="21"/>
      <c r="H54" s="48">
        <f>H51+H52+H53</f>
        <v>46811.000000000095</v>
      </c>
      <c r="I54" s="47"/>
      <c r="J54" s="59"/>
    </row>
    <row r="55" spans="1:10" ht="15.75" x14ac:dyDescent="0.25">
      <c r="A55" s="27" t="s">
        <v>74</v>
      </c>
      <c r="B55" s="159" t="s">
        <v>52</v>
      </c>
      <c r="C55" s="159">
        <v>51100980</v>
      </c>
      <c r="D55" s="159" t="s">
        <v>75</v>
      </c>
      <c r="E55" s="159">
        <v>12000</v>
      </c>
      <c r="F55" s="21">
        <v>1194.2129</v>
      </c>
      <c r="G55" s="21">
        <v>1198.1036999999999</v>
      </c>
      <c r="H55" s="18">
        <f>(G55-F55)*E55</f>
        <v>46689.599999998791</v>
      </c>
      <c r="I55" s="47"/>
      <c r="J55" s="58"/>
    </row>
    <row r="56" spans="1:10" ht="15.75" x14ac:dyDescent="0.25">
      <c r="A56" s="27" t="s">
        <v>76</v>
      </c>
      <c r="B56" s="159" t="s">
        <v>52</v>
      </c>
      <c r="C56" s="159">
        <v>51097623</v>
      </c>
      <c r="D56" s="159" t="s">
        <v>75</v>
      </c>
      <c r="E56" s="159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59"/>
      <c r="C57" s="159"/>
      <c r="D57" s="159"/>
      <c r="E57" s="159"/>
      <c r="F57" s="21"/>
      <c r="G57" s="21"/>
      <c r="H57" s="48">
        <f>H55+H56</f>
        <v>46689.599999998791</v>
      </c>
      <c r="I57" s="61">
        <f>H54-H64-H53</f>
        <v>-86.239999999917927</v>
      </c>
      <c r="J57" s="25">
        <f>I57/H57</f>
        <v>-1.8470922860748466E-3</v>
      </c>
    </row>
    <row r="58" spans="1:10" ht="15.75" x14ac:dyDescent="0.25">
      <c r="A58" s="27" t="s">
        <v>78</v>
      </c>
      <c r="B58" s="159" t="s">
        <v>52</v>
      </c>
      <c r="C58" s="159">
        <v>51097675</v>
      </c>
      <c r="D58" s="159" t="s">
        <v>34</v>
      </c>
      <c r="E58" s="159">
        <v>4800</v>
      </c>
      <c r="F58" s="21">
        <v>550.32240000000002</v>
      </c>
      <c r="G58" s="21">
        <v>553.05880000000002</v>
      </c>
      <c r="H58" s="18">
        <f t="shared" ref="H58:H63" si="2">(G58-F58)*E58</f>
        <v>13134.720000000016</v>
      </c>
      <c r="I58" s="62"/>
      <c r="J58" s="59"/>
    </row>
    <row r="59" spans="1:10" ht="15.75" x14ac:dyDescent="0.25">
      <c r="A59" s="27" t="s">
        <v>79</v>
      </c>
      <c r="B59" s="159" t="s">
        <v>52</v>
      </c>
      <c r="C59" s="159">
        <v>51100997</v>
      </c>
      <c r="D59" s="159" t="s">
        <v>21</v>
      </c>
      <c r="E59" s="159">
        <v>3600</v>
      </c>
      <c r="F59" s="21">
        <v>1414.9547</v>
      </c>
      <c r="G59" s="21">
        <v>1417.6948</v>
      </c>
      <c r="H59" s="18">
        <f t="shared" si="2"/>
        <v>9864.3599999999424</v>
      </c>
      <c r="I59" s="62"/>
      <c r="J59" s="59"/>
    </row>
    <row r="60" spans="1:10" ht="15.75" x14ac:dyDescent="0.25">
      <c r="A60" s="27" t="s">
        <v>80</v>
      </c>
      <c r="B60" s="159" t="s">
        <v>52</v>
      </c>
      <c r="C60" s="159">
        <v>51555218</v>
      </c>
      <c r="D60" s="159">
        <f>400/5</f>
        <v>80</v>
      </c>
      <c r="E60" s="159">
        <v>4800</v>
      </c>
      <c r="F60" s="21">
        <v>70.959400000000002</v>
      </c>
      <c r="G60" s="21">
        <v>71.383099999999999</v>
      </c>
      <c r="H60" s="18">
        <f t="shared" si="2"/>
        <v>2033.7599999999838</v>
      </c>
      <c r="I60" s="62"/>
      <c r="J60" s="59"/>
    </row>
    <row r="61" spans="1:10" ht="15.75" x14ac:dyDescent="0.25">
      <c r="A61" s="27" t="s">
        <v>81</v>
      </c>
      <c r="B61" s="159" t="s">
        <v>52</v>
      </c>
      <c r="C61" s="159">
        <v>51555151</v>
      </c>
      <c r="D61" s="159">
        <f>400/5</f>
        <v>80</v>
      </c>
      <c r="E61" s="159">
        <v>4800</v>
      </c>
      <c r="F61" s="63">
        <v>0.30690000000000001</v>
      </c>
      <c r="G61" s="63">
        <v>0.30690000000000001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59" t="s">
        <v>52</v>
      </c>
      <c r="C62" s="159">
        <v>51097599</v>
      </c>
      <c r="D62" s="159" t="s">
        <v>21</v>
      </c>
      <c r="E62" s="159">
        <v>3600</v>
      </c>
      <c r="F62" s="21">
        <v>995.03340000000003</v>
      </c>
      <c r="G62" s="21">
        <v>997.47400000000005</v>
      </c>
      <c r="H62" s="18">
        <f t="shared" si="2"/>
        <v>8786.1600000000635</v>
      </c>
      <c r="I62" s="62"/>
      <c r="J62" s="59"/>
    </row>
    <row r="63" spans="1:10" ht="15.75" x14ac:dyDescent="0.25">
      <c r="A63" s="27" t="s">
        <v>83</v>
      </c>
      <c r="B63" s="159" t="s">
        <v>52</v>
      </c>
      <c r="C63" s="159">
        <v>51097620</v>
      </c>
      <c r="D63" s="159" t="s">
        <v>34</v>
      </c>
      <c r="E63" s="159">
        <v>4800</v>
      </c>
      <c r="F63" s="21">
        <v>546.54480000000001</v>
      </c>
      <c r="G63" s="21">
        <v>549.24860000000001</v>
      </c>
      <c r="H63" s="18">
        <f t="shared" si="2"/>
        <v>12978.240000000005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46797.240000000013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59" t="s">
        <v>52</v>
      </c>
      <c r="C66" s="9">
        <v>51259238</v>
      </c>
      <c r="D66" s="74" t="s">
        <v>53</v>
      </c>
      <c r="E66" s="74">
        <v>7000</v>
      </c>
      <c r="F66" s="75">
        <v>593.02779999999996</v>
      </c>
      <c r="G66" s="75">
        <v>595.49419999999998</v>
      </c>
      <c r="H66" s="76">
        <f>(G66-F66)*E66</f>
        <v>17264.800000000148</v>
      </c>
      <c r="I66" s="77"/>
      <c r="J66" s="78"/>
    </row>
    <row r="67" spans="1:10" ht="15.75" x14ac:dyDescent="0.25">
      <c r="A67" s="27" t="s">
        <v>86</v>
      </c>
      <c r="B67" s="159" t="s">
        <v>52</v>
      </c>
      <c r="C67" s="159">
        <v>51259324</v>
      </c>
      <c r="D67" s="160" t="s">
        <v>53</v>
      </c>
      <c r="E67" s="160">
        <v>7000</v>
      </c>
      <c r="F67" s="21">
        <v>458.2115</v>
      </c>
      <c r="G67" s="21">
        <v>460.12110000000001</v>
      </c>
      <c r="H67" s="18">
        <f>(G67-F67)*E67</f>
        <v>13367.200000000083</v>
      </c>
      <c r="I67" s="51"/>
      <c r="J67" s="58"/>
    </row>
    <row r="68" spans="1:10" s="129" customFormat="1" ht="15.75" x14ac:dyDescent="0.25">
      <c r="A68" s="27" t="s">
        <v>87</v>
      </c>
      <c r="B68" s="79" t="s">
        <v>88</v>
      </c>
      <c r="C68" s="159">
        <v>51491618</v>
      </c>
      <c r="D68" s="160" t="s">
        <v>63</v>
      </c>
      <c r="E68" s="159">
        <v>40</v>
      </c>
      <c r="F68" s="28">
        <v>1377.402</v>
      </c>
      <c r="G68" s="28">
        <v>1385.308</v>
      </c>
      <c r="H68" s="18">
        <f>(G68-F68)*E68</f>
        <v>316.23999999999796</v>
      </c>
      <c r="I68" s="51"/>
      <c r="J68" s="58"/>
    </row>
    <row r="69" spans="1:10" s="129" customFormat="1" ht="15.75" x14ac:dyDescent="0.25">
      <c r="A69" s="27" t="s">
        <v>89</v>
      </c>
      <c r="B69" s="79" t="s">
        <v>88</v>
      </c>
      <c r="C69" s="159">
        <v>51491624</v>
      </c>
      <c r="D69" s="160" t="s">
        <v>63</v>
      </c>
      <c r="E69" s="159">
        <v>40</v>
      </c>
      <c r="F69" s="28">
        <v>182.64750000000001</v>
      </c>
      <c r="G69" s="28">
        <v>183.482</v>
      </c>
      <c r="H69" s="18">
        <f>(G69-F69)*E69</f>
        <v>33.379999999999654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30632.000000000233</v>
      </c>
      <c r="I70" s="85">
        <f>H70-H73-H68-H69</f>
        <v>-981.21999999976333</v>
      </c>
      <c r="J70" s="25">
        <f>I70/H70</f>
        <v>-3.2032515016967744E-2</v>
      </c>
    </row>
    <row r="71" spans="1:10" ht="15.75" x14ac:dyDescent="0.25">
      <c r="A71" s="27" t="s">
        <v>91</v>
      </c>
      <c r="B71" s="159" t="s">
        <v>52</v>
      </c>
      <c r="C71" s="86">
        <v>51097588</v>
      </c>
      <c r="D71" s="160" t="s">
        <v>75</v>
      </c>
      <c r="E71" s="159">
        <v>12000</v>
      </c>
      <c r="F71" s="21">
        <v>354.41660000000002</v>
      </c>
      <c r="G71" s="21">
        <v>355.8399</v>
      </c>
      <c r="H71" s="18">
        <f>(G71-F71)*E71</f>
        <v>17079.599999999802</v>
      </c>
      <c r="I71" s="51"/>
      <c r="J71" s="58"/>
    </row>
    <row r="72" spans="1:10" ht="15.75" x14ac:dyDescent="0.25">
      <c r="A72" s="27" t="s">
        <v>92</v>
      </c>
      <c r="B72" s="159" t="s">
        <v>52</v>
      </c>
      <c r="C72" s="86">
        <v>51431335</v>
      </c>
      <c r="D72" s="160" t="s">
        <v>75</v>
      </c>
      <c r="E72" s="159">
        <v>12000</v>
      </c>
      <c r="F72" s="21">
        <v>279.43029999999999</v>
      </c>
      <c r="G72" s="21">
        <v>280.6123</v>
      </c>
      <c r="H72" s="18">
        <f>(G72-F72)*E72</f>
        <v>14184.000000000196</v>
      </c>
      <c r="I72" s="51"/>
      <c r="J72" s="58"/>
    </row>
    <row r="73" spans="1:10" ht="15.75" x14ac:dyDescent="0.25">
      <c r="A73" s="87" t="s">
        <v>93</v>
      </c>
      <c r="B73" s="159" t="s">
        <v>27</v>
      </c>
      <c r="C73" s="159"/>
      <c r="D73" s="160"/>
      <c r="E73" s="159"/>
      <c r="F73" s="21"/>
      <c r="G73" s="21"/>
      <c r="H73" s="48">
        <f>H71+ H72</f>
        <v>31263.599999999999</v>
      </c>
      <c r="I73" s="85">
        <f>H73-H81</f>
        <v>-44.940000000024156</v>
      </c>
      <c r="J73" s="25">
        <f>I73/H73</f>
        <v>-1.4374544198372599E-3</v>
      </c>
    </row>
    <row r="74" spans="1:10" ht="15.75" x14ac:dyDescent="0.25">
      <c r="A74" s="27" t="s">
        <v>94</v>
      </c>
      <c r="B74" s="159" t="s">
        <v>52</v>
      </c>
      <c r="C74" s="86">
        <v>51097676</v>
      </c>
      <c r="D74" s="88" t="s">
        <v>63</v>
      </c>
      <c r="E74" s="159">
        <v>2400</v>
      </c>
      <c r="F74" s="21">
        <v>742.8854</v>
      </c>
      <c r="G74" s="21">
        <v>745.95140000000004</v>
      </c>
      <c r="H74" s="18">
        <f>(G74-F74)*E74</f>
        <v>7358.4000000000742</v>
      </c>
      <c r="I74" s="51"/>
      <c r="J74" s="58"/>
    </row>
    <row r="75" spans="1:10" ht="15.75" x14ac:dyDescent="0.25">
      <c r="A75" s="27" t="s">
        <v>95</v>
      </c>
      <c r="B75" s="159" t="s">
        <v>52</v>
      </c>
      <c r="C75" s="86">
        <v>51431355</v>
      </c>
      <c r="D75" s="160" t="s">
        <v>21</v>
      </c>
      <c r="E75" s="160">
        <v>3600</v>
      </c>
      <c r="F75" s="21">
        <v>383.17939999999999</v>
      </c>
      <c r="G75" s="21">
        <v>384.51119999999997</v>
      </c>
      <c r="H75" s="18">
        <f>(G75-F75)*E75</f>
        <v>4794.4799999999532</v>
      </c>
      <c r="I75" s="51"/>
      <c r="J75" s="52"/>
    </row>
    <row r="76" spans="1:10" ht="15.75" x14ac:dyDescent="0.25">
      <c r="A76" s="27" t="s">
        <v>96</v>
      </c>
      <c r="B76" s="159" t="s">
        <v>52</v>
      </c>
      <c r="C76" s="86">
        <v>51259331</v>
      </c>
      <c r="D76" s="88" t="s">
        <v>37</v>
      </c>
      <c r="E76" s="159">
        <v>600</v>
      </c>
      <c r="F76" s="21">
        <v>176.2055</v>
      </c>
      <c r="G76" s="21">
        <v>176.94</v>
      </c>
      <c r="H76" s="18">
        <f>(G76-F76)*E76</f>
        <v>440.69999999999823</v>
      </c>
      <c r="I76" s="51"/>
      <c r="J76" s="52"/>
    </row>
    <row r="77" spans="1:10" ht="15.75" x14ac:dyDescent="0.25">
      <c r="A77" s="27" t="s">
        <v>97</v>
      </c>
      <c r="B77" s="159" t="s">
        <v>52</v>
      </c>
      <c r="C77" s="86">
        <v>51259326</v>
      </c>
      <c r="D77" s="88" t="s">
        <v>14</v>
      </c>
      <c r="E77" s="159">
        <v>7200</v>
      </c>
      <c r="F77" s="21">
        <v>350.1585</v>
      </c>
      <c r="G77" s="21">
        <v>351.51409999999998</v>
      </c>
      <c r="H77" s="18">
        <f>(G77-F77)*E77</f>
        <v>9760.3199999998651</v>
      </c>
      <c r="I77" s="51"/>
      <c r="J77" s="52"/>
    </row>
    <row r="78" spans="1:10" ht="15.75" x14ac:dyDescent="0.25">
      <c r="A78" s="27" t="s">
        <v>98</v>
      </c>
      <c r="B78" s="159" t="s">
        <v>52</v>
      </c>
      <c r="C78" s="86">
        <v>51431351</v>
      </c>
      <c r="D78" s="88" t="s">
        <v>14</v>
      </c>
      <c r="E78" s="159">
        <v>7200</v>
      </c>
      <c r="F78" s="21">
        <v>254.34909999999999</v>
      </c>
      <c r="G78" s="21">
        <v>255.59280000000001</v>
      </c>
      <c r="H78" s="18">
        <f>(G78-F78)*E78</f>
        <v>8954.6400000001304</v>
      </c>
      <c r="I78" s="51"/>
      <c r="J78" s="52"/>
    </row>
    <row r="79" spans="1:10" ht="15.75" x14ac:dyDescent="0.25">
      <c r="A79" s="89" t="s">
        <v>99</v>
      </c>
      <c r="B79" s="159" t="s">
        <v>52</v>
      </c>
      <c r="C79" s="90">
        <v>51097666</v>
      </c>
      <c r="D79" s="88" t="s">
        <v>63</v>
      </c>
      <c r="E79" s="159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59" t="s">
        <v>52</v>
      </c>
      <c r="C80" s="90">
        <v>51259323</v>
      </c>
      <c r="D80" s="88" t="s">
        <v>63</v>
      </c>
      <c r="E80" s="159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31308.540000000023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59" t="s">
        <v>52</v>
      </c>
      <c r="C83" s="106">
        <v>51431297</v>
      </c>
      <c r="D83" s="160" t="s">
        <v>53</v>
      </c>
      <c r="E83" s="100">
        <v>7000</v>
      </c>
      <c r="F83" s="17">
        <v>311.65839999999997</v>
      </c>
      <c r="G83" s="17">
        <v>314.10849999999999</v>
      </c>
      <c r="H83" s="18">
        <f>(G83-F83)*E83</f>
        <v>17150.700000000143</v>
      </c>
      <c r="I83" s="107"/>
      <c r="J83" s="108"/>
    </row>
    <row r="84" spans="1:10" ht="15.75" x14ac:dyDescent="0.25">
      <c r="A84" s="105" t="s">
        <v>86</v>
      </c>
      <c r="B84" s="159" t="s">
        <v>52</v>
      </c>
      <c r="C84" s="106">
        <v>51431332</v>
      </c>
      <c r="D84" s="160" t="s">
        <v>53</v>
      </c>
      <c r="E84" s="100">
        <v>7000</v>
      </c>
      <c r="F84" s="17">
        <v>359.23630000000003</v>
      </c>
      <c r="G84" s="17">
        <v>359.3562</v>
      </c>
      <c r="H84" s="18">
        <f>(G84-F84)*E84</f>
        <v>839.29999999980964</v>
      </c>
      <c r="I84" s="159"/>
      <c r="J84" s="58"/>
    </row>
    <row r="85" spans="1:10" s="129" customFormat="1" ht="15.75" x14ac:dyDescent="0.25">
      <c r="A85" s="27" t="s">
        <v>87</v>
      </c>
      <c r="B85" s="159" t="s">
        <v>103</v>
      </c>
      <c r="C85" s="109">
        <v>150773</v>
      </c>
      <c r="D85" s="160" t="s">
        <v>53</v>
      </c>
      <c r="E85" s="109">
        <v>20</v>
      </c>
      <c r="F85" s="17">
        <v>15733.8</v>
      </c>
      <c r="G85" s="17">
        <v>15740.2</v>
      </c>
      <c r="H85" s="18">
        <f>(G85-F85)*E85</f>
        <v>128.0000000000291</v>
      </c>
      <c r="I85" s="51"/>
      <c r="J85" s="58"/>
    </row>
    <row r="86" spans="1:10" s="129" customFormat="1" ht="15.75" x14ac:dyDescent="0.25">
      <c r="A86" s="27" t="s">
        <v>89</v>
      </c>
      <c r="B86" s="159" t="s">
        <v>103</v>
      </c>
      <c r="C86" s="109">
        <v>150791</v>
      </c>
      <c r="D86" s="160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61"/>
      <c r="C87" s="32"/>
      <c r="D87" s="82"/>
      <c r="E87" s="82"/>
      <c r="F87" s="21"/>
      <c r="G87" s="21"/>
      <c r="H87" s="48">
        <f>H83+H84</f>
        <v>17989.999999999953</v>
      </c>
      <c r="I87" s="85">
        <f>H87-H90-H85-H86</f>
        <v>378.96000000003187</v>
      </c>
      <c r="J87" s="25">
        <f>I87/H87</f>
        <v>2.1065036131185818E-2</v>
      </c>
    </row>
    <row r="88" spans="1:10" ht="15.75" x14ac:dyDescent="0.25">
      <c r="A88" s="27" t="s">
        <v>104</v>
      </c>
      <c r="B88" s="159" t="s">
        <v>52</v>
      </c>
      <c r="C88" s="106">
        <v>51431342</v>
      </c>
      <c r="D88" s="88" t="s">
        <v>34</v>
      </c>
      <c r="E88" s="159">
        <v>4800</v>
      </c>
      <c r="F88" s="21">
        <v>443.18340000000001</v>
      </c>
      <c r="G88" s="21">
        <v>446.71269999999998</v>
      </c>
      <c r="H88" s="18">
        <f>(G88-F88)*E88</f>
        <v>16940.639999999894</v>
      </c>
      <c r="I88" s="51"/>
      <c r="J88" s="52"/>
    </row>
    <row r="89" spans="1:10" ht="15.75" x14ac:dyDescent="0.25">
      <c r="A89" s="27" t="s">
        <v>105</v>
      </c>
      <c r="B89" s="159" t="s">
        <v>52</v>
      </c>
      <c r="C89" s="106">
        <v>51431343</v>
      </c>
      <c r="D89" s="88" t="s">
        <v>34</v>
      </c>
      <c r="E89" s="159">
        <v>4800</v>
      </c>
      <c r="F89" s="21">
        <v>506.88560000000001</v>
      </c>
      <c r="G89" s="21">
        <v>506.99860000000001</v>
      </c>
      <c r="H89" s="18">
        <f>(G89-F89)*E89</f>
        <v>542.39999999999782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17483.039999999892</v>
      </c>
      <c r="I90" s="85">
        <f>H90-H98</f>
        <v>-83.66000000015265</v>
      </c>
      <c r="J90" s="25">
        <f>I90/H90</f>
        <v>-4.7852089796827767E-3</v>
      </c>
    </row>
    <row r="91" spans="1:10" ht="15.75" x14ac:dyDescent="0.25">
      <c r="A91" s="27" t="s">
        <v>107</v>
      </c>
      <c r="B91" s="159" t="s">
        <v>52</v>
      </c>
      <c r="C91" s="106">
        <v>51431347</v>
      </c>
      <c r="D91" s="160" t="s">
        <v>53</v>
      </c>
      <c r="E91" s="159">
        <v>1200</v>
      </c>
      <c r="F91" s="21">
        <v>1202.1474000000001</v>
      </c>
      <c r="G91" s="21">
        <v>1202.1474000000001</v>
      </c>
      <c r="H91" s="18">
        <f>(G91-F91)*E91</f>
        <v>0</v>
      </c>
      <c r="I91" s="51"/>
      <c r="J91" s="52"/>
    </row>
    <row r="92" spans="1:10" ht="15.75" x14ac:dyDescent="0.25">
      <c r="A92" s="27" t="s">
        <v>108</v>
      </c>
      <c r="B92" s="159" t="s">
        <v>52</v>
      </c>
      <c r="C92" s="106">
        <v>51431339</v>
      </c>
      <c r="D92" s="160" t="s">
        <v>53</v>
      </c>
      <c r="E92" s="159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59" t="s">
        <v>52</v>
      </c>
      <c r="C93" s="106">
        <v>51217244</v>
      </c>
      <c r="D93" s="159" t="s">
        <v>37</v>
      </c>
      <c r="E93" s="159">
        <v>600</v>
      </c>
      <c r="F93" s="30">
        <v>345.28460000000001</v>
      </c>
      <c r="G93" s="30">
        <v>346.07850000000002</v>
      </c>
      <c r="H93" s="18">
        <f t="shared" si="4"/>
        <v>476.34000000000469</v>
      </c>
      <c r="I93" s="51"/>
      <c r="J93" s="52"/>
    </row>
    <row r="94" spans="1:10" ht="15.75" x14ac:dyDescent="0.25">
      <c r="A94" s="27" t="s">
        <v>110</v>
      </c>
      <c r="B94" s="159" t="s">
        <v>52</v>
      </c>
      <c r="C94" s="106">
        <v>51217267</v>
      </c>
      <c r="D94" s="88" t="s">
        <v>63</v>
      </c>
      <c r="E94" s="159">
        <v>2400</v>
      </c>
      <c r="F94" s="30">
        <v>20.6876</v>
      </c>
      <c r="G94" s="30">
        <v>20.718299999999999</v>
      </c>
      <c r="H94" s="18">
        <f t="shared" si="4"/>
        <v>73.679999999998813</v>
      </c>
      <c r="I94" s="51"/>
      <c r="J94" s="52"/>
    </row>
    <row r="95" spans="1:10" ht="15.75" x14ac:dyDescent="0.25">
      <c r="A95" s="27" t="s">
        <v>111</v>
      </c>
      <c r="B95" s="159" t="s">
        <v>52</v>
      </c>
      <c r="C95" s="159">
        <v>51555165</v>
      </c>
      <c r="D95" s="160" t="s">
        <v>53</v>
      </c>
      <c r="E95" s="159">
        <v>1200</v>
      </c>
      <c r="F95" s="30">
        <v>952.30830000000003</v>
      </c>
      <c r="G95" s="30">
        <v>960.95360000000005</v>
      </c>
      <c r="H95" s="18">
        <f t="shared" si="4"/>
        <v>10374.360000000024</v>
      </c>
      <c r="I95" s="51" t="s">
        <v>27</v>
      </c>
      <c r="J95" s="52"/>
    </row>
    <row r="96" spans="1:10" ht="15.75" x14ac:dyDescent="0.25">
      <c r="A96" s="113" t="s">
        <v>112</v>
      </c>
      <c r="B96" s="159" t="s">
        <v>52</v>
      </c>
      <c r="C96" s="106">
        <v>51431346</v>
      </c>
      <c r="D96" s="114" t="s">
        <v>37</v>
      </c>
      <c r="E96" s="114">
        <v>600</v>
      </c>
      <c r="F96" s="30">
        <v>376.06700000000001</v>
      </c>
      <c r="G96" s="30">
        <v>378.21280000000002</v>
      </c>
      <c r="H96" s="115">
        <f t="shared" si="4"/>
        <v>1287.480000000005</v>
      </c>
      <c r="I96" s="116"/>
      <c r="J96" s="117"/>
    </row>
    <row r="97" spans="1:10" ht="15.75" x14ac:dyDescent="0.25">
      <c r="A97" s="27" t="s">
        <v>113</v>
      </c>
      <c r="B97" s="159" t="s">
        <v>52</v>
      </c>
      <c r="C97" s="106">
        <v>51431352</v>
      </c>
      <c r="D97" s="88" t="s">
        <v>21</v>
      </c>
      <c r="E97" s="159">
        <v>3600</v>
      </c>
      <c r="F97" s="21">
        <v>251.0044</v>
      </c>
      <c r="G97" s="21">
        <v>252.4563</v>
      </c>
      <c r="H97" s="18">
        <f t="shared" si="4"/>
        <v>5226.839999999982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17566.700000000044</v>
      </c>
      <c r="I98" s="51"/>
      <c r="J98" s="52"/>
    </row>
    <row r="99" spans="1:10" ht="15.75" x14ac:dyDescent="0.25">
      <c r="A99" s="45" t="s">
        <v>114</v>
      </c>
      <c r="B99" s="159" t="s">
        <v>52</v>
      </c>
      <c r="C99" s="120">
        <v>51431357</v>
      </c>
      <c r="D99" s="160" t="s">
        <v>63</v>
      </c>
      <c r="E99" s="160">
        <v>14000</v>
      </c>
      <c r="F99" s="28">
        <v>875.50319999999999</v>
      </c>
      <c r="G99" s="28">
        <v>878.75739999999996</v>
      </c>
      <c r="H99" s="121">
        <f t="shared" si="4"/>
        <v>45558.799999999566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>
      <selection sqref="A1:XFD104857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128</v>
      </c>
      <c r="G2" s="4" t="s">
        <v>129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62" t="s">
        <v>13</v>
      </c>
      <c r="C4" s="162">
        <v>51555166</v>
      </c>
      <c r="D4" s="162" t="s">
        <v>14</v>
      </c>
      <c r="E4" s="162">
        <v>132000</v>
      </c>
      <c r="F4" s="17">
        <v>6.9870000000000001</v>
      </c>
      <c r="G4" s="17">
        <v>6.9949000000000003</v>
      </c>
      <c r="H4" s="18">
        <f>(G4-F4)*E4</f>
        <v>1042.8000000000318</v>
      </c>
      <c r="I4" s="19"/>
      <c r="J4" s="20"/>
    </row>
    <row r="5" spans="1:10" ht="15.75" x14ac:dyDescent="0.25">
      <c r="A5" s="15" t="s">
        <v>15</v>
      </c>
      <c r="B5" s="162" t="s">
        <v>13</v>
      </c>
      <c r="C5" s="162">
        <v>51555191</v>
      </c>
      <c r="D5" s="162" t="s">
        <v>14</v>
      </c>
      <c r="E5" s="162">
        <v>132000</v>
      </c>
      <c r="F5" s="21">
        <v>395.06659999999999</v>
      </c>
      <c r="G5" s="21">
        <v>396.9631</v>
      </c>
      <c r="H5" s="18">
        <f>(G5-F5)*E5</f>
        <v>250338.00000000041</v>
      </c>
      <c r="I5" s="19"/>
      <c r="J5" s="20"/>
    </row>
    <row r="6" spans="1:10" ht="15.75" x14ac:dyDescent="0.25">
      <c r="A6" s="218" t="s">
        <v>16</v>
      </c>
      <c r="B6" s="219"/>
      <c r="C6" s="162"/>
      <c r="D6" s="163"/>
      <c r="E6" s="162"/>
      <c r="H6" s="23">
        <f>H4+H5</f>
        <v>251380.80000000042</v>
      </c>
      <c r="I6" s="24">
        <f>H6-H9-H19</f>
        <v>2315.3999999977677</v>
      </c>
      <c r="J6" s="25">
        <f>I6/H6</f>
        <v>9.210727310907451E-3</v>
      </c>
    </row>
    <row r="7" spans="1:10" ht="15.75" x14ac:dyDescent="0.25">
      <c r="A7" s="26" t="s">
        <v>17</v>
      </c>
      <c r="B7" s="162" t="s">
        <v>13</v>
      </c>
      <c r="C7" s="162">
        <v>51097629</v>
      </c>
      <c r="D7" s="163" t="s">
        <v>14</v>
      </c>
      <c r="E7" s="162">
        <v>42000</v>
      </c>
      <c r="F7" s="21">
        <v>1155.3725999999999</v>
      </c>
      <c r="G7" s="21">
        <v>1159.6587</v>
      </c>
      <c r="H7" s="18">
        <f>(G7-F7)*E7</f>
        <v>180016.20000000138</v>
      </c>
      <c r="I7" s="19"/>
      <c r="J7" s="20"/>
    </row>
    <row r="8" spans="1:10" ht="15.75" x14ac:dyDescent="0.25">
      <c r="A8" s="26" t="s">
        <v>18</v>
      </c>
      <c r="B8" s="162" t="s">
        <v>13</v>
      </c>
      <c r="C8" s="162">
        <v>51616820</v>
      </c>
      <c r="D8" s="163" t="s">
        <v>14</v>
      </c>
      <c r="E8" s="162">
        <v>42000</v>
      </c>
      <c r="F8" s="21">
        <v>15.3688</v>
      </c>
      <c r="G8" s="21">
        <v>15.379799999999999</v>
      </c>
      <c r="H8" s="18">
        <f>(G8-F8)*E8</f>
        <v>461.99999999996777</v>
      </c>
      <c r="I8" s="19"/>
      <c r="J8" s="20"/>
    </row>
    <row r="9" spans="1:10" ht="15.75" x14ac:dyDescent="0.25">
      <c r="A9" s="218" t="s">
        <v>19</v>
      </c>
      <c r="B9" s="219"/>
      <c r="C9" s="162"/>
      <c r="D9" s="163"/>
      <c r="E9" s="162"/>
      <c r="F9" s="21"/>
      <c r="G9" s="21"/>
      <c r="H9" s="23">
        <f>H7+H8</f>
        <v>180478.20000000135</v>
      </c>
      <c r="I9" s="24">
        <f>H9-H16</f>
        <v>-14.69999999992433</v>
      </c>
      <c r="J9" s="25">
        <f>I9/H9</f>
        <v>-8.1450280421259849E-5</v>
      </c>
    </row>
    <row r="10" spans="1:10" ht="15.75" x14ac:dyDescent="0.25">
      <c r="A10" s="27" t="s">
        <v>20</v>
      </c>
      <c r="B10" s="162" t="s">
        <v>13</v>
      </c>
      <c r="C10" s="162">
        <v>51217286</v>
      </c>
      <c r="D10" s="163" t="s">
        <v>21</v>
      </c>
      <c r="E10" s="162">
        <v>21000</v>
      </c>
      <c r="F10" s="21">
        <v>912.44569999999999</v>
      </c>
      <c r="G10" s="21">
        <v>915.47310000000004</v>
      </c>
      <c r="H10" s="18">
        <f t="shared" ref="H10:H15" si="0">(G10-F10)*E10</f>
        <v>63575.400000001195</v>
      </c>
      <c r="I10" s="19"/>
      <c r="J10" s="20"/>
    </row>
    <row r="11" spans="1:10" ht="15.75" x14ac:dyDescent="0.25">
      <c r="A11" s="27" t="s">
        <v>22</v>
      </c>
      <c r="B11" s="162" t="s">
        <v>13</v>
      </c>
      <c r="C11" s="162">
        <v>51217292</v>
      </c>
      <c r="D11" s="163" t="s">
        <v>21</v>
      </c>
      <c r="E11" s="162">
        <v>21000</v>
      </c>
      <c r="F11" s="28">
        <v>3.9504999999999999</v>
      </c>
      <c r="G11" s="28">
        <v>3.9561000000000002</v>
      </c>
      <c r="H11" s="18">
        <f>(G11-F11)*E11</f>
        <v>117.60000000000571</v>
      </c>
      <c r="I11" s="19"/>
      <c r="J11" s="20"/>
    </row>
    <row r="12" spans="1:10" ht="15.75" x14ac:dyDescent="0.25">
      <c r="A12" s="27" t="s">
        <v>23</v>
      </c>
      <c r="B12" s="162" t="s">
        <v>13</v>
      </c>
      <c r="C12" s="162">
        <v>51217271</v>
      </c>
      <c r="D12" s="163" t="s">
        <v>21</v>
      </c>
      <c r="E12" s="162">
        <v>21000</v>
      </c>
      <c r="F12" s="21">
        <v>684.01369999999997</v>
      </c>
      <c r="G12" s="21">
        <v>686.74480000000005</v>
      </c>
      <c r="H12" s="18">
        <f t="shared" si="0"/>
        <v>57353.100000001745</v>
      </c>
      <c r="I12" s="19"/>
      <c r="J12" s="20"/>
    </row>
    <row r="13" spans="1:10" ht="15.75" x14ac:dyDescent="0.25">
      <c r="A13" s="27" t="s">
        <v>24</v>
      </c>
      <c r="B13" s="162" t="s">
        <v>13</v>
      </c>
      <c r="C13" s="162">
        <v>51217276</v>
      </c>
      <c r="D13" s="163" t="s">
        <v>21</v>
      </c>
      <c r="E13" s="162">
        <v>21000</v>
      </c>
      <c r="F13" s="28">
        <v>0.59930000000000005</v>
      </c>
      <c r="G13" s="28">
        <v>0.60029999999999994</v>
      </c>
      <c r="H13" s="18">
        <f>(G13-F13)*E13</f>
        <v>20.999999999997687</v>
      </c>
      <c r="I13" s="19"/>
      <c r="J13" s="20"/>
    </row>
    <row r="14" spans="1:10" ht="15.75" x14ac:dyDescent="0.25">
      <c r="A14" s="27" t="s">
        <v>25</v>
      </c>
      <c r="B14" s="162" t="s">
        <v>13</v>
      </c>
      <c r="C14" s="162">
        <v>51100990</v>
      </c>
      <c r="D14" s="163" t="s">
        <v>21</v>
      </c>
      <c r="E14" s="162">
        <v>21000</v>
      </c>
      <c r="F14" s="29">
        <v>733.64070000000004</v>
      </c>
      <c r="G14" s="29">
        <v>736.45849999999996</v>
      </c>
      <c r="H14" s="18">
        <f t="shared" si="0"/>
        <v>59173.799999998322</v>
      </c>
      <c r="I14" s="19"/>
      <c r="J14" s="20"/>
    </row>
    <row r="15" spans="1:10" ht="15.75" x14ac:dyDescent="0.25">
      <c r="A15" s="27" t="s">
        <v>26</v>
      </c>
      <c r="B15" s="162" t="s">
        <v>13</v>
      </c>
      <c r="C15" s="162">
        <v>51097622</v>
      </c>
      <c r="D15" s="163" t="s">
        <v>21</v>
      </c>
      <c r="E15" s="162">
        <v>21000</v>
      </c>
      <c r="F15" s="21">
        <v>9.3514999999999997</v>
      </c>
      <c r="G15" s="21">
        <v>9.3635000000000002</v>
      </c>
      <c r="H15" s="18">
        <f t="shared" si="0"/>
        <v>252.00000000000955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62"/>
      <c r="D16" s="163"/>
      <c r="E16" s="162"/>
      <c r="F16" s="21"/>
      <c r="G16" s="21"/>
      <c r="H16" s="23">
        <f>H10+H11+H12+H13+H14+H15</f>
        <v>180492.90000000127</v>
      </c>
      <c r="I16" s="19"/>
      <c r="J16" s="20"/>
    </row>
    <row r="17" spans="1:10" ht="15.75" x14ac:dyDescent="0.25">
      <c r="A17" s="26" t="s">
        <v>29</v>
      </c>
      <c r="B17" s="162" t="s">
        <v>13</v>
      </c>
      <c r="C17" s="162">
        <v>51097617</v>
      </c>
      <c r="D17" s="163" t="s">
        <v>30</v>
      </c>
      <c r="E17" s="162">
        <v>18000</v>
      </c>
      <c r="F17" s="30">
        <v>903.75329999999997</v>
      </c>
      <c r="G17" s="30">
        <v>907.56370000000004</v>
      </c>
      <c r="H17" s="18">
        <f>(G17-F17)*E17</f>
        <v>68587.200000001307</v>
      </c>
      <c r="I17" s="19"/>
      <c r="J17" s="20"/>
    </row>
    <row r="18" spans="1:10" ht="15.75" x14ac:dyDescent="0.25">
      <c r="A18" s="26" t="s">
        <v>31</v>
      </c>
      <c r="B18" s="162" t="s">
        <v>13</v>
      </c>
      <c r="C18" s="162">
        <v>51097655</v>
      </c>
      <c r="D18" s="163" t="s">
        <v>30</v>
      </c>
      <c r="E18" s="162">
        <v>18000</v>
      </c>
      <c r="F18" s="30">
        <v>11.5421</v>
      </c>
      <c r="G18" s="30">
        <v>11.5421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62"/>
      <c r="D19" s="163"/>
      <c r="E19" s="162"/>
      <c r="F19" s="30"/>
      <c r="G19" s="30"/>
      <c r="H19" s="23">
        <f>H17+H18</f>
        <v>68587.200000001307</v>
      </c>
      <c r="I19" s="24">
        <f>H19-H34</f>
        <v>1119.7800000016141</v>
      </c>
      <c r="J19" s="25">
        <f>I19/H19</f>
        <v>1.6326369934938193E-2</v>
      </c>
    </row>
    <row r="20" spans="1:10" ht="15.75" x14ac:dyDescent="0.25">
      <c r="A20" s="15" t="s">
        <v>33</v>
      </c>
      <c r="B20" s="162" t="s">
        <v>13</v>
      </c>
      <c r="C20" s="162">
        <v>51217282</v>
      </c>
      <c r="D20" s="163" t="s">
        <v>34</v>
      </c>
      <c r="E20" s="162">
        <v>4800</v>
      </c>
      <c r="F20" s="21">
        <v>385.43950000000001</v>
      </c>
      <c r="G20" s="21">
        <v>385.48340000000002</v>
      </c>
      <c r="H20" s="18">
        <f t="shared" ref="H20:H33" si="1">(G20-F20)*E20</f>
        <v>210.72000000003754</v>
      </c>
      <c r="I20" s="19" t="s">
        <v>27</v>
      </c>
      <c r="J20" s="20"/>
    </row>
    <row r="21" spans="1:10" ht="15.75" x14ac:dyDescent="0.25">
      <c r="A21" s="15" t="s">
        <v>35</v>
      </c>
      <c r="B21" s="162" t="s">
        <v>13</v>
      </c>
      <c r="C21" s="162">
        <v>51217274</v>
      </c>
      <c r="D21" s="163" t="s">
        <v>34</v>
      </c>
      <c r="E21" s="162">
        <v>4800</v>
      </c>
      <c r="F21" s="21">
        <v>1407.0346</v>
      </c>
      <c r="G21" s="21">
        <v>1412.9838999999999</v>
      </c>
      <c r="H21" s="18">
        <f t="shared" si="1"/>
        <v>28556.63999999997</v>
      </c>
      <c r="I21" s="19"/>
      <c r="J21" s="20"/>
    </row>
    <row r="22" spans="1:10" ht="15.75" x14ac:dyDescent="0.25">
      <c r="A22" s="15" t="s">
        <v>36</v>
      </c>
      <c r="B22" s="162" t="s">
        <v>13</v>
      </c>
      <c r="C22" s="162">
        <v>51097664</v>
      </c>
      <c r="D22" s="163" t="s">
        <v>37</v>
      </c>
      <c r="E22" s="162">
        <v>600</v>
      </c>
      <c r="F22" s="21">
        <v>4.4409999999999998</v>
      </c>
      <c r="G22" s="21">
        <v>4.4410999999999996</v>
      </c>
      <c r="H22" s="18">
        <f t="shared" si="1"/>
        <v>5.9999999999860165E-2</v>
      </c>
      <c r="I22" s="19"/>
      <c r="J22" s="20"/>
    </row>
    <row r="23" spans="1:10" ht="15.75" x14ac:dyDescent="0.25">
      <c r="A23" s="15" t="s">
        <v>38</v>
      </c>
      <c r="B23" s="162" t="s">
        <v>13</v>
      </c>
      <c r="C23" s="162">
        <v>51097615</v>
      </c>
      <c r="D23" s="163" t="s">
        <v>37</v>
      </c>
      <c r="E23" s="162">
        <v>600</v>
      </c>
      <c r="F23" s="21">
        <v>47.303400000000003</v>
      </c>
      <c r="G23" s="21">
        <v>47.594299999999997</v>
      </c>
      <c r="H23" s="18">
        <f t="shared" si="1"/>
        <v>174.5399999999961</v>
      </c>
      <c r="I23" s="19"/>
      <c r="J23" s="20"/>
    </row>
    <row r="24" spans="1:10" ht="15.75" x14ac:dyDescent="0.25">
      <c r="A24" s="15" t="s">
        <v>39</v>
      </c>
      <c r="B24" s="162" t="s">
        <v>13</v>
      </c>
      <c r="C24" s="162">
        <v>51217264</v>
      </c>
      <c r="D24" s="163" t="s">
        <v>37</v>
      </c>
      <c r="E24" s="162">
        <v>600</v>
      </c>
      <c r="F24" s="21">
        <v>110.5248</v>
      </c>
      <c r="G24" s="21">
        <v>111.0784</v>
      </c>
      <c r="H24" s="18">
        <f t="shared" si="1"/>
        <v>332.16000000000179</v>
      </c>
      <c r="I24" s="19"/>
      <c r="J24" s="20"/>
    </row>
    <row r="25" spans="1:10" ht="15.75" x14ac:dyDescent="0.25">
      <c r="A25" s="15" t="s">
        <v>40</v>
      </c>
      <c r="B25" s="162" t="s">
        <v>13</v>
      </c>
      <c r="C25" s="162">
        <v>51217288</v>
      </c>
      <c r="D25" s="163" t="s">
        <v>37</v>
      </c>
      <c r="E25" s="162">
        <v>600</v>
      </c>
      <c r="F25" s="21">
        <v>20.7944</v>
      </c>
      <c r="G25" s="21">
        <v>20.825500000000002</v>
      </c>
      <c r="H25" s="18">
        <f t="shared" si="1"/>
        <v>18.660000000001276</v>
      </c>
      <c r="I25" s="19" t="s">
        <v>27</v>
      </c>
      <c r="J25" s="20"/>
    </row>
    <row r="26" spans="1:10" ht="15.75" x14ac:dyDescent="0.25">
      <c r="A26" s="15" t="s">
        <v>41</v>
      </c>
      <c r="B26" s="162" t="s">
        <v>13</v>
      </c>
      <c r="C26" s="162">
        <v>51217279</v>
      </c>
      <c r="D26" s="163" t="s">
        <v>37</v>
      </c>
      <c r="E26" s="162">
        <v>600</v>
      </c>
      <c r="F26" s="21">
        <v>15.8597</v>
      </c>
      <c r="G26" s="21">
        <v>15.9132</v>
      </c>
      <c r="H26" s="18">
        <f t="shared" si="1"/>
        <v>32.099999999999795</v>
      </c>
      <c r="I26" s="19" t="s">
        <v>27</v>
      </c>
      <c r="J26" s="20"/>
    </row>
    <row r="27" spans="1:10" ht="15.75" x14ac:dyDescent="0.25">
      <c r="A27" s="15" t="s">
        <v>42</v>
      </c>
      <c r="B27" s="162" t="s">
        <v>13</v>
      </c>
      <c r="C27" s="162">
        <v>51217272</v>
      </c>
      <c r="D27" s="163" t="s">
        <v>37</v>
      </c>
      <c r="E27" s="162">
        <v>600</v>
      </c>
      <c r="F27" s="31">
        <v>15.555300000000001</v>
      </c>
      <c r="G27" s="31">
        <v>15.607799999999999</v>
      </c>
      <c r="H27" s="18">
        <f t="shared" si="1"/>
        <v>31.499999999999062</v>
      </c>
      <c r="I27" s="19"/>
      <c r="J27" s="20"/>
    </row>
    <row r="28" spans="1:10" ht="15.75" x14ac:dyDescent="0.25">
      <c r="A28" s="15" t="s">
        <v>43</v>
      </c>
      <c r="B28" s="162" t="s">
        <v>13</v>
      </c>
      <c r="C28" s="162">
        <v>51616744</v>
      </c>
      <c r="D28" s="163">
        <f>300/5</f>
        <v>60</v>
      </c>
      <c r="E28" s="162">
        <v>3600</v>
      </c>
      <c r="F28" s="31">
        <v>109.78489999999999</v>
      </c>
      <c r="G28" s="31">
        <v>109.78489999999999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62" t="s">
        <v>13</v>
      </c>
      <c r="C29" s="162">
        <v>51555226</v>
      </c>
      <c r="D29" s="163">
        <f>300/5</f>
        <v>60</v>
      </c>
      <c r="E29" s="162">
        <v>3600</v>
      </c>
      <c r="F29" s="31">
        <v>559.98130000000003</v>
      </c>
      <c r="G29" s="31">
        <v>563.42250000000001</v>
      </c>
      <c r="H29" s="18">
        <f>(G29-F29)*E29</f>
        <v>12388.319999999931</v>
      </c>
      <c r="I29" s="19"/>
      <c r="J29" s="20"/>
    </row>
    <row r="30" spans="1:10" ht="15.75" x14ac:dyDescent="0.25">
      <c r="A30" s="15" t="s">
        <v>45</v>
      </c>
      <c r="B30" s="162" t="s">
        <v>13</v>
      </c>
      <c r="C30" s="162">
        <v>51097658</v>
      </c>
      <c r="D30" s="163" t="s">
        <v>34</v>
      </c>
      <c r="E30" s="162">
        <v>4800</v>
      </c>
      <c r="F30" s="31">
        <v>707.9538</v>
      </c>
      <c r="G30" s="31">
        <v>711.04319999999996</v>
      </c>
      <c r="H30" s="18">
        <f t="shared" si="1"/>
        <v>14829.119999999784</v>
      </c>
      <c r="I30" s="19"/>
      <c r="J30" s="20"/>
    </row>
    <row r="31" spans="1:10" ht="15.75" x14ac:dyDescent="0.25">
      <c r="A31" s="15" t="s">
        <v>46</v>
      </c>
      <c r="B31" s="162" t="s">
        <v>13</v>
      </c>
      <c r="C31" s="162">
        <v>51097635</v>
      </c>
      <c r="D31" s="163" t="s">
        <v>34</v>
      </c>
      <c r="E31" s="162">
        <v>4800</v>
      </c>
      <c r="F31" s="31">
        <v>48.481900000000003</v>
      </c>
      <c r="G31" s="31">
        <v>48.484099999999998</v>
      </c>
      <c r="H31" s="18">
        <f t="shared" si="1"/>
        <v>10.559999999975389</v>
      </c>
      <c r="I31" s="19"/>
      <c r="J31" s="20"/>
    </row>
    <row r="32" spans="1:10" ht="15.75" x14ac:dyDescent="0.25">
      <c r="A32" s="15" t="s">
        <v>47</v>
      </c>
      <c r="B32" s="162" t="s">
        <v>13</v>
      </c>
      <c r="C32" s="32">
        <v>51097633</v>
      </c>
      <c r="D32" s="163" t="s">
        <v>34</v>
      </c>
      <c r="E32" s="162">
        <v>4800</v>
      </c>
      <c r="F32" s="31">
        <v>208.25389999999999</v>
      </c>
      <c r="G32" s="31">
        <v>210.49359999999999</v>
      </c>
      <c r="H32" s="33">
        <f t="shared" si="1"/>
        <v>10750.559999999996</v>
      </c>
      <c r="I32" s="34"/>
      <c r="J32" s="35"/>
    </row>
    <row r="33" spans="1:10" ht="15.75" x14ac:dyDescent="0.25">
      <c r="A33" s="15" t="s">
        <v>48</v>
      </c>
      <c r="B33" s="162" t="s">
        <v>13</v>
      </c>
      <c r="C33" s="32">
        <v>51097662</v>
      </c>
      <c r="D33" s="163" t="s">
        <v>34</v>
      </c>
      <c r="E33" s="162">
        <v>4800</v>
      </c>
      <c r="F33" s="31">
        <v>4.3247</v>
      </c>
      <c r="G33" s="31">
        <v>4.3522999999999996</v>
      </c>
      <c r="H33" s="33">
        <f t="shared" si="1"/>
        <v>132.4799999999982</v>
      </c>
      <c r="I33" s="34"/>
      <c r="J33" s="35"/>
    </row>
    <row r="34" spans="1:10" ht="15.75" x14ac:dyDescent="0.25">
      <c r="A34" s="218" t="s">
        <v>49</v>
      </c>
      <c r="B34" s="219"/>
      <c r="C34" s="162"/>
      <c r="D34" s="163"/>
      <c r="E34" s="162"/>
      <c r="F34" s="36"/>
      <c r="G34" s="36"/>
      <c r="H34" s="23">
        <f>H20+H21+H22+H23+H24+H25+H26+H27+H28+H29+H30+H31+H32+H33</f>
        <v>67467.419999999693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62" t="s">
        <v>52</v>
      </c>
      <c r="C36" s="162">
        <v>51555209</v>
      </c>
      <c r="D36" s="163" t="s">
        <v>53</v>
      </c>
      <c r="E36" s="162">
        <v>7000</v>
      </c>
      <c r="F36" s="17">
        <v>6.1692</v>
      </c>
      <c r="G36" s="17">
        <v>6.1835000000000004</v>
      </c>
      <c r="H36" s="41">
        <f>(G36-F36)*E36</f>
        <v>100.10000000000296</v>
      </c>
      <c r="I36" s="42"/>
      <c r="J36" s="14"/>
    </row>
    <row r="37" spans="1:10" ht="15.75" x14ac:dyDescent="0.25">
      <c r="A37" s="15" t="s">
        <v>54</v>
      </c>
      <c r="B37" s="162" t="s">
        <v>52</v>
      </c>
      <c r="C37" s="162">
        <v>51555209</v>
      </c>
      <c r="D37" s="163" t="s">
        <v>53</v>
      </c>
      <c r="E37" s="162">
        <v>7000</v>
      </c>
      <c r="F37" s="21">
        <v>10.8696</v>
      </c>
      <c r="G37" s="21">
        <v>10.9222</v>
      </c>
      <c r="H37" s="18">
        <f>(G37-F37)*E37</f>
        <v>368.19999999999987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62" t="s">
        <v>52</v>
      </c>
      <c r="C39" s="162">
        <v>51097674</v>
      </c>
      <c r="D39" s="162" t="s">
        <v>14</v>
      </c>
      <c r="E39" s="162">
        <v>7200</v>
      </c>
      <c r="F39" s="21">
        <v>625.42840000000001</v>
      </c>
      <c r="G39" s="21">
        <v>627.72619999999995</v>
      </c>
      <c r="H39" s="18">
        <f>(G39-F39)*E39</f>
        <v>16544.159999999556</v>
      </c>
      <c r="I39" s="47"/>
      <c r="J39" s="20"/>
    </row>
    <row r="40" spans="1:10" ht="15.75" x14ac:dyDescent="0.25">
      <c r="A40" s="27" t="s">
        <v>57</v>
      </c>
      <c r="B40" s="162" t="s">
        <v>52</v>
      </c>
      <c r="C40" s="162">
        <v>51259257</v>
      </c>
      <c r="D40" s="162" t="s">
        <v>14</v>
      </c>
      <c r="E40" s="162">
        <v>7200</v>
      </c>
      <c r="F40" s="21">
        <v>1.0555000000000001</v>
      </c>
      <c r="G40" s="21">
        <v>1.0555000000000001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62"/>
      <c r="C41" s="162"/>
      <c r="D41" s="162"/>
      <c r="E41" s="162"/>
      <c r="F41" s="21"/>
      <c r="G41" s="21"/>
      <c r="H41" s="48">
        <f>H39+H40</f>
        <v>16544.159999999556</v>
      </c>
      <c r="I41" s="24">
        <f>H41-H49</f>
        <v>-120.08000000082393</v>
      </c>
      <c r="J41" s="25">
        <f>I41/H41</f>
        <v>-7.2581503080740972E-3</v>
      </c>
    </row>
    <row r="42" spans="1:10" ht="15.75" x14ac:dyDescent="0.25">
      <c r="A42" s="15" t="s">
        <v>59</v>
      </c>
      <c r="B42" s="162"/>
      <c r="C42" s="162"/>
      <c r="D42" s="163"/>
      <c r="E42" s="162"/>
      <c r="H42" s="18"/>
      <c r="I42" s="43"/>
      <c r="J42" s="20"/>
    </row>
    <row r="43" spans="1:10" ht="15.75" x14ac:dyDescent="0.25">
      <c r="A43" s="27" t="s">
        <v>60</v>
      </c>
      <c r="B43" s="162" t="s">
        <v>52</v>
      </c>
      <c r="C43" s="32">
        <v>51097648</v>
      </c>
      <c r="D43" s="162" t="s">
        <v>53</v>
      </c>
      <c r="E43" s="162">
        <v>1200</v>
      </c>
      <c r="F43" s="21">
        <v>511.94760000000002</v>
      </c>
      <c r="G43" s="21">
        <v>513.80160000000001</v>
      </c>
      <c r="H43" s="33">
        <f>(G43-F43)*E43</f>
        <v>2224.799999999982</v>
      </c>
      <c r="I43" s="43"/>
      <c r="J43" s="20"/>
    </row>
    <row r="44" spans="1:10" ht="15.75" x14ac:dyDescent="0.25">
      <c r="A44" s="27" t="s">
        <v>61</v>
      </c>
      <c r="B44" s="162" t="s">
        <v>52</v>
      </c>
      <c r="C44" s="32">
        <v>50555043</v>
      </c>
      <c r="D44" s="162" t="s">
        <v>53</v>
      </c>
      <c r="E44" s="162">
        <v>1200</v>
      </c>
      <c r="F44" s="21">
        <v>2141.9603999999999</v>
      </c>
      <c r="G44" s="21">
        <v>2149.6417000000001</v>
      </c>
      <c r="H44" s="33">
        <f>(G44-F44)*E44</f>
        <v>9217.5600000002305</v>
      </c>
      <c r="I44" s="43"/>
      <c r="J44" s="20"/>
    </row>
    <row r="45" spans="1:10" ht="15.75" x14ac:dyDescent="0.25">
      <c r="A45" s="27" t="s">
        <v>62</v>
      </c>
      <c r="B45" s="162" t="s">
        <v>52</v>
      </c>
      <c r="C45" s="32">
        <v>51259336</v>
      </c>
      <c r="D45" s="162" t="s">
        <v>63</v>
      </c>
      <c r="E45" s="162">
        <v>2400</v>
      </c>
      <c r="F45" s="21">
        <v>4.3110999999999997</v>
      </c>
      <c r="G45" s="21">
        <v>4.3247</v>
      </c>
      <c r="H45" s="33">
        <f>(G45-F45)*E45</f>
        <v>32.640000000000668</v>
      </c>
      <c r="I45" s="43"/>
      <c r="J45" s="20"/>
    </row>
    <row r="46" spans="1:10" ht="15.75" x14ac:dyDescent="0.25">
      <c r="A46" s="27" t="s">
        <v>64</v>
      </c>
      <c r="B46" s="162" t="s">
        <v>52</v>
      </c>
      <c r="C46" s="32">
        <v>51259266</v>
      </c>
      <c r="D46" s="162" t="s">
        <v>53</v>
      </c>
      <c r="E46" s="162">
        <v>1200</v>
      </c>
      <c r="F46" s="21">
        <v>1038.7294999999999</v>
      </c>
      <c r="G46" s="21">
        <v>1042.6320000000001</v>
      </c>
      <c r="H46" s="33">
        <f>(G46-F46)*E46</f>
        <v>4683.0000000001746</v>
      </c>
      <c r="I46" s="43"/>
      <c r="J46" s="20"/>
    </row>
    <row r="47" spans="1:10" ht="15.75" x14ac:dyDescent="0.25">
      <c r="A47" s="27" t="s">
        <v>65</v>
      </c>
      <c r="B47" s="162" t="s">
        <v>52</v>
      </c>
      <c r="C47" s="32">
        <v>51431336</v>
      </c>
      <c r="D47" s="162" t="s">
        <v>53</v>
      </c>
      <c r="E47" s="162">
        <v>1200</v>
      </c>
      <c r="F47" s="21">
        <v>62.436100000000003</v>
      </c>
      <c r="G47" s="21">
        <v>62.816299999999998</v>
      </c>
      <c r="H47" s="33">
        <f>(G47-F47)*E47</f>
        <v>456.23999999999398</v>
      </c>
      <c r="I47" s="43"/>
      <c r="J47" s="20"/>
    </row>
    <row r="48" spans="1:10" ht="15.75" x14ac:dyDescent="0.25">
      <c r="A48" s="15" t="s">
        <v>66</v>
      </c>
      <c r="B48" s="162" t="s">
        <v>67</v>
      </c>
      <c r="C48" s="162">
        <v>49174</v>
      </c>
      <c r="D48" s="163" t="s">
        <v>53</v>
      </c>
      <c r="E48" s="162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16664.24000000038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62" t="s">
        <v>52</v>
      </c>
      <c r="C51" s="162">
        <v>51097603</v>
      </c>
      <c r="D51" s="163" t="s">
        <v>53</v>
      </c>
      <c r="E51" s="162">
        <v>7000</v>
      </c>
      <c r="F51" s="17">
        <v>2036.6973</v>
      </c>
      <c r="G51" s="17">
        <v>2043.2076999999999</v>
      </c>
      <c r="H51" s="18">
        <f>(G51-F51)*E51</f>
        <v>45572.799999999232</v>
      </c>
      <c r="I51" s="43"/>
      <c r="J51" s="20"/>
    </row>
    <row r="52" spans="1:10" ht="15.75" x14ac:dyDescent="0.25">
      <c r="A52" s="27" t="s">
        <v>72</v>
      </c>
      <c r="B52" s="162" t="s">
        <v>52</v>
      </c>
      <c r="C52" s="162">
        <v>51097590</v>
      </c>
      <c r="D52" s="163" t="s">
        <v>53</v>
      </c>
      <c r="E52" s="162">
        <v>7000</v>
      </c>
      <c r="F52" s="21">
        <v>12.968999999999999</v>
      </c>
      <c r="G52" s="21">
        <v>12.9924</v>
      </c>
      <c r="H52" s="18">
        <f>(G52-F52)*E52</f>
        <v>163.80000000000371</v>
      </c>
      <c r="I52" s="43"/>
      <c r="J52" s="20"/>
    </row>
    <row r="53" spans="1:10" ht="15.75" x14ac:dyDescent="0.25">
      <c r="A53" s="15" t="s">
        <v>66</v>
      </c>
      <c r="B53" s="162" t="s">
        <v>67</v>
      </c>
      <c r="C53" s="162">
        <v>49174</v>
      </c>
      <c r="D53" s="163" t="s">
        <v>53</v>
      </c>
      <c r="E53" s="162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62"/>
      <c r="D54" s="163"/>
      <c r="E54" s="162"/>
      <c r="F54" s="21"/>
      <c r="G54" s="21"/>
      <c r="H54" s="48">
        <f>H51+H52+H53</f>
        <v>45836.599999999235</v>
      </c>
      <c r="I54" s="47"/>
      <c r="J54" s="59"/>
    </row>
    <row r="55" spans="1:10" ht="15.75" x14ac:dyDescent="0.25">
      <c r="A55" s="27" t="s">
        <v>74</v>
      </c>
      <c r="B55" s="162" t="s">
        <v>52</v>
      </c>
      <c r="C55" s="162">
        <v>51100980</v>
      </c>
      <c r="D55" s="162" t="s">
        <v>75</v>
      </c>
      <c r="E55" s="162">
        <v>12000</v>
      </c>
      <c r="F55" s="21">
        <v>1198.1036999999999</v>
      </c>
      <c r="G55" s="21">
        <v>1201.9119000000001</v>
      </c>
      <c r="H55" s="18">
        <f>(G55-F55)*E55</f>
        <v>45698.400000002039</v>
      </c>
      <c r="I55" s="47"/>
      <c r="J55" s="58"/>
    </row>
    <row r="56" spans="1:10" ht="15.75" x14ac:dyDescent="0.25">
      <c r="A56" s="27" t="s">
        <v>76</v>
      </c>
      <c r="B56" s="162" t="s">
        <v>52</v>
      </c>
      <c r="C56" s="162">
        <v>51097623</v>
      </c>
      <c r="D56" s="162" t="s">
        <v>75</v>
      </c>
      <c r="E56" s="162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62"/>
      <c r="C57" s="162"/>
      <c r="D57" s="162"/>
      <c r="E57" s="162"/>
      <c r="F57" s="21"/>
      <c r="G57" s="21"/>
      <c r="H57" s="48">
        <f>H55+H56</f>
        <v>45698.400000002039</v>
      </c>
      <c r="I57" s="61">
        <f>H54-H64-H53</f>
        <v>-74.36000000074273</v>
      </c>
      <c r="J57" s="25">
        <f>I57/H57</f>
        <v>-1.627190448697097E-3</v>
      </c>
    </row>
    <row r="58" spans="1:10" ht="15.75" x14ac:dyDescent="0.25">
      <c r="A58" s="27" t="s">
        <v>78</v>
      </c>
      <c r="B58" s="162" t="s">
        <v>52</v>
      </c>
      <c r="C58" s="162">
        <v>51097675</v>
      </c>
      <c r="D58" s="162" t="s">
        <v>34</v>
      </c>
      <c r="E58" s="162">
        <v>4800</v>
      </c>
      <c r="F58" s="21">
        <v>553.05880000000002</v>
      </c>
      <c r="G58" s="21">
        <v>555.60490000000004</v>
      </c>
      <c r="H58" s="18">
        <f t="shared" ref="H58:H63" si="2">(G58-F58)*E58</f>
        <v>12221.280000000115</v>
      </c>
      <c r="I58" s="62"/>
      <c r="J58" s="59"/>
    </row>
    <row r="59" spans="1:10" ht="15.75" x14ac:dyDescent="0.25">
      <c r="A59" s="27" t="s">
        <v>79</v>
      </c>
      <c r="B59" s="162" t="s">
        <v>52</v>
      </c>
      <c r="C59" s="162">
        <v>51100997</v>
      </c>
      <c r="D59" s="162" t="s">
        <v>21</v>
      </c>
      <c r="E59" s="162">
        <v>3600</v>
      </c>
      <c r="F59" s="21">
        <v>1417.6948</v>
      </c>
      <c r="G59" s="21">
        <v>1420.3878</v>
      </c>
      <c r="H59" s="18">
        <f t="shared" si="2"/>
        <v>9694.7999999999411</v>
      </c>
      <c r="I59" s="62"/>
      <c r="J59" s="59"/>
    </row>
    <row r="60" spans="1:10" ht="15.75" x14ac:dyDescent="0.25">
      <c r="A60" s="27" t="s">
        <v>80</v>
      </c>
      <c r="B60" s="162" t="s">
        <v>52</v>
      </c>
      <c r="C60" s="162">
        <v>51555218</v>
      </c>
      <c r="D60" s="162">
        <f>400/5</f>
        <v>80</v>
      </c>
      <c r="E60" s="162">
        <v>4800</v>
      </c>
      <c r="F60" s="21">
        <v>71.383099999999999</v>
      </c>
      <c r="G60" s="21">
        <v>71.783000000000001</v>
      </c>
      <c r="H60" s="18">
        <f t="shared" si="2"/>
        <v>1919.5200000000114</v>
      </c>
      <c r="I60" s="62"/>
      <c r="J60" s="59"/>
    </row>
    <row r="61" spans="1:10" ht="15.75" x14ac:dyDescent="0.25">
      <c r="A61" s="27" t="s">
        <v>81</v>
      </c>
      <c r="B61" s="162" t="s">
        <v>52</v>
      </c>
      <c r="C61" s="162">
        <v>51555151</v>
      </c>
      <c r="D61" s="162">
        <f>400/5</f>
        <v>80</v>
      </c>
      <c r="E61" s="162">
        <v>4800</v>
      </c>
      <c r="F61" s="63">
        <v>0.30690000000000001</v>
      </c>
      <c r="G61" s="63">
        <v>0.30690000000000001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62" t="s">
        <v>52</v>
      </c>
      <c r="C62" s="162">
        <v>51097599</v>
      </c>
      <c r="D62" s="162" t="s">
        <v>21</v>
      </c>
      <c r="E62" s="162">
        <v>3600</v>
      </c>
      <c r="F62" s="21">
        <v>997.47400000000005</v>
      </c>
      <c r="G62" s="21">
        <v>999.87559999999996</v>
      </c>
      <c r="H62" s="18">
        <f t="shared" si="2"/>
        <v>8645.7599999997001</v>
      </c>
      <c r="I62" s="62"/>
      <c r="J62" s="59"/>
    </row>
    <row r="63" spans="1:10" ht="15.75" x14ac:dyDescent="0.25">
      <c r="A63" s="27" t="s">
        <v>83</v>
      </c>
      <c r="B63" s="162" t="s">
        <v>52</v>
      </c>
      <c r="C63" s="162">
        <v>51097620</v>
      </c>
      <c r="D63" s="162" t="s">
        <v>34</v>
      </c>
      <c r="E63" s="162">
        <v>4800</v>
      </c>
      <c r="F63" s="21">
        <v>549.24860000000001</v>
      </c>
      <c r="G63" s="21">
        <v>552.02560000000005</v>
      </c>
      <c r="H63" s="18">
        <f t="shared" si="2"/>
        <v>13329.60000000021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45810.959999999977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62" t="s">
        <v>52</v>
      </c>
      <c r="C66" s="9">
        <v>51259238</v>
      </c>
      <c r="D66" s="74" t="s">
        <v>53</v>
      </c>
      <c r="E66" s="74">
        <v>7000</v>
      </c>
      <c r="F66" s="75">
        <v>595.49419999999998</v>
      </c>
      <c r="G66" s="75">
        <v>597.91690000000006</v>
      </c>
      <c r="H66" s="76">
        <f>(G66-F66)*E66</f>
        <v>16958.90000000054</v>
      </c>
      <c r="I66" s="77"/>
      <c r="J66" s="78"/>
    </row>
    <row r="67" spans="1:10" ht="15.75" x14ac:dyDescent="0.25">
      <c r="A67" s="27" t="s">
        <v>86</v>
      </c>
      <c r="B67" s="162" t="s">
        <v>52</v>
      </c>
      <c r="C67" s="162">
        <v>51259324</v>
      </c>
      <c r="D67" s="163" t="s">
        <v>53</v>
      </c>
      <c r="E67" s="163">
        <v>7000</v>
      </c>
      <c r="F67" s="21">
        <v>460.12110000000001</v>
      </c>
      <c r="G67" s="21">
        <v>462.08609999999999</v>
      </c>
      <c r="H67" s="18">
        <f>(G67-F67)*E67</f>
        <v>13754.999999999825</v>
      </c>
      <c r="I67" s="51"/>
      <c r="J67" s="58"/>
    </row>
    <row r="68" spans="1:10" s="129" customFormat="1" ht="15.75" x14ac:dyDescent="0.25">
      <c r="A68" s="27" t="s">
        <v>87</v>
      </c>
      <c r="B68" s="79" t="s">
        <v>88</v>
      </c>
      <c r="C68" s="162">
        <v>51491618</v>
      </c>
      <c r="D68" s="163" t="s">
        <v>63</v>
      </c>
      <c r="E68" s="162">
        <v>40</v>
      </c>
      <c r="F68" s="28">
        <v>1385.308</v>
      </c>
      <c r="G68" s="28">
        <v>1392.191</v>
      </c>
      <c r="H68" s="18">
        <f>(G68-F68)*E68</f>
        <v>275.32000000000153</v>
      </c>
      <c r="I68" s="51"/>
      <c r="J68" s="58"/>
    </row>
    <row r="69" spans="1:10" s="129" customFormat="1" ht="15.75" x14ac:dyDescent="0.25">
      <c r="A69" s="27" t="s">
        <v>89</v>
      </c>
      <c r="B69" s="79" t="s">
        <v>88</v>
      </c>
      <c r="C69" s="162">
        <v>51491624</v>
      </c>
      <c r="D69" s="163" t="s">
        <v>63</v>
      </c>
      <c r="E69" s="162">
        <v>40</v>
      </c>
      <c r="F69" s="28">
        <v>183.482</v>
      </c>
      <c r="G69" s="28">
        <v>184.17349999999999</v>
      </c>
      <c r="H69" s="18">
        <f>(G69-F69)*E69</f>
        <v>27.659999999999627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30713.900000000365</v>
      </c>
      <c r="I70" s="85">
        <f>H70-H73-H68-H69</f>
        <v>-816.67999999912149</v>
      </c>
      <c r="J70" s="25">
        <f>I70/H70</f>
        <v>-2.6589915315186667E-2</v>
      </c>
    </row>
    <row r="71" spans="1:10" ht="15.75" x14ac:dyDescent="0.25">
      <c r="A71" s="27" t="s">
        <v>91</v>
      </c>
      <c r="B71" s="162" t="s">
        <v>52</v>
      </c>
      <c r="C71" s="86">
        <v>51097588</v>
      </c>
      <c r="D71" s="163" t="s">
        <v>75</v>
      </c>
      <c r="E71" s="162">
        <v>12000</v>
      </c>
      <c r="F71" s="21">
        <v>355.8399</v>
      </c>
      <c r="G71" s="21">
        <v>357.22609999999997</v>
      </c>
      <c r="H71" s="18">
        <f>(G71-F71)*E71</f>
        <v>16634.399999999689</v>
      </c>
      <c r="I71" s="51"/>
      <c r="J71" s="58"/>
    </row>
    <row r="72" spans="1:10" ht="15.75" x14ac:dyDescent="0.25">
      <c r="A72" s="27" t="s">
        <v>92</v>
      </c>
      <c r="B72" s="162" t="s">
        <v>52</v>
      </c>
      <c r="C72" s="86">
        <v>51431335</v>
      </c>
      <c r="D72" s="163" t="s">
        <v>75</v>
      </c>
      <c r="E72" s="162">
        <v>12000</v>
      </c>
      <c r="F72" s="21">
        <v>280.6123</v>
      </c>
      <c r="G72" s="21">
        <v>281.82839999999999</v>
      </c>
      <c r="H72" s="18">
        <f>(G72-F72)*E72</f>
        <v>14593.199999999797</v>
      </c>
      <c r="I72" s="51"/>
      <c r="J72" s="58"/>
    </row>
    <row r="73" spans="1:10" ht="15.75" x14ac:dyDescent="0.25">
      <c r="A73" s="87" t="s">
        <v>93</v>
      </c>
      <c r="B73" s="162" t="s">
        <v>27</v>
      </c>
      <c r="C73" s="162"/>
      <c r="D73" s="163"/>
      <c r="E73" s="162"/>
      <c r="F73" s="21"/>
      <c r="G73" s="21"/>
      <c r="H73" s="48">
        <f>H71+ H72</f>
        <v>31227.599999999486</v>
      </c>
      <c r="I73" s="85">
        <f>H73-H81</f>
        <v>-45.060000000605214</v>
      </c>
      <c r="J73" s="25">
        <f>I73/H73</f>
        <v>-1.442954309668561E-3</v>
      </c>
    </row>
    <row r="74" spans="1:10" ht="15.75" x14ac:dyDescent="0.25">
      <c r="A74" s="27" t="s">
        <v>94</v>
      </c>
      <c r="B74" s="162" t="s">
        <v>52</v>
      </c>
      <c r="C74" s="86">
        <v>51097676</v>
      </c>
      <c r="D74" s="88" t="s">
        <v>63</v>
      </c>
      <c r="E74" s="162">
        <v>2400</v>
      </c>
      <c r="F74" s="21">
        <v>745.95140000000004</v>
      </c>
      <c r="G74" s="21">
        <v>748.85289999999998</v>
      </c>
      <c r="H74" s="18">
        <f>(G74-F74)*E74</f>
        <v>6963.5999999998603</v>
      </c>
      <c r="I74" s="51"/>
      <c r="J74" s="58"/>
    </row>
    <row r="75" spans="1:10" ht="15.75" x14ac:dyDescent="0.25">
      <c r="A75" s="27" t="s">
        <v>95</v>
      </c>
      <c r="B75" s="162" t="s">
        <v>52</v>
      </c>
      <c r="C75" s="86">
        <v>51431355</v>
      </c>
      <c r="D75" s="163" t="s">
        <v>21</v>
      </c>
      <c r="E75" s="163">
        <v>3600</v>
      </c>
      <c r="F75" s="21">
        <v>384.51119999999997</v>
      </c>
      <c r="G75" s="21">
        <v>385.85640000000001</v>
      </c>
      <c r="H75" s="18">
        <f>(G75-F75)*E75</f>
        <v>4842.7200000001221</v>
      </c>
      <c r="I75" s="51"/>
      <c r="J75" s="52"/>
    </row>
    <row r="76" spans="1:10" ht="15.75" x14ac:dyDescent="0.25">
      <c r="A76" s="27" t="s">
        <v>96</v>
      </c>
      <c r="B76" s="162" t="s">
        <v>52</v>
      </c>
      <c r="C76" s="86">
        <v>51259331</v>
      </c>
      <c r="D76" s="88" t="s">
        <v>37</v>
      </c>
      <c r="E76" s="162">
        <v>600</v>
      </c>
      <c r="F76" s="21">
        <v>176.94</v>
      </c>
      <c r="G76" s="21">
        <v>177.7243</v>
      </c>
      <c r="H76" s="18">
        <f>(G76-F76)*E76</f>
        <v>470.58000000000106</v>
      </c>
      <c r="I76" s="51"/>
      <c r="J76" s="52"/>
    </row>
    <row r="77" spans="1:10" ht="15.75" x14ac:dyDescent="0.25">
      <c r="A77" s="27" t="s">
        <v>97</v>
      </c>
      <c r="B77" s="162" t="s">
        <v>52</v>
      </c>
      <c r="C77" s="86">
        <v>51259326</v>
      </c>
      <c r="D77" s="88" t="s">
        <v>14</v>
      </c>
      <c r="E77" s="162">
        <v>7200</v>
      </c>
      <c r="F77" s="21">
        <v>351.51409999999998</v>
      </c>
      <c r="G77" s="21">
        <v>352.86250000000001</v>
      </c>
      <c r="H77" s="18">
        <f>(G77-F77)*E77</f>
        <v>9708.4800000001906</v>
      </c>
      <c r="I77" s="51"/>
      <c r="J77" s="52"/>
    </row>
    <row r="78" spans="1:10" ht="15.75" x14ac:dyDescent="0.25">
      <c r="A78" s="27" t="s">
        <v>98</v>
      </c>
      <c r="B78" s="162" t="s">
        <v>52</v>
      </c>
      <c r="C78" s="86">
        <v>51431351</v>
      </c>
      <c r="D78" s="88" t="s">
        <v>14</v>
      </c>
      <c r="E78" s="162">
        <v>7200</v>
      </c>
      <c r="F78" s="21">
        <v>255.59280000000001</v>
      </c>
      <c r="G78" s="21">
        <v>256.8827</v>
      </c>
      <c r="H78" s="18">
        <f>(G78-F78)*E78</f>
        <v>9287.2799999999188</v>
      </c>
      <c r="I78" s="51"/>
      <c r="J78" s="52"/>
    </row>
    <row r="79" spans="1:10" ht="15.75" x14ac:dyDescent="0.25">
      <c r="A79" s="89" t="s">
        <v>99</v>
      </c>
      <c r="B79" s="162" t="s">
        <v>52</v>
      </c>
      <c r="C79" s="90">
        <v>51097666</v>
      </c>
      <c r="D79" s="88" t="s">
        <v>63</v>
      </c>
      <c r="E79" s="162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62" t="s">
        <v>52</v>
      </c>
      <c r="C80" s="90">
        <v>51259323</v>
      </c>
      <c r="D80" s="88" t="s">
        <v>63</v>
      </c>
      <c r="E80" s="162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31272.660000000091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62" t="s">
        <v>52</v>
      </c>
      <c r="C83" s="106">
        <v>51431297</v>
      </c>
      <c r="D83" s="163" t="s">
        <v>53</v>
      </c>
      <c r="E83" s="100">
        <v>7000</v>
      </c>
      <c r="F83" s="17">
        <v>314.10849999999999</v>
      </c>
      <c r="G83" s="17">
        <v>316.56720000000001</v>
      </c>
      <c r="H83" s="18">
        <f>(G83-F83)*E83</f>
        <v>17210.900000000151</v>
      </c>
      <c r="I83" s="107"/>
      <c r="J83" s="108"/>
    </row>
    <row r="84" spans="1:10" ht="15.75" x14ac:dyDescent="0.25">
      <c r="A84" s="105" t="s">
        <v>86</v>
      </c>
      <c r="B84" s="162" t="s">
        <v>52</v>
      </c>
      <c r="C84" s="106">
        <v>51431332</v>
      </c>
      <c r="D84" s="163" t="s">
        <v>53</v>
      </c>
      <c r="E84" s="100">
        <v>7000</v>
      </c>
      <c r="F84" s="17">
        <v>359.3562</v>
      </c>
      <c r="G84" s="17">
        <v>359.4776</v>
      </c>
      <c r="H84" s="18">
        <f>(G84-F84)*E84</f>
        <v>849.79999999995925</v>
      </c>
      <c r="I84" s="162"/>
      <c r="J84" s="58"/>
    </row>
    <row r="85" spans="1:10" s="129" customFormat="1" ht="15.75" x14ac:dyDescent="0.25">
      <c r="A85" s="27" t="s">
        <v>87</v>
      </c>
      <c r="B85" s="162" t="s">
        <v>103</v>
      </c>
      <c r="C85" s="109">
        <v>150773</v>
      </c>
      <c r="D85" s="163" t="s">
        <v>53</v>
      </c>
      <c r="E85" s="109">
        <v>20</v>
      </c>
      <c r="F85" s="17">
        <v>15740.2</v>
      </c>
      <c r="G85" s="17">
        <v>15746.7</v>
      </c>
      <c r="H85" s="18">
        <f>(G85-F85)*E85</f>
        <v>130</v>
      </c>
      <c r="I85" s="51"/>
      <c r="J85" s="58"/>
    </row>
    <row r="86" spans="1:10" s="129" customFormat="1" ht="15.75" x14ac:dyDescent="0.25">
      <c r="A86" s="27" t="s">
        <v>89</v>
      </c>
      <c r="B86" s="162" t="s">
        <v>103</v>
      </c>
      <c r="C86" s="109">
        <v>150791</v>
      </c>
      <c r="D86" s="163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64"/>
      <c r="C87" s="32"/>
      <c r="D87" s="82"/>
      <c r="E87" s="82"/>
      <c r="F87" s="21"/>
      <c r="G87" s="21"/>
      <c r="H87" s="48">
        <f>H83+H84</f>
        <v>18060.70000000011</v>
      </c>
      <c r="I87" s="85">
        <f>H87-H90-H85-H86</f>
        <v>377.09999999992215</v>
      </c>
      <c r="J87" s="25">
        <f>I87/H87</f>
        <v>2.0879589384681648E-2</v>
      </c>
    </row>
    <row r="88" spans="1:10" ht="15.75" x14ac:dyDescent="0.25">
      <c r="A88" s="27" t="s">
        <v>104</v>
      </c>
      <c r="B88" s="162" t="s">
        <v>52</v>
      </c>
      <c r="C88" s="106">
        <v>51431342</v>
      </c>
      <c r="D88" s="88" t="s">
        <v>34</v>
      </c>
      <c r="E88" s="162">
        <v>4800</v>
      </c>
      <c r="F88" s="21">
        <v>446.71269999999998</v>
      </c>
      <c r="G88" s="21">
        <v>450.25510000000003</v>
      </c>
      <c r="H88" s="18">
        <f>(G88-F88)*E88</f>
        <v>17003.520000000208</v>
      </c>
      <c r="I88" s="51"/>
      <c r="J88" s="52"/>
    </row>
    <row r="89" spans="1:10" ht="15.75" x14ac:dyDescent="0.25">
      <c r="A89" s="27" t="s">
        <v>105</v>
      </c>
      <c r="B89" s="162" t="s">
        <v>52</v>
      </c>
      <c r="C89" s="106">
        <v>51431343</v>
      </c>
      <c r="D89" s="88" t="s">
        <v>34</v>
      </c>
      <c r="E89" s="162">
        <v>4800</v>
      </c>
      <c r="F89" s="21">
        <v>506.99860000000001</v>
      </c>
      <c r="G89" s="21">
        <v>507.11320000000001</v>
      </c>
      <c r="H89" s="18">
        <f>(G89-F89)*E89</f>
        <v>550.07999999997992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17553.600000000188</v>
      </c>
      <c r="I90" s="85">
        <f>H90-H98</f>
        <v>-81.279999999824213</v>
      </c>
      <c r="J90" s="25">
        <f>I90/H90</f>
        <v>-4.6303892079017032E-3</v>
      </c>
    </row>
    <row r="91" spans="1:10" ht="15.75" x14ac:dyDescent="0.25">
      <c r="A91" s="27" t="s">
        <v>107</v>
      </c>
      <c r="B91" s="162" t="s">
        <v>52</v>
      </c>
      <c r="C91" s="106">
        <v>51431347</v>
      </c>
      <c r="D91" s="163" t="s">
        <v>53</v>
      </c>
      <c r="E91" s="162">
        <v>1200</v>
      </c>
      <c r="F91" s="21">
        <v>1202.1474000000001</v>
      </c>
      <c r="G91" s="21">
        <v>1202.1474000000001</v>
      </c>
      <c r="H91" s="18">
        <f>(G91-F91)*E91</f>
        <v>0</v>
      </c>
      <c r="I91" s="51"/>
      <c r="J91" s="52"/>
    </row>
    <row r="92" spans="1:10" ht="15.75" x14ac:dyDescent="0.25">
      <c r="A92" s="27" t="s">
        <v>108</v>
      </c>
      <c r="B92" s="162" t="s">
        <v>52</v>
      </c>
      <c r="C92" s="106">
        <v>51431339</v>
      </c>
      <c r="D92" s="163" t="s">
        <v>53</v>
      </c>
      <c r="E92" s="162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62" t="s">
        <v>52</v>
      </c>
      <c r="C93" s="106">
        <v>51217244</v>
      </c>
      <c r="D93" s="162" t="s">
        <v>37</v>
      </c>
      <c r="E93" s="162">
        <v>600</v>
      </c>
      <c r="F93" s="30">
        <v>346.07850000000002</v>
      </c>
      <c r="G93" s="30">
        <v>346.88440000000003</v>
      </c>
      <c r="H93" s="18">
        <f t="shared" si="4"/>
        <v>483.54000000000497</v>
      </c>
      <c r="I93" s="51"/>
      <c r="J93" s="52"/>
    </row>
    <row r="94" spans="1:10" ht="15.75" x14ac:dyDescent="0.25">
      <c r="A94" s="27" t="s">
        <v>110</v>
      </c>
      <c r="B94" s="162" t="s">
        <v>52</v>
      </c>
      <c r="C94" s="106">
        <v>51217267</v>
      </c>
      <c r="D94" s="88" t="s">
        <v>63</v>
      </c>
      <c r="E94" s="162">
        <v>2400</v>
      </c>
      <c r="F94" s="30">
        <v>20.718299999999999</v>
      </c>
      <c r="G94" s="30">
        <v>20.748200000000001</v>
      </c>
      <c r="H94" s="18">
        <f t="shared" si="4"/>
        <v>71.760000000003288</v>
      </c>
      <c r="I94" s="51"/>
      <c r="J94" s="52"/>
    </row>
    <row r="95" spans="1:10" ht="15.75" x14ac:dyDescent="0.25">
      <c r="A95" s="27" t="s">
        <v>111</v>
      </c>
      <c r="B95" s="162" t="s">
        <v>52</v>
      </c>
      <c r="C95" s="162">
        <v>51555165</v>
      </c>
      <c r="D95" s="163" t="s">
        <v>53</v>
      </c>
      <c r="E95" s="162">
        <v>1200</v>
      </c>
      <c r="F95" s="30">
        <v>960.95360000000005</v>
      </c>
      <c r="G95" s="30">
        <v>969.60810000000004</v>
      </c>
      <c r="H95" s="18">
        <f t="shared" si="4"/>
        <v>10385.399999999981</v>
      </c>
      <c r="I95" s="51" t="s">
        <v>27</v>
      </c>
      <c r="J95" s="52"/>
    </row>
    <row r="96" spans="1:10" ht="15.75" x14ac:dyDescent="0.25">
      <c r="A96" s="113" t="s">
        <v>112</v>
      </c>
      <c r="B96" s="162" t="s">
        <v>52</v>
      </c>
      <c r="C96" s="106">
        <v>51431346</v>
      </c>
      <c r="D96" s="114" t="s">
        <v>37</v>
      </c>
      <c r="E96" s="114">
        <v>600</v>
      </c>
      <c r="F96" s="30">
        <v>378.21280000000002</v>
      </c>
      <c r="G96" s="30">
        <v>380.35770000000002</v>
      </c>
      <c r="H96" s="115">
        <f t="shared" si="4"/>
        <v>1286.9400000000041</v>
      </c>
      <c r="I96" s="116"/>
      <c r="J96" s="117"/>
    </row>
    <row r="97" spans="1:10" ht="15.75" x14ac:dyDescent="0.25">
      <c r="A97" s="27" t="s">
        <v>113</v>
      </c>
      <c r="B97" s="162" t="s">
        <v>52</v>
      </c>
      <c r="C97" s="106">
        <v>51431352</v>
      </c>
      <c r="D97" s="88" t="s">
        <v>21</v>
      </c>
      <c r="E97" s="162">
        <v>3600</v>
      </c>
      <c r="F97" s="21">
        <v>252.4563</v>
      </c>
      <c r="G97" s="21">
        <v>253.9222</v>
      </c>
      <c r="H97" s="18">
        <f t="shared" si="4"/>
        <v>5277.240000000018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17634.880000000012</v>
      </c>
      <c r="I98" s="51"/>
      <c r="J98" s="52"/>
    </row>
    <row r="99" spans="1:10" ht="15.75" x14ac:dyDescent="0.25">
      <c r="A99" s="45" t="s">
        <v>114</v>
      </c>
      <c r="B99" s="162" t="s">
        <v>52</v>
      </c>
      <c r="C99" s="120">
        <v>51431357</v>
      </c>
      <c r="D99" s="163" t="s">
        <v>63</v>
      </c>
      <c r="E99" s="163">
        <v>14000</v>
      </c>
      <c r="F99" s="28">
        <v>878.75739999999996</v>
      </c>
      <c r="G99" s="28">
        <v>882.00639999999999</v>
      </c>
      <c r="H99" s="121">
        <f t="shared" si="4"/>
        <v>45486.000000000335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>
      <selection activeCell="D18" sqref="D18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129</v>
      </c>
      <c r="G2" s="4" t="s">
        <v>130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65" t="s">
        <v>13</v>
      </c>
      <c r="C4" s="165">
        <v>51555166</v>
      </c>
      <c r="D4" s="165" t="s">
        <v>14</v>
      </c>
      <c r="E4" s="165">
        <v>132000</v>
      </c>
      <c r="F4" s="17">
        <v>6.9949000000000003</v>
      </c>
      <c r="G4" s="17">
        <v>7.0033000000000003</v>
      </c>
      <c r="H4" s="18">
        <f>(G4-F4)*E4</f>
        <v>1108.7999999999952</v>
      </c>
      <c r="I4" s="19"/>
      <c r="J4" s="20"/>
    </row>
    <row r="5" spans="1:10" ht="15.75" x14ac:dyDescent="0.25">
      <c r="A5" s="15" t="s">
        <v>15</v>
      </c>
      <c r="B5" s="165" t="s">
        <v>13</v>
      </c>
      <c r="C5" s="165">
        <v>51555191</v>
      </c>
      <c r="D5" s="165" t="s">
        <v>14</v>
      </c>
      <c r="E5" s="165">
        <v>132000</v>
      </c>
      <c r="F5" s="21">
        <v>396.9631</v>
      </c>
      <c r="G5" s="21">
        <v>398.86259999999999</v>
      </c>
      <c r="H5" s="18">
        <f>(G5-F5)*E5</f>
        <v>250733.99999999854</v>
      </c>
      <c r="I5" s="19"/>
      <c r="J5" s="20"/>
    </row>
    <row r="6" spans="1:10" ht="15.75" x14ac:dyDescent="0.25">
      <c r="A6" s="218" t="s">
        <v>16</v>
      </c>
      <c r="B6" s="219"/>
      <c r="C6" s="165"/>
      <c r="D6" s="166"/>
      <c r="E6" s="165"/>
      <c r="H6" s="23">
        <f>H4+H5</f>
        <v>251842.79999999853</v>
      </c>
      <c r="I6" s="24">
        <f>H6-H9-H19</f>
        <v>2070.5999999946798</v>
      </c>
      <c r="J6" s="25">
        <f>I6/H6</f>
        <v>8.22179550098193E-3</v>
      </c>
    </row>
    <row r="7" spans="1:10" ht="15.75" x14ac:dyDescent="0.25">
      <c r="A7" s="26" t="s">
        <v>17</v>
      </c>
      <c r="B7" s="165" t="s">
        <v>13</v>
      </c>
      <c r="C7" s="165">
        <v>51097629</v>
      </c>
      <c r="D7" s="166" t="s">
        <v>14</v>
      </c>
      <c r="E7" s="165">
        <v>42000</v>
      </c>
      <c r="F7" s="21">
        <v>1159.6587</v>
      </c>
      <c r="G7" s="21">
        <v>1163.9716000000001</v>
      </c>
      <c r="H7" s="18">
        <f>(G7-F7)*E7</f>
        <v>181141.80000000534</v>
      </c>
      <c r="I7" s="19"/>
      <c r="J7" s="20"/>
    </row>
    <row r="8" spans="1:10" ht="15.75" x14ac:dyDescent="0.25">
      <c r="A8" s="26" t="s">
        <v>18</v>
      </c>
      <c r="B8" s="165" t="s">
        <v>13</v>
      </c>
      <c r="C8" s="165">
        <v>51616820</v>
      </c>
      <c r="D8" s="166" t="s">
        <v>14</v>
      </c>
      <c r="E8" s="165">
        <v>42000</v>
      </c>
      <c r="F8" s="21">
        <v>15.379799999999999</v>
      </c>
      <c r="G8" s="21">
        <v>15.3924</v>
      </c>
      <c r="H8" s="18">
        <f>(G8-F8)*E8</f>
        <v>529.20000000003495</v>
      </c>
      <c r="I8" s="19"/>
      <c r="J8" s="20"/>
    </row>
    <row r="9" spans="1:10" ht="15.75" x14ac:dyDescent="0.25">
      <c r="A9" s="218" t="s">
        <v>19</v>
      </c>
      <c r="B9" s="219"/>
      <c r="C9" s="165"/>
      <c r="D9" s="166"/>
      <c r="E9" s="165"/>
      <c r="F9" s="21"/>
      <c r="G9" s="21"/>
      <c r="H9" s="23">
        <f>H7+H8</f>
        <v>181671.00000000538</v>
      </c>
      <c r="I9" s="24">
        <f>H9-H16</f>
        <v>100.80000000662403</v>
      </c>
      <c r="J9" s="25">
        <f>I9/H9</f>
        <v>5.5484915042368376E-4</v>
      </c>
    </row>
    <row r="10" spans="1:10" ht="15.75" x14ac:dyDescent="0.25">
      <c r="A10" s="27" t="s">
        <v>20</v>
      </c>
      <c r="B10" s="165" t="s">
        <v>13</v>
      </c>
      <c r="C10" s="165">
        <v>51217286</v>
      </c>
      <c r="D10" s="166" t="s">
        <v>21</v>
      </c>
      <c r="E10" s="165">
        <v>21000</v>
      </c>
      <c r="F10" s="21">
        <v>915.47310000000004</v>
      </c>
      <c r="G10" s="21">
        <v>918.50990000000002</v>
      </c>
      <c r="H10" s="18">
        <f t="shared" ref="H10:H15" si="0">(G10-F10)*E10</f>
        <v>63772.799999999392</v>
      </c>
      <c r="I10" s="19"/>
      <c r="J10" s="20"/>
    </row>
    <row r="11" spans="1:10" ht="15.75" x14ac:dyDescent="0.25">
      <c r="A11" s="27" t="s">
        <v>22</v>
      </c>
      <c r="B11" s="165" t="s">
        <v>13</v>
      </c>
      <c r="C11" s="165">
        <v>51217292</v>
      </c>
      <c r="D11" s="166" t="s">
        <v>21</v>
      </c>
      <c r="E11" s="165">
        <v>21000</v>
      </c>
      <c r="F11" s="28">
        <v>3.9561000000000002</v>
      </c>
      <c r="G11" s="28">
        <v>3.9620000000000002</v>
      </c>
      <c r="H11" s="18">
        <f>(G11-F11)*E11</f>
        <v>123.90000000000035</v>
      </c>
      <c r="I11" s="19"/>
      <c r="J11" s="20"/>
    </row>
    <row r="12" spans="1:10" ht="15.75" x14ac:dyDescent="0.25">
      <c r="A12" s="27" t="s">
        <v>23</v>
      </c>
      <c r="B12" s="165" t="s">
        <v>13</v>
      </c>
      <c r="C12" s="165">
        <v>51217271</v>
      </c>
      <c r="D12" s="166" t="s">
        <v>21</v>
      </c>
      <c r="E12" s="165">
        <v>21000</v>
      </c>
      <c r="F12" s="21">
        <v>686.74480000000005</v>
      </c>
      <c r="G12" s="21">
        <v>689.46519999999998</v>
      </c>
      <c r="H12" s="18">
        <f t="shared" si="0"/>
        <v>57128.399999998466</v>
      </c>
      <c r="I12" s="19"/>
      <c r="J12" s="20"/>
    </row>
    <row r="13" spans="1:10" ht="15.75" x14ac:dyDescent="0.25">
      <c r="A13" s="27" t="s">
        <v>24</v>
      </c>
      <c r="B13" s="165" t="s">
        <v>13</v>
      </c>
      <c r="C13" s="165">
        <v>51217276</v>
      </c>
      <c r="D13" s="166" t="s">
        <v>21</v>
      </c>
      <c r="E13" s="165">
        <v>21000</v>
      </c>
      <c r="F13" s="28">
        <v>0.60029999999999994</v>
      </c>
      <c r="G13" s="28">
        <v>0.60350000000000004</v>
      </c>
      <c r="H13" s="18">
        <f>(G13-F13)*E13</f>
        <v>67.200000000001921</v>
      </c>
      <c r="I13" s="19"/>
      <c r="J13" s="20"/>
    </row>
    <row r="14" spans="1:10" ht="15.75" x14ac:dyDescent="0.25">
      <c r="A14" s="27" t="s">
        <v>25</v>
      </c>
      <c r="B14" s="165" t="s">
        <v>13</v>
      </c>
      <c r="C14" s="165">
        <v>51100990</v>
      </c>
      <c r="D14" s="166" t="s">
        <v>21</v>
      </c>
      <c r="E14" s="165">
        <v>21000</v>
      </c>
      <c r="F14" s="29">
        <v>736.45849999999996</v>
      </c>
      <c r="G14" s="29">
        <v>739.3297</v>
      </c>
      <c r="H14" s="18">
        <f t="shared" si="0"/>
        <v>60295.200000000928</v>
      </c>
      <c r="I14" s="19"/>
      <c r="J14" s="20"/>
    </row>
    <row r="15" spans="1:10" ht="15.75" x14ac:dyDescent="0.25">
      <c r="A15" s="27" t="s">
        <v>26</v>
      </c>
      <c r="B15" s="165" t="s">
        <v>13</v>
      </c>
      <c r="C15" s="165">
        <v>51097622</v>
      </c>
      <c r="D15" s="166" t="s">
        <v>21</v>
      </c>
      <c r="E15" s="165">
        <v>21000</v>
      </c>
      <c r="F15" s="21">
        <v>9.3635000000000002</v>
      </c>
      <c r="G15" s="21">
        <v>9.3721999999999994</v>
      </c>
      <c r="H15" s="18">
        <f t="shared" si="0"/>
        <v>182.69999999998453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65"/>
      <c r="D16" s="166"/>
      <c r="E16" s="165"/>
      <c r="F16" s="21"/>
      <c r="G16" s="21"/>
      <c r="H16" s="23">
        <f>H10+H11+H12+H13+H14+H15</f>
        <v>181570.19999999876</v>
      </c>
      <c r="I16" s="19"/>
      <c r="J16" s="20"/>
    </row>
    <row r="17" spans="1:10" ht="15.75" x14ac:dyDescent="0.25">
      <c r="A17" s="26" t="s">
        <v>29</v>
      </c>
      <c r="B17" s="165" t="s">
        <v>13</v>
      </c>
      <c r="C17" s="165">
        <v>51097617</v>
      </c>
      <c r="D17" s="166" t="s">
        <v>30</v>
      </c>
      <c r="E17" s="165">
        <v>18000</v>
      </c>
      <c r="F17" s="30">
        <v>907.56370000000004</v>
      </c>
      <c r="G17" s="30">
        <v>911.34709999999995</v>
      </c>
      <c r="H17" s="18">
        <f>(G17-F17)*E17</f>
        <v>68101.199999998469</v>
      </c>
      <c r="I17" s="19"/>
      <c r="J17" s="20"/>
    </row>
    <row r="18" spans="1:10" ht="15.75" x14ac:dyDescent="0.25">
      <c r="A18" s="26" t="s">
        <v>31</v>
      </c>
      <c r="B18" s="165" t="s">
        <v>13</v>
      </c>
      <c r="C18" s="165">
        <v>51097655</v>
      </c>
      <c r="D18" s="166" t="s">
        <v>30</v>
      </c>
      <c r="E18" s="165">
        <v>18000</v>
      </c>
      <c r="F18" s="30">
        <v>11.5421</v>
      </c>
      <c r="G18" s="30">
        <v>11.5421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65"/>
      <c r="D19" s="166"/>
      <c r="E19" s="165"/>
      <c r="F19" s="30"/>
      <c r="G19" s="30"/>
      <c r="H19" s="23">
        <f>H17+H18</f>
        <v>68101.199999998469</v>
      </c>
      <c r="I19" s="24">
        <f>H19-H34</f>
        <v>688.37999999763269</v>
      </c>
      <c r="J19" s="25">
        <f>I19/H19</f>
        <v>1.0108191926098926E-2</v>
      </c>
    </row>
    <row r="20" spans="1:10" ht="15.75" x14ac:dyDescent="0.25">
      <c r="A20" s="15" t="s">
        <v>33</v>
      </c>
      <c r="B20" s="165" t="s">
        <v>13</v>
      </c>
      <c r="C20" s="165">
        <v>51217282</v>
      </c>
      <c r="D20" s="166" t="s">
        <v>34</v>
      </c>
      <c r="E20" s="165">
        <v>4800</v>
      </c>
      <c r="F20" s="21">
        <v>385.48340000000002</v>
      </c>
      <c r="G20" s="21">
        <v>385.5274</v>
      </c>
      <c r="H20" s="18">
        <f t="shared" ref="H20:H33" si="1">(G20-F20)*E20</f>
        <v>211.19999999991705</v>
      </c>
      <c r="I20" s="19" t="s">
        <v>27</v>
      </c>
      <c r="J20" s="20"/>
    </row>
    <row r="21" spans="1:10" ht="15.75" x14ac:dyDescent="0.25">
      <c r="A21" s="15" t="s">
        <v>35</v>
      </c>
      <c r="B21" s="165" t="s">
        <v>13</v>
      </c>
      <c r="C21" s="165">
        <v>51217274</v>
      </c>
      <c r="D21" s="166" t="s">
        <v>34</v>
      </c>
      <c r="E21" s="165">
        <v>4800</v>
      </c>
      <c r="F21" s="21">
        <v>1412.9838999999999</v>
      </c>
      <c r="G21" s="21">
        <v>1418.9671000000001</v>
      </c>
      <c r="H21" s="18">
        <f t="shared" si="1"/>
        <v>28719.360000000597</v>
      </c>
      <c r="I21" s="19"/>
      <c r="J21" s="20"/>
    </row>
    <row r="22" spans="1:10" ht="15.75" x14ac:dyDescent="0.25">
      <c r="A22" s="15" t="s">
        <v>36</v>
      </c>
      <c r="B22" s="165" t="s">
        <v>13</v>
      </c>
      <c r="C22" s="165">
        <v>51097664</v>
      </c>
      <c r="D22" s="166" t="s">
        <v>37</v>
      </c>
      <c r="E22" s="165">
        <v>600</v>
      </c>
      <c r="F22" s="21">
        <v>4.4410999999999996</v>
      </c>
      <c r="G22" s="21">
        <v>4.4410999999999996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65" t="s">
        <v>13</v>
      </c>
      <c r="C23" s="165">
        <v>51097615</v>
      </c>
      <c r="D23" s="166" t="s">
        <v>37</v>
      </c>
      <c r="E23" s="165">
        <v>600</v>
      </c>
      <c r="F23" s="21">
        <v>47.594299999999997</v>
      </c>
      <c r="G23" s="21">
        <v>47.888500000000001</v>
      </c>
      <c r="H23" s="18">
        <f t="shared" si="1"/>
        <v>176.52000000000214</v>
      </c>
      <c r="I23" s="19"/>
      <c r="J23" s="20"/>
    </row>
    <row r="24" spans="1:10" ht="15.75" x14ac:dyDescent="0.25">
      <c r="A24" s="15" t="s">
        <v>39</v>
      </c>
      <c r="B24" s="165" t="s">
        <v>13</v>
      </c>
      <c r="C24" s="165">
        <v>51217264</v>
      </c>
      <c r="D24" s="166" t="s">
        <v>37</v>
      </c>
      <c r="E24" s="165">
        <v>600</v>
      </c>
      <c r="F24" s="21">
        <v>111.0784</v>
      </c>
      <c r="G24" s="21">
        <v>111.64749999999999</v>
      </c>
      <c r="H24" s="18">
        <f t="shared" si="1"/>
        <v>341.45999999999503</v>
      </c>
      <c r="I24" s="19"/>
      <c r="J24" s="20"/>
    </row>
    <row r="25" spans="1:10" ht="15.75" x14ac:dyDescent="0.25">
      <c r="A25" s="15" t="s">
        <v>40</v>
      </c>
      <c r="B25" s="165" t="s">
        <v>13</v>
      </c>
      <c r="C25" s="165">
        <v>51217288</v>
      </c>
      <c r="D25" s="166" t="s">
        <v>37</v>
      </c>
      <c r="E25" s="165">
        <v>600</v>
      </c>
      <c r="F25" s="21">
        <v>20.825500000000002</v>
      </c>
      <c r="G25" s="21">
        <v>20.856999999999999</v>
      </c>
      <c r="H25" s="18">
        <f t="shared" si="1"/>
        <v>18.899999999998585</v>
      </c>
      <c r="I25" s="19" t="s">
        <v>27</v>
      </c>
      <c r="J25" s="20"/>
    </row>
    <row r="26" spans="1:10" ht="15.75" x14ac:dyDescent="0.25">
      <c r="A26" s="15" t="s">
        <v>41</v>
      </c>
      <c r="B26" s="165" t="s">
        <v>13</v>
      </c>
      <c r="C26" s="165">
        <v>51217279</v>
      </c>
      <c r="D26" s="166" t="s">
        <v>37</v>
      </c>
      <c r="E26" s="165">
        <v>600</v>
      </c>
      <c r="F26" s="21">
        <v>15.9132</v>
      </c>
      <c r="G26" s="21">
        <v>15.967499999999999</v>
      </c>
      <c r="H26" s="18">
        <f t="shared" si="1"/>
        <v>32.579999999999742</v>
      </c>
      <c r="I26" s="19" t="s">
        <v>27</v>
      </c>
      <c r="J26" s="20"/>
    </row>
    <row r="27" spans="1:10" ht="15.75" x14ac:dyDescent="0.25">
      <c r="A27" s="15" t="s">
        <v>42</v>
      </c>
      <c r="B27" s="165" t="s">
        <v>13</v>
      </c>
      <c r="C27" s="165">
        <v>51217272</v>
      </c>
      <c r="D27" s="166" t="s">
        <v>37</v>
      </c>
      <c r="E27" s="165">
        <v>600</v>
      </c>
      <c r="F27" s="31">
        <v>15.607799999999999</v>
      </c>
      <c r="G27" s="31">
        <v>15.661</v>
      </c>
      <c r="H27" s="18">
        <f t="shared" si="1"/>
        <v>31.920000000000215</v>
      </c>
      <c r="I27" s="19"/>
      <c r="J27" s="20"/>
    </row>
    <row r="28" spans="1:10" ht="15.75" x14ac:dyDescent="0.25">
      <c r="A28" s="15" t="s">
        <v>43</v>
      </c>
      <c r="B28" s="165" t="s">
        <v>13</v>
      </c>
      <c r="C28" s="165">
        <v>51616744</v>
      </c>
      <c r="D28" s="166">
        <f>300/5</f>
        <v>60</v>
      </c>
      <c r="E28" s="165">
        <v>3600</v>
      </c>
      <c r="F28" s="31">
        <v>109.78489999999999</v>
      </c>
      <c r="G28" s="31">
        <v>109.78489999999999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65" t="s">
        <v>13</v>
      </c>
      <c r="C29" s="165">
        <v>51555226</v>
      </c>
      <c r="D29" s="166">
        <f>300/5</f>
        <v>60</v>
      </c>
      <c r="E29" s="165">
        <v>3600</v>
      </c>
      <c r="F29" s="31">
        <v>563.42250000000001</v>
      </c>
      <c r="G29" s="31">
        <v>566.74310000000003</v>
      </c>
      <c r="H29" s="18">
        <f>(G29-F29)*E29</f>
        <v>11954.160000000047</v>
      </c>
      <c r="I29" s="19"/>
      <c r="J29" s="20"/>
    </row>
    <row r="30" spans="1:10" ht="15.75" x14ac:dyDescent="0.25">
      <c r="A30" s="15" t="s">
        <v>45</v>
      </c>
      <c r="B30" s="165" t="s">
        <v>13</v>
      </c>
      <c r="C30" s="165">
        <v>51097658</v>
      </c>
      <c r="D30" s="166" t="s">
        <v>34</v>
      </c>
      <c r="E30" s="165">
        <v>4800</v>
      </c>
      <c r="F30" s="31">
        <v>711.04319999999996</v>
      </c>
      <c r="G30" s="31">
        <v>714.18889999999999</v>
      </c>
      <c r="H30" s="18">
        <f t="shared" si="1"/>
        <v>15099.360000000161</v>
      </c>
      <c r="I30" s="19"/>
      <c r="J30" s="20"/>
    </row>
    <row r="31" spans="1:10" ht="15.75" x14ac:dyDescent="0.25">
      <c r="A31" s="15" t="s">
        <v>46</v>
      </c>
      <c r="B31" s="165" t="s">
        <v>13</v>
      </c>
      <c r="C31" s="165">
        <v>51097635</v>
      </c>
      <c r="D31" s="166" t="s">
        <v>34</v>
      </c>
      <c r="E31" s="165">
        <v>4800</v>
      </c>
      <c r="F31" s="31">
        <v>48.484099999999998</v>
      </c>
      <c r="G31" s="31">
        <v>48.486199999999997</v>
      </c>
      <c r="H31" s="18">
        <f t="shared" si="1"/>
        <v>10.079999999993561</v>
      </c>
      <c r="I31" s="19"/>
      <c r="J31" s="20"/>
    </row>
    <row r="32" spans="1:10" ht="15.75" x14ac:dyDescent="0.25">
      <c r="A32" s="15" t="s">
        <v>47</v>
      </c>
      <c r="B32" s="165" t="s">
        <v>13</v>
      </c>
      <c r="C32" s="32">
        <v>51097633</v>
      </c>
      <c r="D32" s="166" t="s">
        <v>34</v>
      </c>
      <c r="E32" s="165">
        <v>4800</v>
      </c>
      <c r="F32" s="31">
        <v>210.49359999999999</v>
      </c>
      <c r="G32" s="31">
        <v>212.73240000000001</v>
      </c>
      <c r="H32" s="33">
        <f t="shared" si="1"/>
        <v>10746.240000000125</v>
      </c>
      <c r="I32" s="34"/>
      <c r="J32" s="35"/>
    </row>
    <row r="33" spans="1:10" ht="15.75" x14ac:dyDescent="0.25">
      <c r="A33" s="15" t="s">
        <v>48</v>
      </c>
      <c r="B33" s="165" t="s">
        <v>13</v>
      </c>
      <c r="C33" s="32">
        <v>51097662</v>
      </c>
      <c r="D33" s="166" t="s">
        <v>34</v>
      </c>
      <c r="E33" s="165">
        <v>4800</v>
      </c>
      <c r="F33" s="31">
        <v>4.3522999999999996</v>
      </c>
      <c r="G33" s="31">
        <v>4.3670999999999998</v>
      </c>
      <c r="H33" s="33">
        <f t="shared" si="1"/>
        <v>71.040000000000703</v>
      </c>
      <c r="I33" s="34"/>
      <c r="J33" s="35"/>
    </row>
    <row r="34" spans="1:10" ht="15.75" x14ac:dyDescent="0.25">
      <c r="A34" s="218" t="s">
        <v>49</v>
      </c>
      <c r="B34" s="219"/>
      <c r="C34" s="165"/>
      <c r="D34" s="166"/>
      <c r="E34" s="165"/>
      <c r="F34" s="36"/>
      <c r="G34" s="36"/>
      <c r="H34" s="23">
        <f>H20+H21+H22+H23+H24+H25+H26+H27+H28+H29+H30+H31+H32+H33</f>
        <v>67412.820000000836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65" t="s">
        <v>52</v>
      </c>
      <c r="C36" s="165">
        <v>51555209</v>
      </c>
      <c r="D36" s="166" t="s">
        <v>53</v>
      </c>
      <c r="E36" s="165">
        <v>7000</v>
      </c>
      <c r="F36" s="17">
        <v>6.1835000000000004</v>
      </c>
      <c r="G36" s="17">
        <v>6.1974999999999998</v>
      </c>
      <c r="H36" s="41">
        <f>(G36-F36)*E36</f>
        <v>97.999999999995424</v>
      </c>
      <c r="I36" s="42"/>
      <c r="J36" s="14"/>
    </row>
    <row r="37" spans="1:10" ht="15.75" x14ac:dyDescent="0.25">
      <c r="A37" s="15" t="s">
        <v>54</v>
      </c>
      <c r="B37" s="165" t="s">
        <v>52</v>
      </c>
      <c r="C37" s="165">
        <v>51555209</v>
      </c>
      <c r="D37" s="166" t="s">
        <v>53</v>
      </c>
      <c r="E37" s="165">
        <v>7000</v>
      </c>
      <c r="F37" s="21">
        <v>10.9222</v>
      </c>
      <c r="G37" s="21">
        <v>10.972200000000001</v>
      </c>
      <c r="H37" s="18">
        <f>(G37-F37)*E37</f>
        <v>350.000000000005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65" t="s">
        <v>52</v>
      </c>
      <c r="C39" s="165">
        <v>51097674</v>
      </c>
      <c r="D39" s="165" t="s">
        <v>14</v>
      </c>
      <c r="E39" s="165">
        <v>7200</v>
      </c>
      <c r="F39" s="21">
        <v>627.72619999999995</v>
      </c>
      <c r="G39" s="21">
        <v>630.08140000000003</v>
      </c>
      <c r="H39" s="18">
        <f>(G39-F39)*E39</f>
        <v>16957.440000000588</v>
      </c>
      <c r="I39" s="47"/>
      <c r="J39" s="20"/>
    </row>
    <row r="40" spans="1:10" ht="15.75" x14ac:dyDescent="0.25">
      <c r="A40" s="27" t="s">
        <v>57</v>
      </c>
      <c r="B40" s="165" t="s">
        <v>52</v>
      </c>
      <c r="C40" s="165">
        <v>51259257</v>
      </c>
      <c r="D40" s="165" t="s">
        <v>14</v>
      </c>
      <c r="E40" s="165">
        <v>7200</v>
      </c>
      <c r="F40" s="21">
        <v>1.0555000000000001</v>
      </c>
      <c r="G40" s="21">
        <v>1.0555000000000001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65"/>
      <c r="C41" s="165"/>
      <c r="D41" s="165"/>
      <c r="E41" s="165"/>
      <c r="F41" s="21"/>
      <c r="G41" s="21"/>
      <c r="H41" s="48">
        <f>H39+H40</f>
        <v>16957.440000000588</v>
      </c>
      <c r="I41" s="24">
        <f>H41-H49</f>
        <v>-118.51999999934196</v>
      </c>
      <c r="J41" s="25">
        <f>I41/H41</f>
        <v>-6.9892625301541892E-3</v>
      </c>
    </row>
    <row r="42" spans="1:10" ht="15.75" x14ac:dyDescent="0.25">
      <c r="A42" s="15" t="s">
        <v>59</v>
      </c>
      <c r="B42" s="165"/>
      <c r="C42" s="165"/>
      <c r="D42" s="166"/>
      <c r="E42" s="165"/>
      <c r="H42" s="18"/>
      <c r="I42" s="43"/>
      <c r="J42" s="20"/>
    </row>
    <row r="43" spans="1:10" ht="15.75" x14ac:dyDescent="0.25">
      <c r="A43" s="27" t="s">
        <v>60</v>
      </c>
      <c r="B43" s="165" t="s">
        <v>52</v>
      </c>
      <c r="C43" s="32">
        <v>51097648</v>
      </c>
      <c r="D43" s="165" t="s">
        <v>53</v>
      </c>
      <c r="E43" s="165">
        <v>1200</v>
      </c>
      <c r="F43" s="21">
        <v>513.80160000000001</v>
      </c>
      <c r="G43" s="21">
        <v>515.67100000000005</v>
      </c>
      <c r="H43" s="33">
        <f>(G43-F43)*E43</f>
        <v>2243.2800000000498</v>
      </c>
      <c r="I43" s="43"/>
      <c r="J43" s="20"/>
    </row>
    <row r="44" spans="1:10" ht="15.75" x14ac:dyDescent="0.25">
      <c r="A44" s="27" t="s">
        <v>61</v>
      </c>
      <c r="B44" s="165" t="s">
        <v>52</v>
      </c>
      <c r="C44" s="32">
        <v>50555043</v>
      </c>
      <c r="D44" s="165" t="s">
        <v>53</v>
      </c>
      <c r="E44" s="165">
        <v>1200</v>
      </c>
      <c r="F44" s="21">
        <v>2149.6417000000001</v>
      </c>
      <c r="G44" s="21">
        <v>2157.4895000000001</v>
      </c>
      <c r="H44" s="33">
        <f>(G44-F44)*E44</f>
        <v>9417.3600000000079</v>
      </c>
      <c r="I44" s="43"/>
      <c r="J44" s="20"/>
    </row>
    <row r="45" spans="1:10" ht="15.75" x14ac:dyDescent="0.25">
      <c r="A45" s="27" t="s">
        <v>62</v>
      </c>
      <c r="B45" s="165" t="s">
        <v>52</v>
      </c>
      <c r="C45" s="32">
        <v>51259336</v>
      </c>
      <c r="D45" s="165" t="s">
        <v>63</v>
      </c>
      <c r="E45" s="165">
        <v>2400</v>
      </c>
      <c r="F45" s="21">
        <v>4.3247</v>
      </c>
      <c r="G45" s="21">
        <v>4.3384999999999998</v>
      </c>
      <c r="H45" s="33">
        <f>(G45-F45)*E45</f>
        <v>33.11999999999955</v>
      </c>
      <c r="I45" s="43"/>
      <c r="J45" s="20"/>
    </row>
    <row r="46" spans="1:10" ht="15.75" x14ac:dyDescent="0.25">
      <c r="A46" s="27" t="s">
        <v>64</v>
      </c>
      <c r="B46" s="165" t="s">
        <v>52</v>
      </c>
      <c r="C46" s="32">
        <v>51259266</v>
      </c>
      <c r="D46" s="165" t="s">
        <v>53</v>
      </c>
      <c r="E46" s="165">
        <v>1200</v>
      </c>
      <c r="F46" s="21">
        <v>1042.6320000000001</v>
      </c>
      <c r="G46" s="21">
        <v>1046.6922</v>
      </c>
      <c r="H46" s="33">
        <f>(G46-F46)*E46</f>
        <v>4872.2399999998743</v>
      </c>
      <c r="I46" s="43"/>
      <c r="J46" s="20"/>
    </row>
    <row r="47" spans="1:10" ht="15.75" x14ac:dyDescent="0.25">
      <c r="A47" s="27" t="s">
        <v>65</v>
      </c>
      <c r="B47" s="165" t="s">
        <v>52</v>
      </c>
      <c r="C47" s="32">
        <v>51431336</v>
      </c>
      <c r="D47" s="165" t="s">
        <v>53</v>
      </c>
      <c r="E47" s="165">
        <v>1200</v>
      </c>
      <c r="F47" s="21">
        <v>62.816299999999998</v>
      </c>
      <c r="G47" s="21">
        <v>63.199599999999997</v>
      </c>
      <c r="H47" s="33">
        <f>(G47-F47)*E47</f>
        <v>459.9599999999981</v>
      </c>
      <c r="I47" s="43"/>
      <c r="J47" s="20"/>
    </row>
    <row r="48" spans="1:10" ht="15.75" x14ac:dyDescent="0.25">
      <c r="A48" s="15" t="s">
        <v>66</v>
      </c>
      <c r="B48" s="165" t="s">
        <v>67</v>
      </c>
      <c r="C48" s="165">
        <v>49174</v>
      </c>
      <c r="D48" s="166" t="s">
        <v>53</v>
      </c>
      <c r="E48" s="165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17075.95999999993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65" t="s">
        <v>52</v>
      </c>
      <c r="C51" s="165">
        <v>51097603</v>
      </c>
      <c r="D51" s="166" t="s">
        <v>53</v>
      </c>
      <c r="E51" s="165">
        <v>7000</v>
      </c>
      <c r="F51" s="17">
        <v>2043.2076999999999</v>
      </c>
      <c r="G51" s="17">
        <v>2049.6927999999998</v>
      </c>
      <c r="H51" s="18">
        <f>(G51-F51)*E51</f>
        <v>45395.699999999124</v>
      </c>
      <c r="I51" s="43"/>
      <c r="J51" s="20"/>
    </row>
    <row r="52" spans="1:10" ht="15.75" x14ac:dyDescent="0.25">
      <c r="A52" s="27" t="s">
        <v>72</v>
      </c>
      <c r="B52" s="165" t="s">
        <v>52</v>
      </c>
      <c r="C52" s="165">
        <v>51097590</v>
      </c>
      <c r="D52" s="166" t="s">
        <v>53</v>
      </c>
      <c r="E52" s="165">
        <v>7000</v>
      </c>
      <c r="F52" s="21">
        <v>12.9924</v>
      </c>
      <c r="G52" s="21">
        <v>13.016</v>
      </c>
      <c r="H52" s="18">
        <f>(G52-F52)*E52</f>
        <v>165.20000000000044</v>
      </c>
      <c r="I52" s="43"/>
      <c r="J52" s="20"/>
    </row>
    <row r="53" spans="1:10" ht="15.75" x14ac:dyDescent="0.25">
      <c r="A53" s="15" t="s">
        <v>66</v>
      </c>
      <c r="B53" s="165" t="s">
        <v>67</v>
      </c>
      <c r="C53" s="165">
        <v>49174</v>
      </c>
      <c r="D53" s="166" t="s">
        <v>53</v>
      </c>
      <c r="E53" s="165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65"/>
      <c r="D54" s="166"/>
      <c r="E54" s="165"/>
      <c r="F54" s="21"/>
      <c r="G54" s="21"/>
      <c r="H54" s="48">
        <f>H51+H52+H53</f>
        <v>45660.899999999121</v>
      </c>
      <c r="I54" s="47"/>
      <c r="J54" s="59"/>
    </row>
    <row r="55" spans="1:10" ht="15.75" x14ac:dyDescent="0.25">
      <c r="A55" s="27" t="s">
        <v>74</v>
      </c>
      <c r="B55" s="165" t="s">
        <v>52</v>
      </c>
      <c r="C55" s="165">
        <v>51100980</v>
      </c>
      <c r="D55" s="165" t="s">
        <v>75</v>
      </c>
      <c r="E55" s="165">
        <v>12000</v>
      </c>
      <c r="F55" s="21">
        <v>1201.9119000000001</v>
      </c>
      <c r="G55" s="21">
        <v>1205.7056</v>
      </c>
      <c r="H55" s="18">
        <f>(G55-F55)*E55</f>
        <v>45524.399999999332</v>
      </c>
      <c r="I55" s="47"/>
      <c r="J55" s="58"/>
    </row>
    <row r="56" spans="1:10" ht="15.75" x14ac:dyDescent="0.25">
      <c r="A56" s="27" t="s">
        <v>76</v>
      </c>
      <c r="B56" s="165" t="s">
        <v>52</v>
      </c>
      <c r="C56" s="165">
        <v>51097623</v>
      </c>
      <c r="D56" s="165" t="s">
        <v>75</v>
      </c>
      <c r="E56" s="165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65"/>
      <c r="C57" s="165"/>
      <c r="D57" s="165"/>
      <c r="E57" s="165"/>
      <c r="F57" s="21"/>
      <c r="G57" s="21"/>
      <c r="H57" s="48">
        <f>H55+H56</f>
        <v>45524.399999999332</v>
      </c>
      <c r="I57" s="61">
        <f>H54-H64-H53</f>
        <v>-70.30000000034488</v>
      </c>
      <c r="J57" s="25">
        <f>I57/H57</f>
        <v>-1.5442268322118668E-3</v>
      </c>
    </row>
    <row r="58" spans="1:10" ht="15.75" x14ac:dyDescent="0.25">
      <c r="A58" s="27" t="s">
        <v>78</v>
      </c>
      <c r="B58" s="165" t="s">
        <v>52</v>
      </c>
      <c r="C58" s="165">
        <v>51097675</v>
      </c>
      <c r="D58" s="165" t="s">
        <v>34</v>
      </c>
      <c r="E58" s="165">
        <v>4800</v>
      </c>
      <c r="F58" s="21">
        <v>555.60490000000004</v>
      </c>
      <c r="G58" s="21">
        <v>558.07439999999997</v>
      </c>
      <c r="H58" s="18">
        <f t="shared" ref="H58:H63" si="2">(G58-F58)*E58</f>
        <v>11853.599999999642</v>
      </c>
      <c r="I58" s="62"/>
      <c r="J58" s="59"/>
    </row>
    <row r="59" spans="1:10" ht="15.75" x14ac:dyDescent="0.25">
      <c r="A59" s="27" t="s">
        <v>79</v>
      </c>
      <c r="B59" s="165" t="s">
        <v>52</v>
      </c>
      <c r="C59" s="165">
        <v>51100997</v>
      </c>
      <c r="D59" s="165" t="s">
        <v>21</v>
      </c>
      <c r="E59" s="165">
        <v>3600</v>
      </c>
      <c r="F59" s="21">
        <v>1420.3878</v>
      </c>
      <c r="G59" s="21">
        <v>1423.0943</v>
      </c>
      <c r="H59" s="18">
        <f t="shared" si="2"/>
        <v>9743.4000000000196</v>
      </c>
      <c r="I59" s="62"/>
      <c r="J59" s="59"/>
    </row>
    <row r="60" spans="1:10" ht="15.75" x14ac:dyDescent="0.25">
      <c r="A60" s="27" t="s">
        <v>80</v>
      </c>
      <c r="B60" s="165" t="s">
        <v>52</v>
      </c>
      <c r="C60" s="165">
        <v>51555218</v>
      </c>
      <c r="D60" s="165">
        <f>400/5</f>
        <v>80</v>
      </c>
      <c r="E60" s="165">
        <v>4800</v>
      </c>
      <c r="F60" s="21">
        <v>71.783000000000001</v>
      </c>
      <c r="G60" s="21">
        <v>72.204599999999999</v>
      </c>
      <c r="H60" s="18">
        <f t="shared" si="2"/>
        <v>2023.6799999999903</v>
      </c>
      <c r="I60" s="62"/>
      <c r="J60" s="59"/>
    </row>
    <row r="61" spans="1:10" ht="15.75" x14ac:dyDescent="0.25">
      <c r="A61" s="27" t="s">
        <v>81</v>
      </c>
      <c r="B61" s="165" t="s">
        <v>52</v>
      </c>
      <c r="C61" s="165">
        <v>51555151</v>
      </c>
      <c r="D61" s="165">
        <f>400/5</f>
        <v>80</v>
      </c>
      <c r="E61" s="165">
        <v>4800</v>
      </c>
      <c r="F61" s="63">
        <v>0.30690000000000001</v>
      </c>
      <c r="G61" s="63">
        <v>0.30690000000000001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65" t="s">
        <v>52</v>
      </c>
      <c r="C62" s="165">
        <v>51097599</v>
      </c>
      <c r="D62" s="165" t="s">
        <v>21</v>
      </c>
      <c r="E62" s="165">
        <v>3600</v>
      </c>
      <c r="F62" s="21">
        <v>999.87559999999996</v>
      </c>
      <c r="G62" s="21">
        <v>1002.2803</v>
      </c>
      <c r="H62" s="18">
        <f t="shared" si="2"/>
        <v>8656.9200000001729</v>
      </c>
      <c r="I62" s="62"/>
      <c r="J62" s="59"/>
    </row>
    <row r="63" spans="1:10" ht="15.75" x14ac:dyDescent="0.25">
      <c r="A63" s="27" t="s">
        <v>83</v>
      </c>
      <c r="B63" s="165" t="s">
        <v>52</v>
      </c>
      <c r="C63" s="165">
        <v>51097620</v>
      </c>
      <c r="D63" s="165" t="s">
        <v>34</v>
      </c>
      <c r="E63" s="165">
        <v>4800</v>
      </c>
      <c r="F63" s="21">
        <v>552.02560000000005</v>
      </c>
      <c r="G63" s="21">
        <v>554.80759999999998</v>
      </c>
      <c r="H63" s="18">
        <f t="shared" si="2"/>
        <v>13353.599999999642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45631.199999999466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65" t="s">
        <v>52</v>
      </c>
      <c r="C66" s="9">
        <v>51259238</v>
      </c>
      <c r="D66" s="74" t="s">
        <v>53</v>
      </c>
      <c r="E66" s="74">
        <v>7000</v>
      </c>
      <c r="F66" s="75">
        <v>597.91690000000006</v>
      </c>
      <c r="G66" s="75">
        <v>600.33889999999997</v>
      </c>
      <c r="H66" s="76">
        <f>(G66-F66)*E66</f>
        <v>16953.999999999382</v>
      </c>
      <c r="I66" s="77"/>
      <c r="J66" s="78"/>
    </row>
    <row r="67" spans="1:10" ht="15.75" x14ac:dyDescent="0.25">
      <c r="A67" s="27" t="s">
        <v>86</v>
      </c>
      <c r="B67" s="165" t="s">
        <v>52</v>
      </c>
      <c r="C67" s="165">
        <v>51259324</v>
      </c>
      <c r="D67" s="166" t="s">
        <v>53</v>
      </c>
      <c r="E67" s="166">
        <v>7000</v>
      </c>
      <c r="F67" s="21">
        <v>462.08609999999999</v>
      </c>
      <c r="G67" s="21">
        <v>464.02280000000002</v>
      </c>
      <c r="H67" s="18">
        <f>(G67-F67)*E67</f>
        <v>13556.900000000212</v>
      </c>
      <c r="I67" s="51"/>
      <c r="J67" s="58"/>
    </row>
    <row r="68" spans="1:10" s="129" customFormat="1" ht="15.75" x14ac:dyDescent="0.25">
      <c r="A68" s="27" t="s">
        <v>87</v>
      </c>
      <c r="B68" s="79" t="s">
        <v>88</v>
      </c>
      <c r="C68" s="165">
        <v>51491618</v>
      </c>
      <c r="D68" s="166" t="s">
        <v>63</v>
      </c>
      <c r="E68" s="165">
        <v>40</v>
      </c>
      <c r="F68" s="28">
        <v>1392.191</v>
      </c>
      <c r="G68" s="28">
        <v>1399.0129999999999</v>
      </c>
      <c r="H68" s="18">
        <f>(G68-F68)*E68</f>
        <v>272.87999999999556</v>
      </c>
      <c r="I68" s="51"/>
      <c r="J68" s="58"/>
    </row>
    <row r="69" spans="1:10" s="129" customFormat="1" ht="15.75" x14ac:dyDescent="0.25">
      <c r="A69" s="27" t="s">
        <v>89</v>
      </c>
      <c r="B69" s="79" t="s">
        <v>88</v>
      </c>
      <c r="C69" s="165">
        <v>51491624</v>
      </c>
      <c r="D69" s="166" t="s">
        <v>63</v>
      </c>
      <c r="E69" s="165">
        <v>40</v>
      </c>
      <c r="F69" s="28">
        <v>184.17349999999999</v>
      </c>
      <c r="G69" s="28">
        <v>184.84899999999999</v>
      </c>
      <c r="H69" s="18">
        <f>(G69-F69)*E69</f>
        <v>27.019999999999982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30510.899999999594</v>
      </c>
      <c r="I70" s="85">
        <f>H70-H73-H68-H69</f>
        <v>-824.60000000101854</v>
      </c>
      <c r="J70" s="25">
        <f>I70/H70</f>
        <v>-2.702640695623628E-2</v>
      </c>
    </row>
    <row r="71" spans="1:10" ht="15.75" x14ac:dyDescent="0.25">
      <c r="A71" s="27" t="s">
        <v>91</v>
      </c>
      <c r="B71" s="165" t="s">
        <v>52</v>
      </c>
      <c r="C71" s="86">
        <v>51097588</v>
      </c>
      <c r="D71" s="166" t="s">
        <v>75</v>
      </c>
      <c r="E71" s="165">
        <v>12000</v>
      </c>
      <c r="F71" s="21">
        <v>357.22609999999997</v>
      </c>
      <c r="G71" s="21">
        <v>358.61020000000002</v>
      </c>
      <c r="H71" s="18">
        <f>(G71-F71)*E71</f>
        <v>16609.200000000557</v>
      </c>
      <c r="I71" s="51"/>
      <c r="J71" s="58"/>
    </row>
    <row r="72" spans="1:10" ht="15.75" x14ac:dyDescent="0.25">
      <c r="A72" s="27" t="s">
        <v>92</v>
      </c>
      <c r="B72" s="165" t="s">
        <v>52</v>
      </c>
      <c r="C72" s="86">
        <v>51431335</v>
      </c>
      <c r="D72" s="166" t="s">
        <v>75</v>
      </c>
      <c r="E72" s="165">
        <v>12000</v>
      </c>
      <c r="F72" s="21">
        <v>281.82839999999999</v>
      </c>
      <c r="G72" s="21">
        <v>283.03059999999999</v>
      </c>
      <c r="H72" s="18">
        <f>(G72-F72)*E72</f>
        <v>14426.400000000058</v>
      </c>
      <c r="I72" s="51"/>
      <c r="J72" s="58"/>
    </row>
    <row r="73" spans="1:10" ht="15.75" x14ac:dyDescent="0.25">
      <c r="A73" s="87" t="s">
        <v>93</v>
      </c>
      <c r="B73" s="165" t="s">
        <v>27</v>
      </c>
      <c r="C73" s="165"/>
      <c r="D73" s="166"/>
      <c r="E73" s="165"/>
      <c r="F73" s="21"/>
      <c r="G73" s="21"/>
      <c r="H73" s="48">
        <f>H71+ H72</f>
        <v>31035.600000000617</v>
      </c>
      <c r="I73" s="85">
        <f>H73-H81</f>
        <v>-47.939999999201973</v>
      </c>
      <c r="J73" s="25">
        <f>I73/H73</f>
        <v>-1.5446777249094918E-3</v>
      </c>
    </row>
    <row r="74" spans="1:10" ht="15.75" x14ac:dyDescent="0.25">
      <c r="A74" s="27" t="s">
        <v>94</v>
      </c>
      <c r="B74" s="165" t="s">
        <v>52</v>
      </c>
      <c r="C74" s="86">
        <v>51097676</v>
      </c>
      <c r="D74" s="88" t="s">
        <v>63</v>
      </c>
      <c r="E74" s="165">
        <v>2400</v>
      </c>
      <c r="F74" s="21">
        <v>748.85289999999998</v>
      </c>
      <c r="G74" s="21">
        <v>751.76310000000001</v>
      </c>
      <c r="H74" s="18">
        <f>(G74-F74)*E74</f>
        <v>6984.480000000076</v>
      </c>
      <c r="I74" s="51"/>
      <c r="J74" s="58"/>
    </row>
    <row r="75" spans="1:10" ht="15.75" x14ac:dyDescent="0.25">
      <c r="A75" s="27" t="s">
        <v>95</v>
      </c>
      <c r="B75" s="165" t="s">
        <v>52</v>
      </c>
      <c r="C75" s="86">
        <v>51431355</v>
      </c>
      <c r="D75" s="166" t="s">
        <v>21</v>
      </c>
      <c r="E75" s="166">
        <v>3600</v>
      </c>
      <c r="F75" s="21">
        <v>385.85640000000001</v>
      </c>
      <c r="G75" s="21">
        <v>387.16699999999997</v>
      </c>
      <c r="H75" s="18">
        <f>(G75-F75)*E75</f>
        <v>4718.1599999998753</v>
      </c>
      <c r="I75" s="51"/>
      <c r="J75" s="52"/>
    </row>
    <row r="76" spans="1:10" ht="15.75" x14ac:dyDescent="0.25">
      <c r="A76" s="27" t="s">
        <v>96</v>
      </c>
      <c r="B76" s="165" t="s">
        <v>52</v>
      </c>
      <c r="C76" s="86">
        <v>51259331</v>
      </c>
      <c r="D76" s="88" t="s">
        <v>37</v>
      </c>
      <c r="E76" s="165">
        <v>600</v>
      </c>
      <c r="F76" s="21">
        <v>177.7243</v>
      </c>
      <c r="G76" s="21">
        <v>178.38900000000001</v>
      </c>
      <c r="H76" s="18">
        <f>(G76-F76)*E76</f>
        <v>398.8200000000063</v>
      </c>
      <c r="I76" s="51"/>
      <c r="J76" s="52"/>
    </row>
    <row r="77" spans="1:10" ht="15.75" x14ac:dyDescent="0.25">
      <c r="A77" s="27" t="s">
        <v>97</v>
      </c>
      <c r="B77" s="165" t="s">
        <v>52</v>
      </c>
      <c r="C77" s="86">
        <v>51259326</v>
      </c>
      <c r="D77" s="88" t="s">
        <v>14</v>
      </c>
      <c r="E77" s="165">
        <v>7200</v>
      </c>
      <c r="F77" s="21">
        <v>352.86250000000001</v>
      </c>
      <c r="G77" s="21">
        <v>354.20479999999998</v>
      </c>
      <c r="H77" s="18">
        <f>(G77-F77)*E77</f>
        <v>9664.5599999997557</v>
      </c>
      <c r="I77" s="51"/>
      <c r="J77" s="52"/>
    </row>
    <row r="78" spans="1:10" ht="15.75" x14ac:dyDescent="0.25">
      <c r="A78" s="27" t="s">
        <v>98</v>
      </c>
      <c r="B78" s="165" t="s">
        <v>52</v>
      </c>
      <c r="C78" s="86">
        <v>51431351</v>
      </c>
      <c r="D78" s="88" t="s">
        <v>14</v>
      </c>
      <c r="E78" s="165">
        <v>7200</v>
      </c>
      <c r="F78" s="21">
        <v>256.8827</v>
      </c>
      <c r="G78" s="21">
        <v>258.17680000000001</v>
      </c>
      <c r="H78" s="18">
        <f>(G78-F78)*E78</f>
        <v>9317.5200000001041</v>
      </c>
      <c r="I78" s="51"/>
      <c r="J78" s="52"/>
    </row>
    <row r="79" spans="1:10" ht="15.75" x14ac:dyDescent="0.25">
      <c r="A79" s="89" t="s">
        <v>99</v>
      </c>
      <c r="B79" s="165" t="s">
        <v>52</v>
      </c>
      <c r="C79" s="90">
        <v>51097666</v>
      </c>
      <c r="D79" s="88" t="s">
        <v>63</v>
      </c>
      <c r="E79" s="165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65" t="s">
        <v>52</v>
      </c>
      <c r="C80" s="90">
        <v>51259323</v>
      </c>
      <c r="D80" s="88" t="s">
        <v>63</v>
      </c>
      <c r="E80" s="165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31083.539999999819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65" t="s">
        <v>52</v>
      </c>
      <c r="C83" s="106">
        <v>51431297</v>
      </c>
      <c r="D83" s="166" t="s">
        <v>53</v>
      </c>
      <c r="E83" s="100">
        <v>7000</v>
      </c>
      <c r="F83" s="17">
        <v>316.56720000000001</v>
      </c>
      <c r="G83" s="17">
        <v>319.03489999999999</v>
      </c>
      <c r="H83" s="18">
        <f>(G83-F83)*E83</f>
        <v>17273.899999999856</v>
      </c>
      <c r="I83" s="107"/>
      <c r="J83" s="108"/>
    </row>
    <row r="84" spans="1:10" ht="15.75" x14ac:dyDescent="0.25">
      <c r="A84" s="105" t="s">
        <v>86</v>
      </c>
      <c r="B84" s="165" t="s">
        <v>52</v>
      </c>
      <c r="C84" s="106">
        <v>51431332</v>
      </c>
      <c r="D84" s="166" t="s">
        <v>53</v>
      </c>
      <c r="E84" s="100">
        <v>7000</v>
      </c>
      <c r="F84" s="17">
        <v>359.4776</v>
      </c>
      <c r="G84" s="17">
        <v>359.5967</v>
      </c>
      <c r="H84" s="18">
        <f>(G84-F84)*E84</f>
        <v>833.70000000002165</v>
      </c>
      <c r="I84" s="165"/>
      <c r="J84" s="58"/>
    </row>
    <row r="85" spans="1:10" s="129" customFormat="1" ht="15.75" x14ac:dyDescent="0.25">
      <c r="A85" s="27" t="s">
        <v>87</v>
      </c>
      <c r="B85" s="165" t="s">
        <v>103</v>
      </c>
      <c r="C85" s="109">
        <v>150773</v>
      </c>
      <c r="D85" s="166" t="s">
        <v>53</v>
      </c>
      <c r="E85" s="109">
        <v>20</v>
      </c>
      <c r="F85" s="17">
        <v>15746.7</v>
      </c>
      <c r="G85" s="17">
        <v>15753.1</v>
      </c>
      <c r="H85" s="18">
        <f>(G85-F85)*E85</f>
        <v>127.99999999999272</v>
      </c>
      <c r="I85" s="51"/>
      <c r="J85" s="58"/>
    </row>
    <row r="86" spans="1:10" s="129" customFormat="1" ht="15.75" x14ac:dyDescent="0.25">
      <c r="A86" s="27" t="s">
        <v>89</v>
      </c>
      <c r="B86" s="165" t="s">
        <v>103</v>
      </c>
      <c r="C86" s="109">
        <v>150791</v>
      </c>
      <c r="D86" s="166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67"/>
      <c r="C87" s="32"/>
      <c r="D87" s="82"/>
      <c r="E87" s="82"/>
      <c r="F87" s="21"/>
      <c r="G87" s="21"/>
      <c r="H87" s="48">
        <f>H83+H84</f>
        <v>18107.599999999878</v>
      </c>
      <c r="I87" s="85">
        <f>H87-H90-H85-H86</f>
        <v>376.08000000022366</v>
      </c>
      <c r="J87" s="25">
        <f>I87/H87</f>
        <v>2.0769179791923071E-2</v>
      </c>
    </row>
    <row r="88" spans="1:10" ht="15.75" x14ac:dyDescent="0.25">
      <c r="A88" s="27" t="s">
        <v>104</v>
      </c>
      <c r="B88" s="165" t="s">
        <v>52</v>
      </c>
      <c r="C88" s="106">
        <v>51431342</v>
      </c>
      <c r="D88" s="88" t="s">
        <v>34</v>
      </c>
      <c r="E88" s="165">
        <v>4800</v>
      </c>
      <c r="F88" s="21">
        <v>450.25510000000003</v>
      </c>
      <c r="G88" s="21">
        <v>453.81049999999999</v>
      </c>
      <c r="H88" s="18">
        <f>(G88-F88)*E88</f>
        <v>17065.919999999824</v>
      </c>
      <c r="I88" s="51"/>
      <c r="J88" s="52"/>
    </row>
    <row r="89" spans="1:10" ht="15.75" x14ac:dyDescent="0.25">
      <c r="A89" s="27" t="s">
        <v>105</v>
      </c>
      <c r="B89" s="165" t="s">
        <v>52</v>
      </c>
      <c r="C89" s="106">
        <v>51431343</v>
      </c>
      <c r="D89" s="88" t="s">
        <v>34</v>
      </c>
      <c r="E89" s="165">
        <v>4800</v>
      </c>
      <c r="F89" s="21">
        <v>507.11320000000001</v>
      </c>
      <c r="G89" s="21">
        <v>507.22519999999997</v>
      </c>
      <c r="H89" s="18">
        <f>(G89-F89)*E89</f>
        <v>537.59999999983847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17603.519999999662</v>
      </c>
      <c r="I90" s="85">
        <f>H90-H98</f>
        <v>-75.800000000170257</v>
      </c>
      <c r="J90" s="25">
        <f>I90/H90</f>
        <v>-4.3059569904298524E-3</v>
      </c>
    </row>
    <row r="91" spans="1:10" ht="15.75" x14ac:dyDescent="0.25">
      <c r="A91" s="27" t="s">
        <v>107</v>
      </c>
      <c r="B91" s="165" t="s">
        <v>52</v>
      </c>
      <c r="C91" s="106">
        <v>51431347</v>
      </c>
      <c r="D91" s="166" t="s">
        <v>53</v>
      </c>
      <c r="E91" s="165">
        <v>1200</v>
      </c>
      <c r="F91" s="21">
        <v>1202.1474000000001</v>
      </c>
      <c r="G91" s="21">
        <v>1202.1474000000001</v>
      </c>
      <c r="H91" s="18">
        <f>(G91-F91)*E91</f>
        <v>0</v>
      </c>
      <c r="I91" s="51"/>
      <c r="J91" s="52"/>
    </row>
    <row r="92" spans="1:10" ht="15.75" x14ac:dyDescent="0.25">
      <c r="A92" s="27" t="s">
        <v>108</v>
      </c>
      <c r="B92" s="165" t="s">
        <v>52</v>
      </c>
      <c r="C92" s="106">
        <v>51431339</v>
      </c>
      <c r="D92" s="166" t="s">
        <v>53</v>
      </c>
      <c r="E92" s="165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65" t="s">
        <v>52</v>
      </c>
      <c r="C93" s="106">
        <v>51217244</v>
      </c>
      <c r="D93" s="165" t="s">
        <v>37</v>
      </c>
      <c r="E93" s="165">
        <v>600</v>
      </c>
      <c r="F93" s="30">
        <v>346.88440000000003</v>
      </c>
      <c r="G93" s="30">
        <v>347.66770000000002</v>
      </c>
      <c r="H93" s="18">
        <f t="shared" si="4"/>
        <v>469.9799999999982</v>
      </c>
      <c r="I93" s="51"/>
      <c r="J93" s="52"/>
    </row>
    <row r="94" spans="1:10" ht="15.75" x14ac:dyDescent="0.25">
      <c r="A94" s="27" t="s">
        <v>110</v>
      </c>
      <c r="B94" s="165" t="s">
        <v>52</v>
      </c>
      <c r="C94" s="106">
        <v>51217267</v>
      </c>
      <c r="D94" s="88" t="s">
        <v>63</v>
      </c>
      <c r="E94" s="165">
        <v>2400</v>
      </c>
      <c r="F94" s="30">
        <v>20.748200000000001</v>
      </c>
      <c r="G94" s="30">
        <v>20.778099999999998</v>
      </c>
      <c r="H94" s="18">
        <f t="shared" si="4"/>
        <v>71.759999999994761</v>
      </c>
      <c r="I94" s="51"/>
      <c r="J94" s="52"/>
    </row>
    <row r="95" spans="1:10" ht="15.75" x14ac:dyDescent="0.25">
      <c r="A95" s="27" t="s">
        <v>111</v>
      </c>
      <c r="B95" s="165" t="s">
        <v>52</v>
      </c>
      <c r="C95" s="165">
        <v>51555165</v>
      </c>
      <c r="D95" s="166" t="s">
        <v>53</v>
      </c>
      <c r="E95" s="165">
        <v>1200</v>
      </c>
      <c r="F95" s="30">
        <v>969.60810000000004</v>
      </c>
      <c r="G95" s="30">
        <v>978.27239999999995</v>
      </c>
      <c r="H95" s="18">
        <f t="shared" si="4"/>
        <v>10397.159999999894</v>
      </c>
      <c r="I95" s="51" t="s">
        <v>27</v>
      </c>
      <c r="J95" s="52"/>
    </row>
    <row r="96" spans="1:10" ht="15.75" x14ac:dyDescent="0.25">
      <c r="A96" s="113" t="s">
        <v>112</v>
      </c>
      <c r="B96" s="165" t="s">
        <v>52</v>
      </c>
      <c r="C96" s="106">
        <v>51431346</v>
      </c>
      <c r="D96" s="114" t="s">
        <v>37</v>
      </c>
      <c r="E96" s="114">
        <v>600</v>
      </c>
      <c r="F96" s="30">
        <v>380.35770000000002</v>
      </c>
      <c r="G96" s="30">
        <v>382.51339999999999</v>
      </c>
      <c r="H96" s="115">
        <f t="shared" si="4"/>
        <v>1293.4199999999805</v>
      </c>
      <c r="I96" s="116"/>
      <c r="J96" s="117"/>
    </row>
    <row r="97" spans="1:10" ht="15.75" x14ac:dyDescent="0.25">
      <c r="A97" s="27" t="s">
        <v>113</v>
      </c>
      <c r="B97" s="165" t="s">
        <v>52</v>
      </c>
      <c r="C97" s="106">
        <v>51431352</v>
      </c>
      <c r="D97" s="88" t="s">
        <v>21</v>
      </c>
      <c r="E97" s="165">
        <v>3600</v>
      </c>
      <c r="F97" s="21">
        <v>253.9222</v>
      </c>
      <c r="G97" s="21">
        <v>255.3997</v>
      </c>
      <c r="H97" s="18">
        <f t="shared" si="4"/>
        <v>5318.9999999999709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17679.319999999832</v>
      </c>
      <c r="I98" s="51"/>
      <c r="J98" s="52"/>
    </row>
    <row r="99" spans="1:10" ht="15.75" x14ac:dyDescent="0.25">
      <c r="A99" s="45" t="s">
        <v>114</v>
      </c>
      <c r="B99" s="165" t="s">
        <v>52</v>
      </c>
      <c r="C99" s="120">
        <v>51431357</v>
      </c>
      <c r="D99" s="166" t="s">
        <v>63</v>
      </c>
      <c r="E99" s="166">
        <v>14000</v>
      </c>
      <c r="F99" s="28">
        <v>882.00639999999999</v>
      </c>
      <c r="G99" s="28">
        <v>885.3365</v>
      </c>
      <c r="H99" s="121">
        <f t="shared" si="4"/>
        <v>46621.40000000022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opLeftCell="C55" workbookViewId="0">
      <selection activeCell="G76" sqref="G7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130</v>
      </c>
      <c r="G2" s="4" t="s">
        <v>131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68" t="s">
        <v>13</v>
      </c>
      <c r="C4" s="168">
        <v>51555166</v>
      </c>
      <c r="D4" s="168" t="s">
        <v>14</v>
      </c>
      <c r="E4" s="168">
        <v>132000</v>
      </c>
      <c r="F4" s="17">
        <v>7.0033000000000003</v>
      </c>
      <c r="G4" s="17">
        <v>7.0118999999999998</v>
      </c>
      <c r="H4" s="18">
        <f>(G4-F4)*E4</f>
        <v>1135.1999999999337</v>
      </c>
      <c r="I4" s="19"/>
      <c r="J4" s="20"/>
    </row>
    <row r="5" spans="1:10" ht="15.75" x14ac:dyDescent="0.25">
      <c r="A5" s="15" t="s">
        <v>15</v>
      </c>
      <c r="B5" s="168" t="s">
        <v>13</v>
      </c>
      <c r="C5" s="168">
        <v>51555191</v>
      </c>
      <c r="D5" s="168" t="s">
        <v>14</v>
      </c>
      <c r="E5" s="168">
        <v>132000</v>
      </c>
      <c r="F5" s="21">
        <v>398.86259999999999</v>
      </c>
      <c r="G5" s="21">
        <v>400.7842</v>
      </c>
      <c r="H5" s="18">
        <f>(G5-F5)*E5</f>
        <v>253651.20000000161</v>
      </c>
      <c r="I5" s="19"/>
      <c r="J5" s="20"/>
    </row>
    <row r="6" spans="1:10" ht="15.75" x14ac:dyDescent="0.25">
      <c r="A6" s="218" t="s">
        <v>16</v>
      </c>
      <c r="B6" s="219"/>
      <c r="C6" s="168"/>
      <c r="D6" s="169"/>
      <c r="E6" s="168"/>
      <c r="H6" s="23">
        <f>H4+H5</f>
        <v>254786.40000000154</v>
      </c>
      <c r="I6" s="24">
        <f>H6-H9-H19</f>
        <v>1983.5999999997439</v>
      </c>
      <c r="J6" s="25">
        <f>I6/H6</f>
        <v>7.7853449006686851E-3</v>
      </c>
    </row>
    <row r="7" spans="1:10" ht="15.75" x14ac:dyDescent="0.25">
      <c r="A7" s="26" t="s">
        <v>17</v>
      </c>
      <c r="B7" s="168" t="s">
        <v>13</v>
      </c>
      <c r="C7" s="168">
        <v>51097629</v>
      </c>
      <c r="D7" s="169" t="s">
        <v>14</v>
      </c>
      <c r="E7" s="168">
        <v>42000</v>
      </c>
      <c r="F7" s="21">
        <v>1163.9716000000001</v>
      </c>
      <c r="G7" s="21">
        <v>1168.3592000000001</v>
      </c>
      <c r="H7" s="18">
        <f>(G7-F7)*E7</f>
        <v>184279.20000000086</v>
      </c>
      <c r="I7" s="19"/>
      <c r="J7" s="20"/>
    </row>
    <row r="8" spans="1:10" ht="15.75" x14ac:dyDescent="0.25">
      <c r="A8" s="26" t="s">
        <v>18</v>
      </c>
      <c r="B8" s="168" t="s">
        <v>13</v>
      </c>
      <c r="C8" s="168">
        <v>51616820</v>
      </c>
      <c r="D8" s="169" t="s">
        <v>14</v>
      </c>
      <c r="E8" s="168">
        <v>42000</v>
      </c>
      <c r="F8" s="21">
        <v>15.3924</v>
      </c>
      <c r="G8" s="21">
        <v>15.405799999999999</v>
      </c>
      <c r="H8" s="18">
        <f>(G8-F8)*E8</f>
        <v>562.79999999995664</v>
      </c>
      <c r="I8" s="19"/>
      <c r="J8" s="20"/>
    </row>
    <row r="9" spans="1:10" ht="15.75" x14ac:dyDescent="0.25">
      <c r="A9" s="218" t="s">
        <v>19</v>
      </c>
      <c r="B9" s="219"/>
      <c r="C9" s="168"/>
      <c r="D9" s="169"/>
      <c r="E9" s="168"/>
      <c r="F9" s="21"/>
      <c r="G9" s="21"/>
      <c r="H9" s="23">
        <f>H7+H8</f>
        <v>184842.00000000081</v>
      </c>
      <c r="I9" s="24">
        <f>H9-H16</f>
        <v>109.20000000149594</v>
      </c>
      <c r="J9" s="25">
        <f>I9/H9</f>
        <v>5.9077482391174869E-4</v>
      </c>
    </row>
    <row r="10" spans="1:10" ht="15.75" x14ac:dyDescent="0.25">
      <c r="A10" s="27" t="s">
        <v>20</v>
      </c>
      <c r="B10" s="168" t="s">
        <v>13</v>
      </c>
      <c r="C10" s="168">
        <v>51217286</v>
      </c>
      <c r="D10" s="169" t="s">
        <v>21</v>
      </c>
      <c r="E10" s="168">
        <v>21000</v>
      </c>
      <c r="F10" s="21">
        <v>918.50990000000002</v>
      </c>
      <c r="G10" s="21">
        <v>921.52670000000001</v>
      </c>
      <c r="H10" s="18">
        <f t="shared" ref="H10:H15" si="0">(G10-F10)*E10</f>
        <v>63352.799999999777</v>
      </c>
      <c r="I10" s="19"/>
      <c r="J10" s="20"/>
    </row>
    <row r="11" spans="1:10" ht="15.75" x14ac:dyDescent="0.25">
      <c r="A11" s="27" t="s">
        <v>22</v>
      </c>
      <c r="B11" s="168" t="s">
        <v>13</v>
      </c>
      <c r="C11" s="168">
        <v>51217292</v>
      </c>
      <c r="D11" s="169" t="s">
        <v>21</v>
      </c>
      <c r="E11" s="168">
        <v>21000</v>
      </c>
      <c r="F11" s="28">
        <v>3.9620000000000002</v>
      </c>
      <c r="G11" s="28">
        <v>3.968</v>
      </c>
      <c r="H11" s="18">
        <f>(G11-F11)*E11</f>
        <v>125.99999999999545</v>
      </c>
      <c r="I11" s="19"/>
      <c r="J11" s="20"/>
    </row>
    <row r="12" spans="1:10" ht="15.75" x14ac:dyDescent="0.25">
      <c r="A12" s="27" t="s">
        <v>23</v>
      </c>
      <c r="B12" s="168" t="s">
        <v>13</v>
      </c>
      <c r="C12" s="168">
        <v>51217271</v>
      </c>
      <c r="D12" s="169" t="s">
        <v>21</v>
      </c>
      <c r="E12" s="168">
        <v>21000</v>
      </c>
      <c r="F12" s="21">
        <v>689.46519999999998</v>
      </c>
      <c r="G12" s="21">
        <v>692.35209999999995</v>
      </c>
      <c r="H12" s="18">
        <f t="shared" si="0"/>
        <v>60624.899999999339</v>
      </c>
      <c r="I12" s="19"/>
      <c r="J12" s="20"/>
    </row>
    <row r="13" spans="1:10" ht="15.75" x14ac:dyDescent="0.25">
      <c r="A13" s="27" t="s">
        <v>24</v>
      </c>
      <c r="B13" s="168" t="s">
        <v>13</v>
      </c>
      <c r="C13" s="168">
        <v>51217276</v>
      </c>
      <c r="D13" s="169" t="s">
        <v>21</v>
      </c>
      <c r="E13" s="168">
        <v>21000</v>
      </c>
      <c r="F13" s="28">
        <v>0.60350000000000004</v>
      </c>
      <c r="G13" s="28">
        <v>0.60850000000000004</v>
      </c>
      <c r="H13" s="18">
        <f>(G13-F13)*E13</f>
        <v>105.0000000000001</v>
      </c>
      <c r="I13" s="19"/>
      <c r="J13" s="20"/>
    </row>
    <row r="14" spans="1:10" ht="15.75" x14ac:dyDescent="0.25">
      <c r="A14" s="27" t="s">
        <v>25</v>
      </c>
      <c r="B14" s="168" t="s">
        <v>13</v>
      </c>
      <c r="C14" s="168">
        <v>51100990</v>
      </c>
      <c r="D14" s="169" t="s">
        <v>21</v>
      </c>
      <c r="E14" s="168">
        <v>21000</v>
      </c>
      <c r="F14" s="29">
        <v>739.3297</v>
      </c>
      <c r="G14" s="29">
        <v>742.20330000000001</v>
      </c>
      <c r="H14" s="18">
        <f t="shared" si="0"/>
        <v>60345.600000000217</v>
      </c>
      <c r="I14" s="19"/>
      <c r="J14" s="20"/>
    </row>
    <row r="15" spans="1:10" ht="15.75" x14ac:dyDescent="0.25">
      <c r="A15" s="27" t="s">
        <v>26</v>
      </c>
      <c r="B15" s="168" t="s">
        <v>13</v>
      </c>
      <c r="C15" s="168">
        <v>51097622</v>
      </c>
      <c r="D15" s="169" t="s">
        <v>21</v>
      </c>
      <c r="E15" s="168">
        <v>21000</v>
      </c>
      <c r="F15" s="21">
        <v>9.3721999999999994</v>
      </c>
      <c r="G15" s="21">
        <v>9.3806999999999992</v>
      </c>
      <c r="H15" s="18">
        <f t="shared" si="0"/>
        <v>178.49999999999432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68"/>
      <c r="D16" s="169"/>
      <c r="E16" s="168"/>
      <c r="F16" s="21"/>
      <c r="G16" s="21"/>
      <c r="H16" s="23">
        <f>H10+H11+H12+H13+H14+H15</f>
        <v>184732.79999999932</v>
      </c>
      <c r="I16" s="19"/>
      <c r="J16" s="20"/>
    </row>
    <row r="17" spans="1:10" ht="15.75" x14ac:dyDescent="0.25">
      <c r="A17" s="26" t="s">
        <v>29</v>
      </c>
      <c r="B17" s="168" t="s">
        <v>13</v>
      </c>
      <c r="C17" s="168">
        <v>51097617</v>
      </c>
      <c r="D17" s="169" t="s">
        <v>30</v>
      </c>
      <c r="E17" s="168">
        <v>18000</v>
      </c>
      <c r="F17" s="30">
        <v>911.34709999999995</v>
      </c>
      <c r="G17" s="30">
        <v>915.12270000000001</v>
      </c>
      <c r="H17" s="18">
        <f>(G17-F17)*E17</f>
        <v>67960.800000000978</v>
      </c>
      <c r="I17" s="19"/>
      <c r="J17" s="20"/>
    </row>
    <row r="18" spans="1:10" ht="15.75" x14ac:dyDescent="0.25">
      <c r="A18" s="26" t="s">
        <v>31</v>
      </c>
      <c r="B18" s="168" t="s">
        <v>13</v>
      </c>
      <c r="C18" s="168">
        <v>51097655</v>
      </c>
      <c r="D18" s="169" t="s">
        <v>30</v>
      </c>
      <c r="E18" s="168">
        <v>18000</v>
      </c>
      <c r="F18" s="30">
        <v>11.5421</v>
      </c>
      <c r="G18" s="30">
        <v>11.5421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68"/>
      <c r="D19" s="169"/>
      <c r="E19" s="168"/>
      <c r="F19" s="30"/>
      <c r="G19" s="30"/>
      <c r="H19" s="23">
        <f>H17+H18</f>
        <v>67960.800000000978</v>
      </c>
      <c r="I19" s="24">
        <f>H19-H34</f>
        <v>848.16000000090571</v>
      </c>
      <c r="J19" s="25">
        <f>I19/H19</f>
        <v>1.2480135607598697E-2</v>
      </c>
    </row>
    <row r="20" spans="1:10" ht="15.75" x14ac:dyDescent="0.25">
      <c r="A20" s="15" t="s">
        <v>33</v>
      </c>
      <c r="B20" s="168" t="s">
        <v>13</v>
      </c>
      <c r="C20" s="168">
        <v>51217282</v>
      </c>
      <c r="D20" s="169" t="s">
        <v>34</v>
      </c>
      <c r="E20" s="168">
        <v>4800</v>
      </c>
      <c r="F20" s="21">
        <v>385.5274</v>
      </c>
      <c r="G20" s="21">
        <v>385.57330000000002</v>
      </c>
      <c r="H20" s="18">
        <f t="shared" ref="H20:H33" si="1">(G20-F20)*E20</f>
        <v>220.32000000008338</v>
      </c>
      <c r="I20" s="19" t="s">
        <v>27</v>
      </c>
      <c r="J20" s="20"/>
    </row>
    <row r="21" spans="1:10" ht="15.75" x14ac:dyDescent="0.25">
      <c r="A21" s="15" t="s">
        <v>35</v>
      </c>
      <c r="B21" s="168" t="s">
        <v>13</v>
      </c>
      <c r="C21" s="168">
        <v>51217274</v>
      </c>
      <c r="D21" s="169" t="s">
        <v>34</v>
      </c>
      <c r="E21" s="168">
        <v>4800</v>
      </c>
      <c r="F21" s="21">
        <v>1418.9671000000001</v>
      </c>
      <c r="G21" s="21">
        <v>1424.9834000000001</v>
      </c>
      <c r="H21" s="18">
        <f t="shared" si="1"/>
        <v>28878.240000000005</v>
      </c>
      <c r="I21" s="19"/>
      <c r="J21" s="20"/>
    </row>
    <row r="22" spans="1:10" ht="15.75" x14ac:dyDescent="0.25">
      <c r="A22" s="15" t="s">
        <v>36</v>
      </c>
      <c r="B22" s="168" t="s">
        <v>13</v>
      </c>
      <c r="C22" s="168">
        <v>51097664</v>
      </c>
      <c r="D22" s="169" t="s">
        <v>37</v>
      </c>
      <c r="E22" s="168">
        <v>600</v>
      </c>
      <c r="F22" s="21">
        <v>4.4410999999999996</v>
      </c>
      <c r="G22" s="21">
        <v>4.4410999999999996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68" t="s">
        <v>13</v>
      </c>
      <c r="C23" s="168">
        <v>51097615</v>
      </c>
      <c r="D23" s="169" t="s">
        <v>37</v>
      </c>
      <c r="E23" s="168">
        <v>600</v>
      </c>
      <c r="F23" s="21">
        <v>47.888500000000001</v>
      </c>
      <c r="G23" s="21">
        <v>48.176699999999997</v>
      </c>
      <c r="H23" s="18">
        <f t="shared" si="1"/>
        <v>172.91999999999774</v>
      </c>
      <c r="I23" s="19"/>
      <c r="J23" s="20"/>
    </row>
    <row r="24" spans="1:10" ht="15.75" x14ac:dyDescent="0.25">
      <c r="A24" s="15" t="s">
        <v>39</v>
      </c>
      <c r="B24" s="168" t="s">
        <v>13</v>
      </c>
      <c r="C24" s="168">
        <v>51217264</v>
      </c>
      <c r="D24" s="169" t="s">
        <v>37</v>
      </c>
      <c r="E24" s="168">
        <v>600</v>
      </c>
      <c r="F24" s="21">
        <v>111.64749999999999</v>
      </c>
      <c r="G24" s="21">
        <v>112.252</v>
      </c>
      <c r="H24" s="18">
        <f t="shared" si="1"/>
        <v>362.70000000000095</v>
      </c>
      <c r="I24" s="19"/>
      <c r="J24" s="20"/>
    </row>
    <row r="25" spans="1:10" ht="15.75" x14ac:dyDescent="0.25">
      <c r="A25" s="15" t="s">
        <v>40</v>
      </c>
      <c r="B25" s="168" t="s">
        <v>13</v>
      </c>
      <c r="C25" s="168">
        <v>51217288</v>
      </c>
      <c r="D25" s="169" t="s">
        <v>37</v>
      </c>
      <c r="E25" s="168">
        <v>600</v>
      </c>
      <c r="F25" s="21">
        <v>20.856999999999999</v>
      </c>
      <c r="G25" s="21">
        <v>20.887699999999999</v>
      </c>
      <c r="H25" s="18">
        <f t="shared" si="1"/>
        <v>18.419999999999703</v>
      </c>
      <c r="I25" s="19" t="s">
        <v>27</v>
      </c>
      <c r="J25" s="20"/>
    </row>
    <row r="26" spans="1:10" ht="15.75" x14ac:dyDescent="0.25">
      <c r="A26" s="15" t="s">
        <v>41</v>
      </c>
      <c r="B26" s="168" t="s">
        <v>13</v>
      </c>
      <c r="C26" s="168">
        <v>51217279</v>
      </c>
      <c r="D26" s="169" t="s">
        <v>37</v>
      </c>
      <c r="E26" s="168">
        <v>600</v>
      </c>
      <c r="F26" s="21">
        <v>15.967499999999999</v>
      </c>
      <c r="G26" s="21">
        <v>16.020199999999999</v>
      </c>
      <c r="H26" s="18">
        <f t="shared" si="1"/>
        <v>31.619999999999848</v>
      </c>
      <c r="I26" s="19" t="s">
        <v>27</v>
      </c>
      <c r="J26" s="20"/>
    </row>
    <row r="27" spans="1:10" ht="15.75" x14ac:dyDescent="0.25">
      <c r="A27" s="15" t="s">
        <v>42</v>
      </c>
      <c r="B27" s="168" t="s">
        <v>13</v>
      </c>
      <c r="C27" s="168">
        <v>51217272</v>
      </c>
      <c r="D27" s="169" t="s">
        <v>37</v>
      </c>
      <c r="E27" s="168">
        <v>600</v>
      </c>
      <c r="F27" s="31">
        <v>15.661</v>
      </c>
      <c r="G27" s="31">
        <v>15.7127</v>
      </c>
      <c r="H27" s="18">
        <f t="shared" si="1"/>
        <v>31.020000000000181</v>
      </c>
      <c r="I27" s="19"/>
      <c r="J27" s="20"/>
    </row>
    <row r="28" spans="1:10" ht="15.75" x14ac:dyDescent="0.25">
      <c r="A28" s="15" t="s">
        <v>43</v>
      </c>
      <c r="B28" s="168" t="s">
        <v>13</v>
      </c>
      <c r="C28" s="168">
        <v>51616744</v>
      </c>
      <c r="D28" s="169">
        <f>300/5</f>
        <v>60</v>
      </c>
      <c r="E28" s="168">
        <v>3600</v>
      </c>
      <c r="F28" s="31">
        <v>109.78489999999999</v>
      </c>
      <c r="G28" s="31">
        <v>109.78489999999999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68" t="s">
        <v>13</v>
      </c>
      <c r="C29" s="168">
        <v>51555226</v>
      </c>
      <c r="D29" s="169">
        <f>300/5</f>
        <v>60</v>
      </c>
      <c r="E29" s="168">
        <v>3600</v>
      </c>
      <c r="F29" s="31">
        <v>566.74310000000003</v>
      </c>
      <c r="G29" s="31">
        <v>570.04579999999999</v>
      </c>
      <c r="H29" s="18">
        <f>(G29-F29)*E29</f>
        <v>11889.719999999852</v>
      </c>
      <c r="I29" s="19"/>
      <c r="J29" s="20"/>
    </row>
    <row r="30" spans="1:10" ht="15.75" x14ac:dyDescent="0.25">
      <c r="A30" s="15" t="s">
        <v>45</v>
      </c>
      <c r="B30" s="168" t="s">
        <v>13</v>
      </c>
      <c r="C30" s="168">
        <v>51097658</v>
      </c>
      <c r="D30" s="169" t="s">
        <v>34</v>
      </c>
      <c r="E30" s="168">
        <v>4800</v>
      </c>
      <c r="F30" s="31">
        <v>714.18889999999999</v>
      </c>
      <c r="G30" s="31">
        <v>717.24630000000002</v>
      </c>
      <c r="H30" s="18">
        <f t="shared" si="1"/>
        <v>14675.520000000142</v>
      </c>
      <c r="I30" s="19"/>
      <c r="J30" s="20"/>
    </row>
    <row r="31" spans="1:10" ht="15.75" x14ac:dyDescent="0.25">
      <c r="A31" s="15" t="s">
        <v>46</v>
      </c>
      <c r="B31" s="168" t="s">
        <v>13</v>
      </c>
      <c r="C31" s="168">
        <v>51097635</v>
      </c>
      <c r="D31" s="169" t="s">
        <v>34</v>
      </c>
      <c r="E31" s="168">
        <v>4800</v>
      </c>
      <c r="F31" s="31">
        <v>48.486199999999997</v>
      </c>
      <c r="G31" s="31">
        <v>48.488399999999999</v>
      </c>
      <c r="H31" s="18">
        <f t="shared" si="1"/>
        <v>10.560000000009495</v>
      </c>
      <c r="I31" s="19"/>
      <c r="J31" s="20"/>
    </row>
    <row r="32" spans="1:10" ht="15.75" x14ac:dyDescent="0.25">
      <c r="A32" s="15" t="s">
        <v>47</v>
      </c>
      <c r="B32" s="168" t="s">
        <v>13</v>
      </c>
      <c r="C32" s="32">
        <v>51097633</v>
      </c>
      <c r="D32" s="169" t="s">
        <v>34</v>
      </c>
      <c r="E32" s="168">
        <v>4800</v>
      </c>
      <c r="F32" s="31">
        <v>212.73240000000001</v>
      </c>
      <c r="G32" s="31">
        <v>214.96780000000001</v>
      </c>
      <c r="H32" s="33">
        <f t="shared" si="1"/>
        <v>10729.919999999993</v>
      </c>
      <c r="I32" s="34"/>
      <c r="J32" s="35"/>
    </row>
    <row r="33" spans="1:10" ht="15.75" x14ac:dyDescent="0.25">
      <c r="A33" s="15" t="s">
        <v>48</v>
      </c>
      <c r="B33" s="168" t="s">
        <v>13</v>
      </c>
      <c r="C33" s="32">
        <v>51097662</v>
      </c>
      <c r="D33" s="169" t="s">
        <v>34</v>
      </c>
      <c r="E33" s="168">
        <v>4800</v>
      </c>
      <c r="F33" s="31">
        <v>4.3670999999999998</v>
      </c>
      <c r="G33" s="31">
        <v>4.3861999999999997</v>
      </c>
      <c r="H33" s="33">
        <f t="shared" si="1"/>
        <v>91.679999999999495</v>
      </c>
      <c r="I33" s="34"/>
      <c r="J33" s="35"/>
    </row>
    <row r="34" spans="1:10" ht="15.75" x14ac:dyDescent="0.25">
      <c r="A34" s="218" t="s">
        <v>49</v>
      </c>
      <c r="B34" s="219"/>
      <c r="C34" s="168"/>
      <c r="D34" s="169"/>
      <c r="E34" s="168"/>
      <c r="F34" s="36"/>
      <c r="G34" s="36"/>
      <c r="H34" s="23">
        <f>H20+H21+H22+H23+H24+H25+H26+H27+H28+H29+H30+H31+H32+H33</f>
        <v>67112.640000000072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68" t="s">
        <v>52</v>
      </c>
      <c r="C36" s="168">
        <v>51555209</v>
      </c>
      <c r="D36" s="169" t="s">
        <v>53</v>
      </c>
      <c r="E36" s="168">
        <v>7000</v>
      </c>
      <c r="F36" s="17">
        <v>6.1974999999999998</v>
      </c>
      <c r="G36" s="17">
        <v>6.2119</v>
      </c>
      <c r="H36" s="41">
        <f>(G36-F36)*E36</f>
        <v>100.80000000000133</v>
      </c>
      <c r="I36" s="42"/>
      <c r="J36" s="14"/>
    </row>
    <row r="37" spans="1:10" ht="15.75" x14ac:dyDescent="0.25">
      <c r="A37" s="15" t="s">
        <v>54</v>
      </c>
      <c r="B37" s="168" t="s">
        <v>52</v>
      </c>
      <c r="C37" s="168">
        <v>51555209</v>
      </c>
      <c r="D37" s="169" t="s">
        <v>53</v>
      </c>
      <c r="E37" s="168">
        <v>7000</v>
      </c>
      <c r="F37" s="21">
        <v>10.972200000000001</v>
      </c>
      <c r="G37" s="21">
        <v>11.022399999999999</v>
      </c>
      <c r="H37" s="18">
        <f>(G37-F37)*E37</f>
        <v>351.39999999998929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68" t="s">
        <v>52</v>
      </c>
      <c r="C39" s="168">
        <v>51097674</v>
      </c>
      <c r="D39" s="168" t="s">
        <v>14</v>
      </c>
      <c r="E39" s="168">
        <v>7200</v>
      </c>
      <c r="F39" s="21">
        <v>630.08140000000003</v>
      </c>
      <c r="G39" s="21">
        <v>632.45090000000005</v>
      </c>
      <c r="H39" s="18">
        <f>(G39-F39)*E39</f>
        <v>17060.400000000118</v>
      </c>
      <c r="I39" s="47"/>
      <c r="J39" s="20"/>
    </row>
    <row r="40" spans="1:10" ht="15.75" x14ac:dyDescent="0.25">
      <c r="A40" s="27" t="s">
        <v>57</v>
      </c>
      <c r="B40" s="168" t="s">
        <v>52</v>
      </c>
      <c r="C40" s="168">
        <v>51259257</v>
      </c>
      <c r="D40" s="168" t="s">
        <v>14</v>
      </c>
      <c r="E40" s="168">
        <v>7200</v>
      </c>
      <c r="F40" s="21">
        <v>1.0555000000000001</v>
      </c>
      <c r="G40" s="21">
        <v>1.0555000000000001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68"/>
      <c r="C41" s="168"/>
      <c r="D41" s="168"/>
      <c r="E41" s="168"/>
      <c r="F41" s="21"/>
      <c r="G41" s="21"/>
      <c r="H41" s="48">
        <f>H39+H40</f>
        <v>17060.400000000118</v>
      </c>
      <c r="I41" s="24">
        <f>H41-H49</f>
        <v>-121.27999999985695</v>
      </c>
      <c r="J41" s="25">
        <f>I41/H41</f>
        <v>-7.1088602846273311E-3</v>
      </c>
    </row>
    <row r="42" spans="1:10" ht="15.75" x14ac:dyDescent="0.25">
      <c r="A42" s="15" t="s">
        <v>59</v>
      </c>
      <c r="B42" s="168"/>
      <c r="C42" s="168"/>
      <c r="D42" s="169"/>
      <c r="E42" s="168"/>
      <c r="H42" s="18"/>
      <c r="I42" s="43"/>
      <c r="J42" s="20"/>
    </row>
    <row r="43" spans="1:10" ht="15.75" x14ac:dyDescent="0.25">
      <c r="A43" s="27" t="s">
        <v>60</v>
      </c>
      <c r="B43" s="168" t="s">
        <v>52</v>
      </c>
      <c r="C43" s="32">
        <v>51097648</v>
      </c>
      <c r="D43" s="168" t="s">
        <v>53</v>
      </c>
      <c r="E43" s="168">
        <v>1200</v>
      </c>
      <c r="F43" s="21">
        <v>515.67100000000005</v>
      </c>
      <c r="G43" s="21">
        <v>517.53729999999996</v>
      </c>
      <c r="H43" s="33">
        <f>(G43-F43)*E43</f>
        <v>2239.5599999998922</v>
      </c>
      <c r="I43" s="43"/>
      <c r="J43" s="20"/>
    </row>
    <row r="44" spans="1:10" ht="15.75" x14ac:dyDescent="0.25">
      <c r="A44" s="27" t="s">
        <v>61</v>
      </c>
      <c r="B44" s="168" t="s">
        <v>52</v>
      </c>
      <c r="C44" s="32">
        <v>50555043</v>
      </c>
      <c r="D44" s="168" t="s">
        <v>53</v>
      </c>
      <c r="E44" s="168">
        <v>1200</v>
      </c>
      <c r="F44" s="21">
        <v>2157.4895000000001</v>
      </c>
      <c r="G44" s="21">
        <v>2165.4279000000001</v>
      </c>
      <c r="H44" s="33">
        <f>(G44-F44)*E44</f>
        <v>9526.0800000000017</v>
      </c>
      <c r="I44" s="43"/>
      <c r="J44" s="20"/>
    </row>
    <row r="45" spans="1:10" ht="15.75" x14ac:dyDescent="0.25">
      <c r="A45" s="27" t="s">
        <v>62</v>
      </c>
      <c r="B45" s="168" t="s">
        <v>52</v>
      </c>
      <c r="C45" s="32">
        <v>51259336</v>
      </c>
      <c r="D45" s="168" t="s">
        <v>63</v>
      </c>
      <c r="E45" s="168">
        <v>2400</v>
      </c>
      <c r="F45" s="21">
        <v>4.3384999999999998</v>
      </c>
      <c r="G45" s="21">
        <v>4.3518999999999997</v>
      </c>
      <c r="H45" s="33">
        <f>(G45-F45)*E45</f>
        <v>32.159999999999656</v>
      </c>
      <c r="I45" s="43"/>
      <c r="J45" s="20"/>
    </row>
    <row r="46" spans="1:10" ht="15.75" x14ac:dyDescent="0.25">
      <c r="A46" s="27" t="s">
        <v>64</v>
      </c>
      <c r="B46" s="168" t="s">
        <v>52</v>
      </c>
      <c r="C46" s="32">
        <v>51259266</v>
      </c>
      <c r="D46" s="168" t="s">
        <v>53</v>
      </c>
      <c r="E46" s="168">
        <v>1200</v>
      </c>
      <c r="F46" s="21">
        <v>1046.6922</v>
      </c>
      <c r="G46" s="21">
        <v>1050.7961</v>
      </c>
      <c r="H46" s="33">
        <f>(G46-F46)*E46</f>
        <v>4924.6800000000803</v>
      </c>
      <c r="I46" s="43"/>
      <c r="J46" s="20"/>
    </row>
    <row r="47" spans="1:10" ht="15.75" x14ac:dyDescent="0.25">
      <c r="A47" s="27" t="s">
        <v>65</v>
      </c>
      <c r="B47" s="168" t="s">
        <v>52</v>
      </c>
      <c r="C47" s="32">
        <v>51431336</v>
      </c>
      <c r="D47" s="168" t="s">
        <v>53</v>
      </c>
      <c r="E47" s="168">
        <v>1200</v>
      </c>
      <c r="F47" s="21">
        <v>63.199599999999997</v>
      </c>
      <c r="G47" s="21">
        <v>63.540599999999998</v>
      </c>
      <c r="H47" s="33">
        <f>(G47-F47)*E47</f>
        <v>409.2000000000013</v>
      </c>
      <c r="I47" s="43"/>
      <c r="J47" s="20"/>
    </row>
    <row r="48" spans="1:10" ht="15.75" x14ac:dyDescent="0.25">
      <c r="A48" s="15" t="s">
        <v>66</v>
      </c>
      <c r="B48" s="168" t="s">
        <v>67</v>
      </c>
      <c r="C48" s="168">
        <v>49174</v>
      </c>
      <c r="D48" s="169" t="s">
        <v>53</v>
      </c>
      <c r="E48" s="168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17181.679999999975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68" t="s">
        <v>52</v>
      </c>
      <c r="C51" s="168">
        <v>51097603</v>
      </c>
      <c r="D51" s="169" t="s">
        <v>53</v>
      </c>
      <c r="E51" s="168">
        <v>7000</v>
      </c>
      <c r="F51" s="17">
        <v>2049.6927999999998</v>
      </c>
      <c r="G51" s="17">
        <v>2056.1037999999999</v>
      </c>
      <c r="H51" s="18">
        <f>(G51-F51)*E51</f>
        <v>44877.000000000407</v>
      </c>
      <c r="I51" s="43"/>
      <c r="J51" s="20"/>
    </row>
    <row r="52" spans="1:10" ht="15.75" x14ac:dyDescent="0.25">
      <c r="A52" s="27" t="s">
        <v>72</v>
      </c>
      <c r="B52" s="168" t="s">
        <v>52</v>
      </c>
      <c r="C52" s="168">
        <v>51097590</v>
      </c>
      <c r="D52" s="169" t="s">
        <v>53</v>
      </c>
      <c r="E52" s="168">
        <v>7000</v>
      </c>
      <c r="F52" s="21">
        <v>13.016</v>
      </c>
      <c r="G52" s="21">
        <v>13.039400000000001</v>
      </c>
      <c r="H52" s="18">
        <f>(G52-F52)*E52</f>
        <v>163.80000000000371</v>
      </c>
      <c r="I52" s="43"/>
      <c r="J52" s="20"/>
    </row>
    <row r="53" spans="1:10" ht="15.75" x14ac:dyDescent="0.25">
      <c r="A53" s="15" t="s">
        <v>66</v>
      </c>
      <c r="B53" s="168" t="s">
        <v>67</v>
      </c>
      <c r="C53" s="168">
        <v>49174</v>
      </c>
      <c r="D53" s="169" t="s">
        <v>53</v>
      </c>
      <c r="E53" s="168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68"/>
      <c r="D54" s="169"/>
      <c r="E54" s="168"/>
      <c r="F54" s="21"/>
      <c r="G54" s="21"/>
      <c r="H54" s="48">
        <f>H51+H52+H53</f>
        <v>45140.80000000041</v>
      </c>
      <c r="I54" s="47"/>
      <c r="J54" s="59"/>
    </row>
    <row r="55" spans="1:10" ht="15.75" x14ac:dyDescent="0.25">
      <c r="A55" s="27" t="s">
        <v>74</v>
      </c>
      <c r="B55" s="168" t="s">
        <v>52</v>
      </c>
      <c r="C55" s="168">
        <v>51100980</v>
      </c>
      <c r="D55" s="168" t="s">
        <v>75</v>
      </c>
      <c r="E55" s="168">
        <v>12000</v>
      </c>
      <c r="F55" s="21">
        <v>1205.7056</v>
      </c>
      <c r="G55" s="21">
        <v>1209.4570000000001</v>
      </c>
      <c r="H55" s="18">
        <f>(G55-F55)*E55</f>
        <v>45016.80000000124</v>
      </c>
      <c r="I55" s="47"/>
      <c r="J55" s="58"/>
    </row>
    <row r="56" spans="1:10" ht="15.75" x14ac:dyDescent="0.25">
      <c r="A56" s="27" t="s">
        <v>76</v>
      </c>
      <c r="B56" s="168" t="s">
        <v>52</v>
      </c>
      <c r="C56" s="168">
        <v>51097623</v>
      </c>
      <c r="D56" s="168" t="s">
        <v>75</v>
      </c>
      <c r="E56" s="168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68"/>
      <c r="C57" s="168"/>
      <c r="D57" s="168"/>
      <c r="E57" s="168"/>
      <c r="F57" s="21"/>
      <c r="G57" s="21"/>
      <c r="H57" s="48">
        <f>H55+H56</f>
        <v>45016.80000000124</v>
      </c>
      <c r="I57" s="61">
        <f>H54-H64-H53</f>
        <v>-81.000000000050932</v>
      </c>
      <c r="J57" s="25">
        <f>I57/H57</f>
        <v>-1.7993282507874548E-3</v>
      </c>
    </row>
    <row r="58" spans="1:10" ht="15.75" x14ac:dyDescent="0.25">
      <c r="A58" s="27" t="s">
        <v>78</v>
      </c>
      <c r="B58" s="168" t="s">
        <v>52</v>
      </c>
      <c r="C58" s="168">
        <v>51097675</v>
      </c>
      <c r="D58" s="168" t="s">
        <v>34</v>
      </c>
      <c r="E58" s="168">
        <v>4800</v>
      </c>
      <c r="F58" s="21">
        <v>558.07439999999997</v>
      </c>
      <c r="G58" s="21">
        <v>560.53250000000003</v>
      </c>
      <c r="H58" s="18">
        <f t="shared" ref="H58:H63" si="2">(G58-F58)*E58</f>
        <v>11798.880000000281</v>
      </c>
      <c r="I58" s="62"/>
      <c r="J58" s="59"/>
    </row>
    <row r="59" spans="1:10" ht="15.75" x14ac:dyDescent="0.25">
      <c r="A59" s="27" t="s">
        <v>79</v>
      </c>
      <c r="B59" s="168" t="s">
        <v>52</v>
      </c>
      <c r="C59" s="168">
        <v>51100997</v>
      </c>
      <c r="D59" s="168" t="s">
        <v>21</v>
      </c>
      <c r="E59" s="168">
        <v>3600</v>
      </c>
      <c r="F59" s="21">
        <v>1423.0943</v>
      </c>
      <c r="G59" s="21">
        <v>1425.7765999999999</v>
      </c>
      <c r="H59" s="18">
        <f t="shared" si="2"/>
        <v>9656.2799999997878</v>
      </c>
      <c r="I59" s="62"/>
      <c r="J59" s="59"/>
    </row>
    <row r="60" spans="1:10" ht="15.75" x14ac:dyDescent="0.25">
      <c r="A60" s="27" t="s">
        <v>80</v>
      </c>
      <c r="B60" s="168" t="s">
        <v>52</v>
      </c>
      <c r="C60" s="168">
        <v>51555218</v>
      </c>
      <c r="D60" s="168">
        <f>400/5</f>
        <v>80</v>
      </c>
      <c r="E60" s="168">
        <v>4800</v>
      </c>
      <c r="F60" s="21">
        <v>72.204599999999999</v>
      </c>
      <c r="G60" s="21">
        <v>72.6066</v>
      </c>
      <c r="H60" s="18">
        <f t="shared" si="2"/>
        <v>1929.6000000000049</v>
      </c>
      <c r="I60" s="62"/>
      <c r="J60" s="59"/>
    </row>
    <row r="61" spans="1:10" ht="15.75" x14ac:dyDescent="0.25">
      <c r="A61" s="27" t="s">
        <v>81</v>
      </c>
      <c r="B61" s="168" t="s">
        <v>52</v>
      </c>
      <c r="C61" s="168">
        <v>51555151</v>
      </c>
      <c r="D61" s="168">
        <f>400/5</f>
        <v>80</v>
      </c>
      <c r="E61" s="168">
        <v>4800</v>
      </c>
      <c r="F61" s="63">
        <v>0.30690000000000001</v>
      </c>
      <c r="G61" s="63">
        <v>0.30690000000000001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68" t="s">
        <v>52</v>
      </c>
      <c r="C62" s="168">
        <v>51097599</v>
      </c>
      <c r="D62" s="168" t="s">
        <v>21</v>
      </c>
      <c r="E62" s="168">
        <v>3600</v>
      </c>
      <c r="F62" s="21">
        <v>1002.2803</v>
      </c>
      <c r="G62" s="21">
        <v>1004.6321</v>
      </c>
      <c r="H62" s="18">
        <f t="shared" si="2"/>
        <v>8466.4800000000923</v>
      </c>
      <c r="I62" s="62"/>
      <c r="J62" s="59"/>
    </row>
    <row r="63" spans="1:10" ht="15.75" x14ac:dyDescent="0.25">
      <c r="A63" s="27" t="s">
        <v>83</v>
      </c>
      <c r="B63" s="168" t="s">
        <v>52</v>
      </c>
      <c r="C63" s="168">
        <v>51097620</v>
      </c>
      <c r="D63" s="168" t="s">
        <v>34</v>
      </c>
      <c r="E63" s="168">
        <v>4800</v>
      </c>
      <c r="F63" s="21">
        <v>554.80759999999998</v>
      </c>
      <c r="G63" s="21">
        <v>557.57230000000004</v>
      </c>
      <c r="H63" s="18">
        <f t="shared" si="2"/>
        <v>13270.560000000296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45121.800000000461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68" t="s">
        <v>52</v>
      </c>
      <c r="C66" s="9">
        <v>51259238</v>
      </c>
      <c r="D66" s="74" t="s">
        <v>53</v>
      </c>
      <c r="E66" s="74">
        <v>7000</v>
      </c>
      <c r="F66" s="75">
        <v>600.33889999999997</v>
      </c>
      <c r="G66" s="75">
        <v>602.82270000000005</v>
      </c>
      <c r="H66" s="76">
        <f>(G66-F66)*E66</f>
        <v>17386.600000000613</v>
      </c>
      <c r="I66" s="77"/>
      <c r="J66" s="78"/>
    </row>
    <row r="67" spans="1:10" ht="15.75" x14ac:dyDescent="0.25">
      <c r="A67" s="27" t="s">
        <v>86</v>
      </c>
      <c r="B67" s="168" t="s">
        <v>52</v>
      </c>
      <c r="C67" s="168">
        <v>51259324</v>
      </c>
      <c r="D67" s="169" t="s">
        <v>53</v>
      </c>
      <c r="E67" s="169">
        <v>7000</v>
      </c>
      <c r="F67" s="21">
        <v>464.02280000000002</v>
      </c>
      <c r="G67" s="21">
        <v>465.99149999999997</v>
      </c>
      <c r="H67" s="18">
        <f>(G67-F67)*E67</f>
        <v>13780.89999999969</v>
      </c>
      <c r="I67" s="51"/>
      <c r="J67" s="58"/>
    </row>
    <row r="68" spans="1:10" s="129" customFormat="1" ht="15.75" x14ac:dyDescent="0.25">
      <c r="A68" s="27" t="s">
        <v>87</v>
      </c>
      <c r="B68" s="79" t="s">
        <v>88</v>
      </c>
      <c r="C68" s="168">
        <v>51491618</v>
      </c>
      <c r="D68" s="169" t="s">
        <v>63</v>
      </c>
      <c r="E68" s="168">
        <v>40</v>
      </c>
      <c r="F68" s="28">
        <v>1399.0129999999999</v>
      </c>
      <c r="G68" s="28">
        <v>1405.886</v>
      </c>
      <c r="H68" s="18">
        <f>(G68-F68)*E68</f>
        <v>274.92000000000189</v>
      </c>
      <c r="I68" s="51"/>
      <c r="J68" s="58"/>
    </row>
    <row r="69" spans="1:10" s="129" customFormat="1" ht="15.75" x14ac:dyDescent="0.25">
      <c r="A69" s="27" t="s">
        <v>89</v>
      </c>
      <c r="B69" s="79" t="s">
        <v>88</v>
      </c>
      <c r="C69" s="168">
        <v>51491624</v>
      </c>
      <c r="D69" s="169" t="s">
        <v>63</v>
      </c>
      <c r="E69" s="168">
        <v>40</v>
      </c>
      <c r="F69" s="28">
        <v>184.84899999999999</v>
      </c>
      <c r="G69" s="28">
        <v>185.56549999999999</v>
      </c>
      <c r="H69" s="18">
        <f>(G69-F69)*E69</f>
        <v>28.659999999999854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31167.500000000306</v>
      </c>
      <c r="I70" s="85">
        <f>H70-H73-H68-H69</f>
        <v>-904.87999999907333</v>
      </c>
      <c r="J70" s="25">
        <f>I70/H70</f>
        <v>-2.903280660941893E-2</v>
      </c>
    </row>
    <row r="71" spans="1:10" ht="15.75" x14ac:dyDescent="0.25">
      <c r="A71" s="27" t="s">
        <v>91</v>
      </c>
      <c r="B71" s="168" t="s">
        <v>52</v>
      </c>
      <c r="C71" s="86">
        <v>51097588</v>
      </c>
      <c r="D71" s="169" t="s">
        <v>75</v>
      </c>
      <c r="E71" s="168">
        <v>12000</v>
      </c>
      <c r="F71" s="21">
        <v>358.61020000000002</v>
      </c>
      <c r="G71" s="21">
        <v>360.03629999999998</v>
      </c>
      <c r="H71" s="18">
        <f>(G71-F71)*E71</f>
        <v>17113.199999999553</v>
      </c>
      <c r="I71" s="51"/>
      <c r="J71" s="58"/>
    </row>
    <row r="72" spans="1:10" ht="15.75" x14ac:dyDescent="0.25">
      <c r="A72" s="27" t="s">
        <v>92</v>
      </c>
      <c r="B72" s="168" t="s">
        <v>52</v>
      </c>
      <c r="C72" s="86">
        <v>51431335</v>
      </c>
      <c r="D72" s="169" t="s">
        <v>75</v>
      </c>
      <c r="E72" s="168">
        <v>12000</v>
      </c>
      <c r="F72" s="21">
        <v>283.03059999999999</v>
      </c>
      <c r="G72" s="21">
        <v>284.25189999999998</v>
      </c>
      <c r="H72" s="18">
        <f>(G72-F72)*E72</f>
        <v>14655.599999999822</v>
      </c>
      <c r="I72" s="51"/>
      <c r="J72" s="58"/>
    </row>
    <row r="73" spans="1:10" ht="15.75" x14ac:dyDescent="0.25">
      <c r="A73" s="87" t="s">
        <v>93</v>
      </c>
      <c r="B73" s="168" t="s">
        <v>27</v>
      </c>
      <c r="C73" s="168"/>
      <c r="D73" s="169"/>
      <c r="E73" s="168"/>
      <c r="F73" s="21"/>
      <c r="G73" s="21"/>
      <c r="H73" s="48">
        <f>H71+ H72</f>
        <v>31768.799999999377</v>
      </c>
      <c r="I73" s="85">
        <f>H73-H81</f>
        <v>-53.580000000874861</v>
      </c>
      <c r="J73" s="25">
        <f>I73/H73</f>
        <v>-1.6865603989094933E-3</v>
      </c>
    </row>
    <row r="74" spans="1:10" ht="15.75" x14ac:dyDescent="0.25">
      <c r="A74" s="27" t="s">
        <v>94</v>
      </c>
      <c r="B74" s="168" t="s">
        <v>52</v>
      </c>
      <c r="C74" s="86">
        <v>51097676</v>
      </c>
      <c r="D74" s="88" t="s">
        <v>63</v>
      </c>
      <c r="E74" s="168">
        <v>2400</v>
      </c>
      <c r="F74" s="21">
        <v>751.76310000000001</v>
      </c>
      <c r="G74" s="21">
        <v>754.87220000000002</v>
      </c>
      <c r="H74" s="18">
        <f>(G74-F74)*E74</f>
        <v>7461.8400000000292</v>
      </c>
      <c r="I74" s="51"/>
      <c r="J74" s="58"/>
    </row>
    <row r="75" spans="1:10" ht="15.75" x14ac:dyDescent="0.25">
      <c r="A75" s="27" t="s">
        <v>95</v>
      </c>
      <c r="B75" s="168" t="s">
        <v>52</v>
      </c>
      <c r="C75" s="86">
        <v>51431355</v>
      </c>
      <c r="D75" s="169" t="s">
        <v>21</v>
      </c>
      <c r="E75" s="169">
        <v>3600</v>
      </c>
      <c r="F75" s="21">
        <v>387.16699999999997</v>
      </c>
      <c r="G75" s="21">
        <v>388.49430000000001</v>
      </c>
      <c r="H75" s="18">
        <f>(G75-F75)*E75</f>
        <v>4778.2800000001316</v>
      </c>
      <c r="I75" s="51"/>
      <c r="J75" s="52"/>
    </row>
    <row r="76" spans="1:10" ht="15.75" x14ac:dyDescent="0.25">
      <c r="A76" s="27" t="s">
        <v>96</v>
      </c>
      <c r="B76" s="168" t="s">
        <v>52</v>
      </c>
      <c r="C76" s="86">
        <v>51259331</v>
      </c>
      <c r="D76" s="88" t="s">
        <v>37</v>
      </c>
      <c r="E76" s="168">
        <v>600</v>
      </c>
      <c r="F76" s="21">
        <v>178.38900000000001</v>
      </c>
      <c r="G76" s="21">
        <v>179.15170000000001</v>
      </c>
      <c r="H76" s="18">
        <f>(G76-F76)*E76</f>
        <v>457.61999999999716</v>
      </c>
      <c r="I76" s="51"/>
      <c r="J76" s="52"/>
    </row>
    <row r="77" spans="1:10" ht="15.75" x14ac:dyDescent="0.25">
      <c r="A77" s="27" t="s">
        <v>97</v>
      </c>
      <c r="B77" s="168" t="s">
        <v>52</v>
      </c>
      <c r="C77" s="86">
        <v>51259326</v>
      </c>
      <c r="D77" s="88" t="s">
        <v>14</v>
      </c>
      <c r="E77" s="168">
        <v>7200</v>
      </c>
      <c r="F77" s="21">
        <v>354.20479999999998</v>
      </c>
      <c r="G77" s="21">
        <v>355.55149999999998</v>
      </c>
      <c r="H77" s="18">
        <f>(G77-F77)*E77</f>
        <v>9696.2399999999889</v>
      </c>
      <c r="I77" s="51"/>
      <c r="J77" s="52"/>
    </row>
    <row r="78" spans="1:10" ht="15.75" x14ac:dyDescent="0.25">
      <c r="A78" s="27" t="s">
        <v>98</v>
      </c>
      <c r="B78" s="168" t="s">
        <v>52</v>
      </c>
      <c r="C78" s="86">
        <v>51431351</v>
      </c>
      <c r="D78" s="88" t="s">
        <v>14</v>
      </c>
      <c r="E78" s="168">
        <v>7200</v>
      </c>
      <c r="F78" s="21">
        <v>258.17680000000001</v>
      </c>
      <c r="G78" s="21">
        <v>259.48630000000003</v>
      </c>
      <c r="H78" s="18">
        <f>(G78-F78)*E78</f>
        <v>9428.4000000001015</v>
      </c>
      <c r="I78" s="51"/>
      <c r="J78" s="52"/>
    </row>
    <row r="79" spans="1:10" ht="15.75" x14ac:dyDescent="0.25">
      <c r="A79" s="89" t="s">
        <v>99</v>
      </c>
      <c r="B79" s="168" t="s">
        <v>52</v>
      </c>
      <c r="C79" s="90">
        <v>51097666</v>
      </c>
      <c r="D79" s="88" t="s">
        <v>63</v>
      </c>
      <c r="E79" s="168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68" t="s">
        <v>52</v>
      </c>
      <c r="C80" s="90">
        <v>51259323</v>
      </c>
      <c r="D80" s="88" t="s">
        <v>63</v>
      </c>
      <c r="E80" s="168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31822.380000000252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68" t="s">
        <v>52</v>
      </c>
      <c r="C83" s="106">
        <v>51431297</v>
      </c>
      <c r="D83" s="169" t="s">
        <v>53</v>
      </c>
      <c r="E83" s="100">
        <v>7000</v>
      </c>
      <c r="F83" s="17">
        <v>319.03489999999999</v>
      </c>
      <c r="G83" s="17">
        <v>321.44600000000003</v>
      </c>
      <c r="H83" s="18">
        <f>(G83-F83)*E83</f>
        <v>16877.70000000023</v>
      </c>
      <c r="I83" s="107"/>
      <c r="J83" s="108"/>
    </row>
    <row r="84" spans="1:10" ht="15.75" x14ac:dyDescent="0.25">
      <c r="A84" s="105" t="s">
        <v>86</v>
      </c>
      <c r="B84" s="168" t="s">
        <v>52</v>
      </c>
      <c r="C84" s="106">
        <v>51431332</v>
      </c>
      <c r="D84" s="169" t="s">
        <v>53</v>
      </c>
      <c r="E84" s="100">
        <v>7000</v>
      </c>
      <c r="F84" s="17">
        <v>359.5967</v>
      </c>
      <c r="G84" s="17">
        <v>359.72750000000002</v>
      </c>
      <c r="H84" s="18">
        <f>(G84-F84)*E84</f>
        <v>915.60000000015407</v>
      </c>
      <c r="I84" s="168"/>
      <c r="J84" s="58"/>
    </row>
    <row r="85" spans="1:10" s="129" customFormat="1" ht="15.75" x14ac:dyDescent="0.25">
      <c r="A85" s="27" t="s">
        <v>87</v>
      </c>
      <c r="B85" s="168" t="s">
        <v>103</v>
      </c>
      <c r="C85" s="109">
        <v>150773</v>
      </c>
      <c r="D85" s="169" t="s">
        <v>53</v>
      </c>
      <c r="E85" s="109">
        <v>20</v>
      </c>
      <c r="F85" s="17">
        <v>15753.1</v>
      </c>
      <c r="G85" s="17">
        <v>15759.6</v>
      </c>
      <c r="H85" s="18">
        <f>(G85-F85)*E85</f>
        <v>130</v>
      </c>
      <c r="I85" s="51"/>
      <c r="J85" s="58"/>
    </row>
    <row r="86" spans="1:10" s="129" customFormat="1" ht="15.75" x14ac:dyDescent="0.25">
      <c r="A86" s="27" t="s">
        <v>89</v>
      </c>
      <c r="B86" s="168" t="s">
        <v>103</v>
      </c>
      <c r="C86" s="109">
        <v>150791</v>
      </c>
      <c r="D86" s="169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70"/>
      <c r="C87" s="32"/>
      <c r="D87" s="82"/>
      <c r="E87" s="82"/>
      <c r="F87" s="21"/>
      <c r="G87" s="21"/>
      <c r="H87" s="48">
        <f>H83+H84</f>
        <v>17793.300000000385</v>
      </c>
      <c r="I87" s="85">
        <f>H87-H90-H85-H86</f>
        <v>377.5400000003574</v>
      </c>
      <c r="J87" s="25">
        <f>I87/H87</f>
        <v>2.1218098947376217E-2</v>
      </c>
    </row>
    <row r="88" spans="1:10" ht="15.75" x14ac:dyDescent="0.25">
      <c r="A88" s="27" t="s">
        <v>104</v>
      </c>
      <c r="B88" s="168" t="s">
        <v>52</v>
      </c>
      <c r="C88" s="106">
        <v>51431342</v>
      </c>
      <c r="D88" s="88" t="s">
        <v>34</v>
      </c>
      <c r="E88" s="168">
        <v>4800</v>
      </c>
      <c r="F88" s="21">
        <v>453.81049999999999</v>
      </c>
      <c r="G88" s="21">
        <v>457.28359999999998</v>
      </c>
      <c r="H88" s="18">
        <f>(G88-F88)*E88</f>
        <v>16670.879999999943</v>
      </c>
      <c r="I88" s="51"/>
      <c r="J88" s="52"/>
    </row>
    <row r="89" spans="1:10" ht="15.75" x14ac:dyDescent="0.25">
      <c r="A89" s="27" t="s">
        <v>105</v>
      </c>
      <c r="B89" s="168" t="s">
        <v>52</v>
      </c>
      <c r="C89" s="106">
        <v>51431343</v>
      </c>
      <c r="D89" s="88" t="s">
        <v>34</v>
      </c>
      <c r="E89" s="168">
        <v>4800</v>
      </c>
      <c r="F89" s="21">
        <v>507.22519999999997</v>
      </c>
      <c r="G89" s="21">
        <v>507.35329999999999</v>
      </c>
      <c r="H89" s="18">
        <f>(G89-F89)*E89</f>
        <v>614.88000000008469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17285.760000000028</v>
      </c>
      <c r="I90" s="85">
        <f>H90-H98</f>
        <v>-81.040000000182772</v>
      </c>
      <c r="J90" s="25">
        <f>I90/H90</f>
        <v>-4.6882520641373391E-3</v>
      </c>
    </row>
    <row r="91" spans="1:10" ht="15.75" x14ac:dyDescent="0.25">
      <c r="A91" s="27" t="s">
        <v>107</v>
      </c>
      <c r="B91" s="168" t="s">
        <v>52</v>
      </c>
      <c r="C91" s="106">
        <v>51431347</v>
      </c>
      <c r="D91" s="169" t="s">
        <v>53</v>
      </c>
      <c r="E91" s="168">
        <v>1200</v>
      </c>
      <c r="F91" s="21">
        <v>1202.1474000000001</v>
      </c>
      <c r="G91" s="21">
        <v>1202.1474000000001</v>
      </c>
      <c r="H91" s="18">
        <f>(G91-F91)*E91</f>
        <v>0</v>
      </c>
      <c r="I91" s="51"/>
      <c r="J91" s="52"/>
    </row>
    <row r="92" spans="1:10" ht="15.75" x14ac:dyDescent="0.25">
      <c r="A92" s="27" t="s">
        <v>108</v>
      </c>
      <c r="B92" s="168" t="s">
        <v>52</v>
      </c>
      <c r="C92" s="106">
        <v>51431339</v>
      </c>
      <c r="D92" s="169" t="s">
        <v>53</v>
      </c>
      <c r="E92" s="168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68" t="s">
        <v>52</v>
      </c>
      <c r="C93" s="106">
        <v>51217244</v>
      </c>
      <c r="D93" s="168" t="s">
        <v>37</v>
      </c>
      <c r="E93" s="168">
        <v>600</v>
      </c>
      <c r="F93" s="30">
        <v>347.66770000000002</v>
      </c>
      <c r="G93" s="30">
        <v>348.57990000000001</v>
      </c>
      <c r="H93" s="18">
        <f t="shared" si="4"/>
        <v>547.31999999999061</v>
      </c>
      <c r="I93" s="51"/>
      <c r="J93" s="52"/>
    </row>
    <row r="94" spans="1:10" ht="15.75" x14ac:dyDescent="0.25">
      <c r="A94" s="27" t="s">
        <v>110</v>
      </c>
      <c r="B94" s="168" t="s">
        <v>52</v>
      </c>
      <c r="C94" s="106">
        <v>51217267</v>
      </c>
      <c r="D94" s="88" t="s">
        <v>63</v>
      </c>
      <c r="E94" s="168">
        <v>2400</v>
      </c>
      <c r="F94" s="30">
        <v>20.778099999999998</v>
      </c>
      <c r="G94" s="30">
        <v>20.808499999999999</v>
      </c>
      <c r="H94" s="18">
        <f t="shared" si="4"/>
        <v>72.960000000000491</v>
      </c>
      <c r="I94" s="51"/>
      <c r="J94" s="52"/>
    </row>
    <row r="95" spans="1:10" ht="15.75" x14ac:dyDescent="0.25">
      <c r="A95" s="27" t="s">
        <v>111</v>
      </c>
      <c r="B95" s="168" t="s">
        <v>52</v>
      </c>
      <c r="C95" s="168">
        <v>51555165</v>
      </c>
      <c r="D95" s="169" t="s">
        <v>53</v>
      </c>
      <c r="E95" s="168">
        <v>1200</v>
      </c>
      <c r="F95" s="30">
        <v>978.27239999999995</v>
      </c>
      <c r="G95" s="30">
        <v>986.93550000000005</v>
      </c>
      <c r="H95" s="18">
        <f t="shared" si="4"/>
        <v>10395.720000000119</v>
      </c>
      <c r="I95" s="51" t="s">
        <v>27</v>
      </c>
      <c r="J95" s="52"/>
    </row>
    <row r="96" spans="1:10" ht="15.75" x14ac:dyDescent="0.25">
      <c r="A96" s="113" t="s">
        <v>112</v>
      </c>
      <c r="B96" s="168" t="s">
        <v>52</v>
      </c>
      <c r="C96" s="106">
        <v>51431346</v>
      </c>
      <c r="D96" s="114" t="s">
        <v>37</v>
      </c>
      <c r="E96" s="114">
        <v>600</v>
      </c>
      <c r="F96" s="30">
        <v>382.51339999999999</v>
      </c>
      <c r="G96" s="30">
        <v>384.66320000000002</v>
      </c>
      <c r="H96" s="115">
        <f t="shared" si="4"/>
        <v>1289.8800000000165</v>
      </c>
      <c r="I96" s="116"/>
      <c r="J96" s="117"/>
    </row>
    <row r="97" spans="1:10" ht="15.75" x14ac:dyDescent="0.25">
      <c r="A97" s="27" t="s">
        <v>113</v>
      </c>
      <c r="B97" s="168" t="s">
        <v>52</v>
      </c>
      <c r="C97" s="106">
        <v>51431352</v>
      </c>
      <c r="D97" s="88" t="s">
        <v>21</v>
      </c>
      <c r="E97" s="168">
        <v>3600</v>
      </c>
      <c r="F97" s="21">
        <v>255.3997</v>
      </c>
      <c r="G97" s="21">
        <v>256.76940000000002</v>
      </c>
      <c r="H97" s="18">
        <f t="shared" si="4"/>
        <v>4930.9200000000828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17366.80000000021</v>
      </c>
      <c r="I98" s="51"/>
      <c r="J98" s="52"/>
    </row>
    <row r="99" spans="1:10" ht="15.75" x14ac:dyDescent="0.25">
      <c r="A99" s="45" t="s">
        <v>114</v>
      </c>
      <c r="B99" s="168" t="s">
        <v>52</v>
      </c>
      <c r="C99" s="120">
        <v>51431357</v>
      </c>
      <c r="D99" s="169" t="s">
        <v>63</v>
      </c>
      <c r="E99" s="169">
        <v>14000</v>
      </c>
      <c r="F99" s="28">
        <v>885.3365</v>
      </c>
      <c r="G99" s="28">
        <v>888.37099999999998</v>
      </c>
      <c r="H99" s="121">
        <f t="shared" si="4"/>
        <v>42482.999999999724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>
      <selection sqref="A1:XFD104857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131</v>
      </c>
      <c r="G2" s="4" t="s">
        <v>132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71" t="s">
        <v>13</v>
      </c>
      <c r="C4" s="171">
        <v>51555166</v>
      </c>
      <c r="D4" s="171" t="s">
        <v>14</v>
      </c>
      <c r="E4" s="171">
        <v>132000</v>
      </c>
      <c r="F4" s="17">
        <v>7.0118999999999998</v>
      </c>
      <c r="G4" s="17">
        <v>7.0212000000000003</v>
      </c>
      <c r="H4" s="18">
        <f>(G4-F4)*E4</f>
        <v>1227.6000000000699</v>
      </c>
      <c r="I4" s="19"/>
      <c r="J4" s="20"/>
    </row>
    <row r="5" spans="1:10" ht="15.75" x14ac:dyDescent="0.25">
      <c r="A5" s="15" t="s">
        <v>15</v>
      </c>
      <c r="B5" s="171" t="s">
        <v>13</v>
      </c>
      <c r="C5" s="171">
        <v>51555191</v>
      </c>
      <c r="D5" s="171" t="s">
        <v>14</v>
      </c>
      <c r="E5" s="171">
        <v>132000</v>
      </c>
      <c r="F5" s="21">
        <v>400.7842</v>
      </c>
      <c r="G5" s="21">
        <v>402.7088</v>
      </c>
      <c r="H5" s="18">
        <f>(G5-F5)*E5</f>
        <v>254047.19999999975</v>
      </c>
      <c r="I5" s="19"/>
      <c r="J5" s="20"/>
    </row>
    <row r="6" spans="1:10" ht="15.75" x14ac:dyDescent="0.25">
      <c r="A6" s="218" t="s">
        <v>16</v>
      </c>
      <c r="B6" s="219"/>
      <c r="C6" s="171"/>
      <c r="D6" s="172"/>
      <c r="E6" s="171"/>
      <c r="H6" s="23">
        <f>H4+H5</f>
        <v>255274.79999999981</v>
      </c>
      <c r="I6" s="24">
        <f>H6-H9-H19</f>
        <v>2063.4000000004016</v>
      </c>
      <c r="J6" s="25">
        <f>I6/H6</f>
        <v>8.0830540264859793E-3</v>
      </c>
    </row>
    <row r="7" spans="1:10" ht="15.75" x14ac:dyDescent="0.25">
      <c r="A7" s="26" t="s">
        <v>17</v>
      </c>
      <c r="B7" s="171" t="s">
        <v>13</v>
      </c>
      <c r="C7" s="171">
        <v>51097629</v>
      </c>
      <c r="D7" s="172" t="s">
        <v>14</v>
      </c>
      <c r="E7" s="171">
        <v>42000</v>
      </c>
      <c r="F7" s="21">
        <v>1168.3592000000001</v>
      </c>
      <c r="G7" s="21">
        <v>1172.7288000000001</v>
      </c>
      <c r="H7" s="18">
        <f>(G7-F7)*E7</f>
        <v>183523.19999999963</v>
      </c>
      <c r="I7" s="19"/>
      <c r="J7" s="20"/>
    </row>
    <row r="8" spans="1:10" ht="15.75" x14ac:dyDescent="0.25">
      <c r="A8" s="26" t="s">
        <v>18</v>
      </c>
      <c r="B8" s="171" t="s">
        <v>13</v>
      </c>
      <c r="C8" s="171">
        <v>51616820</v>
      </c>
      <c r="D8" s="172" t="s">
        <v>14</v>
      </c>
      <c r="E8" s="171">
        <v>42000</v>
      </c>
      <c r="F8" s="21">
        <v>15.405799999999999</v>
      </c>
      <c r="G8" s="21">
        <v>15.420999999999999</v>
      </c>
      <c r="H8" s="18">
        <f>(G8-F8)*E8</f>
        <v>638.4000000000043</v>
      </c>
      <c r="I8" s="19"/>
      <c r="J8" s="20"/>
    </row>
    <row r="9" spans="1:10" ht="15.75" x14ac:dyDescent="0.25">
      <c r="A9" s="218" t="s">
        <v>19</v>
      </c>
      <c r="B9" s="219"/>
      <c r="C9" s="171"/>
      <c r="D9" s="172"/>
      <c r="E9" s="171"/>
      <c r="F9" s="21"/>
      <c r="G9" s="21"/>
      <c r="H9" s="23">
        <f>H7+H8</f>
        <v>184161.59999999963</v>
      </c>
      <c r="I9" s="24">
        <f>H9-H16</f>
        <v>121.79999999830034</v>
      </c>
      <c r="J9" s="25">
        <f>I9/H9</f>
        <v>6.6137566136643348E-4</v>
      </c>
    </row>
    <row r="10" spans="1:10" ht="15.75" x14ac:dyDescent="0.25">
      <c r="A10" s="27" t="s">
        <v>20</v>
      </c>
      <c r="B10" s="171" t="s">
        <v>13</v>
      </c>
      <c r="C10" s="171">
        <v>51217286</v>
      </c>
      <c r="D10" s="172" t="s">
        <v>21</v>
      </c>
      <c r="E10" s="171">
        <v>21000</v>
      </c>
      <c r="F10" s="21">
        <v>921.52670000000001</v>
      </c>
      <c r="G10" s="21">
        <v>924.5231</v>
      </c>
      <c r="H10" s="18">
        <f t="shared" ref="H10:H15" si="0">(G10-F10)*E10</f>
        <v>62924.399999999878</v>
      </c>
      <c r="I10" s="19"/>
      <c r="J10" s="20"/>
    </row>
    <row r="11" spans="1:10" ht="15.75" x14ac:dyDescent="0.25">
      <c r="A11" s="27" t="s">
        <v>22</v>
      </c>
      <c r="B11" s="171" t="s">
        <v>13</v>
      </c>
      <c r="C11" s="171">
        <v>51217292</v>
      </c>
      <c r="D11" s="172" t="s">
        <v>21</v>
      </c>
      <c r="E11" s="171">
        <v>21000</v>
      </c>
      <c r="F11" s="28">
        <v>3.968</v>
      </c>
      <c r="G11" s="28">
        <v>3.9744000000000002</v>
      </c>
      <c r="H11" s="18">
        <f>(G11-F11)*E11</f>
        <v>134.40000000000384</v>
      </c>
      <c r="I11" s="19"/>
      <c r="J11" s="20"/>
    </row>
    <row r="12" spans="1:10" ht="15.75" x14ac:dyDescent="0.25">
      <c r="A12" s="27" t="s">
        <v>23</v>
      </c>
      <c r="B12" s="171" t="s">
        <v>13</v>
      </c>
      <c r="C12" s="171">
        <v>51217271</v>
      </c>
      <c r="D12" s="172" t="s">
        <v>21</v>
      </c>
      <c r="E12" s="171">
        <v>21000</v>
      </c>
      <c r="F12" s="21">
        <v>692.35209999999995</v>
      </c>
      <c r="G12" s="21">
        <v>695.23059999999998</v>
      </c>
      <c r="H12" s="18">
        <f t="shared" si="0"/>
        <v>60448.500000000648</v>
      </c>
      <c r="I12" s="19"/>
      <c r="J12" s="20"/>
    </row>
    <row r="13" spans="1:10" ht="15.75" x14ac:dyDescent="0.25">
      <c r="A13" s="27" t="s">
        <v>24</v>
      </c>
      <c r="B13" s="171" t="s">
        <v>13</v>
      </c>
      <c r="C13" s="171">
        <v>51217276</v>
      </c>
      <c r="D13" s="172" t="s">
        <v>21</v>
      </c>
      <c r="E13" s="171">
        <v>21000</v>
      </c>
      <c r="F13" s="28">
        <v>0.60850000000000004</v>
      </c>
      <c r="G13" s="28">
        <v>0.61539999999999995</v>
      </c>
      <c r="H13" s="18">
        <f>(G13-F13)*E13</f>
        <v>144.89999999999804</v>
      </c>
      <c r="I13" s="19"/>
      <c r="J13" s="20"/>
    </row>
    <row r="14" spans="1:10" ht="15.75" x14ac:dyDescent="0.25">
      <c r="A14" s="27" t="s">
        <v>25</v>
      </c>
      <c r="B14" s="171" t="s">
        <v>13</v>
      </c>
      <c r="C14" s="171">
        <v>51100990</v>
      </c>
      <c r="D14" s="172" t="s">
        <v>21</v>
      </c>
      <c r="E14" s="171">
        <v>21000</v>
      </c>
      <c r="F14" s="29">
        <v>742.20330000000001</v>
      </c>
      <c r="G14" s="29">
        <v>745.07</v>
      </c>
      <c r="H14" s="18">
        <f t="shared" si="0"/>
        <v>60200.700000000783</v>
      </c>
      <c r="I14" s="19"/>
      <c r="J14" s="20"/>
    </row>
    <row r="15" spans="1:10" ht="15.75" x14ac:dyDescent="0.25">
      <c r="A15" s="27" t="s">
        <v>26</v>
      </c>
      <c r="B15" s="171" t="s">
        <v>13</v>
      </c>
      <c r="C15" s="171">
        <v>51097622</v>
      </c>
      <c r="D15" s="172" t="s">
        <v>21</v>
      </c>
      <c r="E15" s="171">
        <v>21000</v>
      </c>
      <c r="F15" s="21">
        <v>9.3806999999999992</v>
      </c>
      <c r="G15" s="21">
        <v>9.3895999999999997</v>
      </c>
      <c r="H15" s="18">
        <f t="shared" si="0"/>
        <v>186.90000000001206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71"/>
      <c r="D16" s="172"/>
      <c r="E16" s="171"/>
      <c r="F16" s="21"/>
      <c r="G16" s="21"/>
      <c r="H16" s="23">
        <f>H10+H11+H12+H13+H14+H15</f>
        <v>184039.80000000133</v>
      </c>
      <c r="I16" s="19"/>
      <c r="J16" s="20"/>
    </row>
    <row r="17" spans="1:10" ht="15.75" x14ac:dyDescent="0.25">
      <c r="A17" s="26" t="s">
        <v>29</v>
      </c>
      <c r="B17" s="171" t="s">
        <v>13</v>
      </c>
      <c r="C17" s="171">
        <v>51097617</v>
      </c>
      <c r="D17" s="172" t="s">
        <v>30</v>
      </c>
      <c r="E17" s="171">
        <v>18000</v>
      </c>
      <c r="F17" s="30">
        <v>915.12270000000001</v>
      </c>
      <c r="G17" s="30">
        <v>918.9588</v>
      </c>
      <c r="H17" s="18">
        <f>(G17-F17)*E17</f>
        <v>69049.799999999785</v>
      </c>
      <c r="I17" s="19"/>
      <c r="J17" s="20"/>
    </row>
    <row r="18" spans="1:10" ht="15.75" x14ac:dyDescent="0.25">
      <c r="A18" s="26" t="s">
        <v>31</v>
      </c>
      <c r="B18" s="171" t="s">
        <v>13</v>
      </c>
      <c r="C18" s="171">
        <v>51097655</v>
      </c>
      <c r="D18" s="172" t="s">
        <v>30</v>
      </c>
      <c r="E18" s="171">
        <v>18000</v>
      </c>
      <c r="F18" s="30">
        <v>11.5421</v>
      </c>
      <c r="G18" s="30">
        <v>11.5421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71"/>
      <c r="D19" s="172"/>
      <c r="E19" s="171"/>
      <c r="F19" s="30"/>
      <c r="G19" s="30"/>
      <c r="H19" s="23">
        <f>H17+H18</f>
        <v>69049.799999999785</v>
      </c>
      <c r="I19" s="24">
        <f>H19-H34</f>
        <v>1035.359999999695</v>
      </c>
      <c r="J19" s="25">
        <f>I19/H19</f>
        <v>1.4994395349439076E-2</v>
      </c>
    </row>
    <row r="20" spans="1:10" ht="15.75" x14ac:dyDescent="0.25">
      <c r="A20" s="15" t="s">
        <v>33</v>
      </c>
      <c r="B20" s="171" t="s">
        <v>13</v>
      </c>
      <c r="C20" s="171">
        <v>51217282</v>
      </c>
      <c r="D20" s="172" t="s">
        <v>34</v>
      </c>
      <c r="E20" s="171">
        <v>4800</v>
      </c>
      <c r="F20" s="21">
        <v>385.57330000000002</v>
      </c>
      <c r="G20" s="21">
        <v>390.6576</v>
      </c>
      <c r="H20" s="18">
        <f t="shared" ref="H20:H33" si="1">(G20-F20)*E20</f>
        <v>24404.639999999927</v>
      </c>
      <c r="I20" s="19" t="s">
        <v>27</v>
      </c>
      <c r="J20" s="20"/>
    </row>
    <row r="21" spans="1:10" ht="15.75" x14ac:dyDescent="0.25">
      <c r="A21" s="15" t="s">
        <v>35</v>
      </c>
      <c r="B21" s="171" t="s">
        <v>13</v>
      </c>
      <c r="C21" s="171">
        <v>51217274</v>
      </c>
      <c r="D21" s="172" t="s">
        <v>34</v>
      </c>
      <c r="E21" s="171">
        <v>4800</v>
      </c>
      <c r="F21" s="21">
        <v>1424.9834000000001</v>
      </c>
      <c r="G21" s="21">
        <v>1426.1628000000001</v>
      </c>
      <c r="H21" s="18">
        <f t="shared" si="1"/>
        <v>5661.1199999999371</v>
      </c>
      <c r="I21" s="19"/>
      <c r="J21" s="20"/>
    </row>
    <row r="22" spans="1:10" ht="15.75" x14ac:dyDescent="0.25">
      <c r="A22" s="15" t="s">
        <v>36</v>
      </c>
      <c r="B22" s="171" t="s">
        <v>13</v>
      </c>
      <c r="C22" s="171">
        <v>51097664</v>
      </c>
      <c r="D22" s="172" t="s">
        <v>37</v>
      </c>
      <c r="E22" s="171">
        <v>600</v>
      </c>
      <c r="F22" s="21">
        <v>4.4410999999999996</v>
      </c>
      <c r="G22" s="21">
        <v>4.4410999999999996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71" t="s">
        <v>13</v>
      </c>
      <c r="C23" s="171">
        <v>51097615</v>
      </c>
      <c r="D23" s="172" t="s">
        <v>37</v>
      </c>
      <c r="E23" s="171">
        <v>600</v>
      </c>
      <c r="F23" s="21">
        <v>48.176699999999997</v>
      </c>
      <c r="G23" s="21">
        <v>48.4681</v>
      </c>
      <c r="H23" s="18">
        <f t="shared" si="1"/>
        <v>174.84000000000179</v>
      </c>
      <c r="I23" s="19"/>
      <c r="J23" s="20"/>
    </row>
    <row r="24" spans="1:10" ht="15.75" x14ac:dyDescent="0.25">
      <c r="A24" s="15" t="s">
        <v>39</v>
      </c>
      <c r="B24" s="171" t="s">
        <v>13</v>
      </c>
      <c r="C24" s="171">
        <v>51217264</v>
      </c>
      <c r="D24" s="172" t="s">
        <v>37</v>
      </c>
      <c r="E24" s="171">
        <v>600</v>
      </c>
      <c r="F24" s="21">
        <v>112.252</v>
      </c>
      <c r="G24" s="21">
        <v>112.7474</v>
      </c>
      <c r="H24" s="18">
        <f t="shared" si="1"/>
        <v>297.24000000000217</v>
      </c>
      <c r="I24" s="19"/>
      <c r="J24" s="20"/>
    </row>
    <row r="25" spans="1:10" ht="15.75" x14ac:dyDescent="0.25">
      <c r="A25" s="15" t="s">
        <v>40</v>
      </c>
      <c r="B25" s="171" t="s">
        <v>13</v>
      </c>
      <c r="C25" s="171">
        <v>51217288</v>
      </c>
      <c r="D25" s="172" t="s">
        <v>37</v>
      </c>
      <c r="E25" s="171">
        <v>600</v>
      </c>
      <c r="F25" s="21">
        <v>20.887699999999999</v>
      </c>
      <c r="G25" s="21">
        <v>20.918700000000001</v>
      </c>
      <c r="H25" s="18">
        <f t="shared" si="1"/>
        <v>18.600000000001415</v>
      </c>
      <c r="I25" s="19" t="s">
        <v>27</v>
      </c>
      <c r="J25" s="20"/>
    </row>
    <row r="26" spans="1:10" ht="15.75" x14ac:dyDescent="0.25">
      <c r="A26" s="15" t="s">
        <v>41</v>
      </c>
      <c r="B26" s="171" t="s">
        <v>13</v>
      </c>
      <c r="C26" s="171">
        <v>51217279</v>
      </c>
      <c r="D26" s="172" t="s">
        <v>37</v>
      </c>
      <c r="E26" s="171">
        <v>600</v>
      </c>
      <c r="F26" s="21">
        <v>16.020199999999999</v>
      </c>
      <c r="G26" s="21">
        <v>16.074100000000001</v>
      </c>
      <c r="H26" s="18">
        <f t="shared" si="1"/>
        <v>32.340000000001368</v>
      </c>
      <c r="I26" s="19" t="s">
        <v>27</v>
      </c>
      <c r="J26" s="20"/>
    </row>
    <row r="27" spans="1:10" ht="15.75" x14ac:dyDescent="0.25">
      <c r="A27" s="15" t="s">
        <v>42</v>
      </c>
      <c r="B27" s="171" t="s">
        <v>13</v>
      </c>
      <c r="C27" s="171">
        <v>51217272</v>
      </c>
      <c r="D27" s="172" t="s">
        <v>37</v>
      </c>
      <c r="E27" s="171">
        <v>600</v>
      </c>
      <c r="F27" s="31">
        <v>15.7127</v>
      </c>
      <c r="G27" s="31">
        <v>15.765599999999999</v>
      </c>
      <c r="H27" s="18">
        <f t="shared" si="1"/>
        <v>31.739999999999569</v>
      </c>
      <c r="I27" s="19"/>
      <c r="J27" s="20"/>
    </row>
    <row r="28" spans="1:10" ht="15.75" x14ac:dyDescent="0.25">
      <c r="A28" s="15" t="s">
        <v>43</v>
      </c>
      <c r="B28" s="171" t="s">
        <v>13</v>
      </c>
      <c r="C28" s="171">
        <v>51616744</v>
      </c>
      <c r="D28" s="172">
        <f>300/5</f>
        <v>60</v>
      </c>
      <c r="E28" s="171">
        <v>3600</v>
      </c>
      <c r="F28" s="31">
        <v>109.78489999999999</v>
      </c>
      <c r="G28" s="31">
        <v>109.78489999999999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71" t="s">
        <v>13</v>
      </c>
      <c r="C29" s="171">
        <v>51555226</v>
      </c>
      <c r="D29" s="172">
        <f>300/5</f>
        <v>60</v>
      </c>
      <c r="E29" s="171">
        <v>3600</v>
      </c>
      <c r="F29" s="31">
        <v>570.04579999999999</v>
      </c>
      <c r="G29" s="31">
        <v>573.34100000000001</v>
      </c>
      <c r="H29" s="18">
        <f>(G29-F29)*E29</f>
        <v>11862.720000000081</v>
      </c>
      <c r="I29" s="19"/>
      <c r="J29" s="20"/>
    </row>
    <row r="30" spans="1:10" ht="15.75" x14ac:dyDescent="0.25">
      <c r="A30" s="15" t="s">
        <v>45</v>
      </c>
      <c r="B30" s="171" t="s">
        <v>13</v>
      </c>
      <c r="C30" s="171">
        <v>51097658</v>
      </c>
      <c r="D30" s="172" t="s">
        <v>34</v>
      </c>
      <c r="E30" s="171">
        <v>4800</v>
      </c>
      <c r="F30" s="31">
        <v>717.24630000000002</v>
      </c>
      <c r="G30" s="31">
        <v>720.34400000000005</v>
      </c>
      <c r="H30" s="18">
        <f t="shared" si="1"/>
        <v>14868.960000000152</v>
      </c>
      <c r="I30" s="19"/>
      <c r="J30" s="20"/>
    </row>
    <row r="31" spans="1:10" ht="15.75" x14ac:dyDescent="0.25">
      <c r="A31" s="15" t="s">
        <v>46</v>
      </c>
      <c r="B31" s="171" t="s">
        <v>13</v>
      </c>
      <c r="C31" s="171">
        <v>51097635</v>
      </c>
      <c r="D31" s="172" t="s">
        <v>34</v>
      </c>
      <c r="E31" s="171">
        <v>4800</v>
      </c>
      <c r="F31" s="31">
        <v>48.488399999999999</v>
      </c>
      <c r="G31" s="31">
        <v>48.490200000000002</v>
      </c>
      <c r="H31" s="18">
        <f t="shared" si="1"/>
        <v>8.6400000000139698</v>
      </c>
      <c r="I31" s="19"/>
      <c r="J31" s="20"/>
    </row>
    <row r="32" spans="1:10" ht="15.75" x14ac:dyDescent="0.25">
      <c r="A32" s="15" t="s">
        <v>47</v>
      </c>
      <c r="B32" s="171" t="s">
        <v>13</v>
      </c>
      <c r="C32" s="32">
        <v>51097633</v>
      </c>
      <c r="D32" s="172" t="s">
        <v>34</v>
      </c>
      <c r="E32" s="171">
        <v>4800</v>
      </c>
      <c r="F32" s="31">
        <v>214.96780000000001</v>
      </c>
      <c r="G32" s="31">
        <v>217.15260000000001</v>
      </c>
      <c r="H32" s="33">
        <f t="shared" si="1"/>
        <v>10487.039999999979</v>
      </c>
      <c r="I32" s="34"/>
      <c r="J32" s="35"/>
    </row>
    <row r="33" spans="1:10" ht="15.75" x14ac:dyDescent="0.25">
      <c r="A33" s="15" t="s">
        <v>48</v>
      </c>
      <c r="B33" s="171" t="s">
        <v>13</v>
      </c>
      <c r="C33" s="32">
        <v>51097662</v>
      </c>
      <c r="D33" s="172" t="s">
        <v>34</v>
      </c>
      <c r="E33" s="171">
        <v>4800</v>
      </c>
      <c r="F33" s="31">
        <v>4.3861999999999997</v>
      </c>
      <c r="G33" s="31">
        <v>4.4208999999999996</v>
      </c>
      <c r="H33" s="33">
        <f t="shared" si="1"/>
        <v>166.55999999999977</v>
      </c>
      <c r="I33" s="34"/>
      <c r="J33" s="35"/>
    </row>
    <row r="34" spans="1:10" ht="15.75" x14ac:dyDescent="0.25">
      <c r="A34" s="218" t="s">
        <v>49</v>
      </c>
      <c r="B34" s="219"/>
      <c r="C34" s="171"/>
      <c r="D34" s="172"/>
      <c r="E34" s="171"/>
      <c r="F34" s="36"/>
      <c r="G34" s="36"/>
      <c r="H34" s="23">
        <f>H20+H21+H22+H23+H24+H25+H26+H27+H28+H29+H30+H31+H32+H33</f>
        <v>68014.44000000009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71" t="s">
        <v>52</v>
      </c>
      <c r="C36" s="171">
        <v>51555209</v>
      </c>
      <c r="D36" s="172" t="s">
        <v>53</v>
      </c>
      <c r="E36" s="171">
        <v>7000</v>
      </c>
      <c r="F36" s="17">
        <v>6.2119</v>
      </c>
      <c r="G36" s="17">
        <v>6.2262000000000004</v>
      </c>
      <c r="H36" s="41">
        <f>(G36-F36)*E36</f>
        <v>100.10000000000296</v>
      </c>
      <c r="I36" s="42"/>
      <c r="J36" s="14"/>
    </row>
    <row r="37" spans="1:10" ht="15.75" x14ac:dyDescent="0.25">
      <c r="A37" s="15" t="s">
        <v>54</v>
      </c>
      <c r="B37" s="171" t="s">
        <v>52</v>
      </c>
      <c r="C37" s="171">
        <v>51555209</v>
      </c>
      <c r="D37" s="172" t="s">
        <v>53</v>
      </c>
      <c r="E37" s="171">
        <v>7000</v>
      </c>
      <c r="F37" s="21">
        <v>11.022399999999999</v>
      </c>
      <c r="G37" s="21">
        <v>11.0716</v>
      </c>
      <c r="H37" s="18">
        <f>(G37-F37)*E37</f>
        <v>344.4000000000056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71" t="s">
        <v>52</v>
      </c>
      <c r="C39" s="171">
        <v>51097674</v>
      </c>
      <c r="D39" s="171" t="s">
        <v>14</v>
      </c>
      <c r="E39" s="171">
        <v>7200</v>
      </c>
      <c r="F39" s="21">
        <v>632.45090000000005</v>
      </c>
      <c r="G39" s="21">
        <v>634.74530000000004</v>
      </c>
      <c r="H39" s="18">
        <f>(G39-F39)*E39</f>
        <v>16519.679999999971</v>
      </c>
      <c r="I39" s="47"/>
      <c r="J39" s="20"/>
    </row>
    <row r="40" spans="1:10" ht="15.75" x14ac:dyDescent="0.25">
      <c r="A40" s="27" t="s">
        <v>57</v>
      </c>
      <c r="B40" s="171" t="s">
        <v>52</v>
      </c>
      <c r="C40" s="171">
        <v>51259257</v>
      </c>
      <c r="D40" s="171" t="s">
        <v>14</v>
      </c>
      <c r="E40" s="171">
        <v>7200</v>
      </c>
      <c r="F40" s="21">
        <v>1.0555000000000001</v>
      </c>
      <c r="G40" s="21">
        <v>1.0555000000000001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71"/>
      <c r="C41" s="171"/>
      <c r="D41" s="171"/>
      <c r="E41" s="171"/>
      <c r="F41" s="21"/>
      <c r="G41" s="21"/>
      <c r="H41" s="48">
        <f>H39+H40</f>
        <v>16519.679999999971</v>
      </c>
      <c r="I41" s="24">
        <f>H41-H49</f>
        <v>-118.9999999998945</v>
      </c>
      <c r="J41" s="25">
        <f>I41/H41</f>
        <v>-7.2035293661798965E-3</v>
      </c>
    </row>
    <row r="42" spans="1:10" ht="15.75" x14ac:dyDescent="0.25">
      <c r="A42" s="15" t="s">
        <v>59</v>
      </c>
      <c r="B42" s="171"/>
      <c r="C42" s="171"/>
      <c r="D42" s="172"/>
      <c r="E42" s="171"/>
      <c r="H42" s="18"/>
      <c r="I42" s="43"/>
      <c r="J42" s="20"/>
    </row>
    <row r="43" spans="1:10" ht="15.75" x14ac:dyDescent="0.25">
      <c r="A43" s="27" t="s">
        <v>60</v>
      </c>
      <c r="B43" s="171" t="s">
        <v>52</v>
      </c>
      <c r="C43" s="32">
        <v>51097648</v>
      </c>
      <c r="D43" s="171" t="s">
        <v>53</v>
      </c>
      <c r="E43" s="171">
        <v>1200</v>
      </c>
      <c r="F43" s="21">
        <v>517.53729999999996</v>
      </c>
      <c r="G43" s="21">
        <v>519.36009999999999</v>
      </c>
      <c r="H43" s="33">
        <f>(G43-F43)*E43</f>
        <v>2187.3600000000351</v>
      </c>
      <c r="I43" s="43"/>
      <c r="J43" s="20"/>
    </row>
    <row r="44" spans="1:10" ht="15.75" x14ac:dyDescent="0.25">
      <c r="A44" s="27" t="s">
        <v>61</v>
      </c>
      <c r="B44" s="171" t="s">
        <v>52</v>
      </c>
      <c r="C44" s="32">
        <v>50555043</v>
      </c>
      <c r="D44" s="171" t="s">
        <v>53</v>
      </c>
      <c r="E44" s="171">
        <v>1200</v>
      </c>
      <c r="F44" s="21">
        <v>2165.4279000000001</v>
      </c>
      <c r="G44" s="21">
        <v>2173.2646</v>
      </c>
      <c r="H44" s="33">
        <f>(G44-F44)*E44</f>
        <v>9404.0399999998044</v>
      </c>
      <c r="I44" s="43"/>
      <c r="J44" s="20"/>
    </row>
    <row r="45" spans="1:10" ht="15.75" x14ac:dyDescent="0.25">
      <c r="A45" s="27" t="s">
        <v>62</v>
      </c>
      <c r="B45" s="171" t="s">
        <v>52</v>
      </c>
      <c r="C45" s="32">
        <v>51259336</v>
      </c>
      <c r="D45" s="171" t="s">
        <v>63</v>
      </c>
      <c r="E45" s="171">
        <v>2400</v>
      </c>
      <c r="F45" s="21">
        <v>4.3518999999999997</v>
      </c>
      <c r="G45" s="21">
        <v>4.3657000000000004</v>
      </c>
      <c r="H45" s="33">
        <f>(G45-F45)*E45</f>
        <v>33.120000000001681</v>
      </c>
      <c r="I45" s="43"/>
      <c r="J45" s="20"/>
    </row>
    <row r="46" spans="1:10" ht="15.75" x14ac:dyDescent="0.25">
      <c r="A46" s="27" t="s">
        <v>64</v>
      </c>
      <c r="B46" s="171" t="s">
        <v>52</v>
      </c>
      <c r="C46" s="32">
        <v>51259266</v>
      </c>
      <c r="D46" s="171" t="s">
        <v>53</v>
      </c>
      <c r="E46" s="171">
        <v>1200</v>
      </c>
      <c r="F46" s="21">
        <v>1050.7961</v>
      </c>
      <c r="G46" s="21">
        <v>1054.604</v>
      </c>
      <c r="H46" s="33">
        <f>(G46-F46)*E46</f>
        <v>4569.4800000000214</v>
      </c>
      <c r="I46" s="43"/>
      <c r="J46" s="20"/>
    </row>
    <row r="47" spans="1:10" ht="15.75" x14ac:dyDescent="0.25">
      <c r="A47" s="27" t="s">
        <v>65</v>
      </c>
      <c r="B47" s="171" t="s">
        <v>52</v>
      </c>
      <c r="C47" s="32">
        <v>51431336</v>
      </c>
      <c r="D47" s="171" t="s">
        <v>53</v>
      </c>
      <c r="E47" s="171">
        <v>1200</v>
      </c>
      <c r="F47" s="21">
        <v>63.540599999999998</v>
      </c>
      <c r="G47" s="21">
        <v>63.869500000000002</v>
      </c>
      <c r="H47" s="33">
        <f>(G47-F47)*E47</f>
        <v>394.68000000000529</v>
      </c>
      <c r="I47" s="43"/>
      <c r="J47" s="20"/>
    </row>
    <row r="48" spans="1:10" ht="15.75" x14ac:dyDescent="0.25">
      <c r="A48" s="15" t="s">
        <v>66</v>
      </c>
      <c r="B48" s="171" t="s">
        <v>67</v>
      </c>
      <c r="C48" s="171">
        <v>49174</v>
      </c>
      <c r="D48" s="172" t="s">
        <v>53</v>
      </c>
      <c r="E48" s="171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16638.679999999866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71" t="s">
        <v>52</v>
      </c>
      <c r="C51" s="171">
        <v>51097603</v>
      </c>
      <c r="D51" s="172" t="s">
        <v>53</v>
      </c>
      <c r="E51" s="171">
        <v>7000</v>
      </c>
      <c r="F51" s="17">
        <v>2056.1037999999999</v>
      </c>
      <c r="G51" s="17">
        <v>2062.5281</v>
      </c>
      <c r="H51" s="18">
        <f>(G51-F51)*E51</f>
        <v>44970.100000000908</v>
      </c>
      <c r="I51" s="43"/>
      <c r="J51" s="20"/>
    </row>
    <row r="52" spans="1:10" ht="15.75" x14ac:dyDescent="0.25">
      <c r="A52" s="27" t="s">
        <v>72</v>
      </c>
      <c r="B52" s="171" t="s">
        <v>52</v>
      </c>
      <c r="C52" s="171">
        <v>51097590</v>
      </c>
      <c r="D52" s="172" t="s">
        <v>53</v>
      </c>
      <c r="E52" s="171">
        <v>7000</v>
      </c>
      <c r="F52" s="21">
        <v>13.039400000000001</v>
      </c>
      <c r="G52" s="21">
        <v>13.063700000000001</v>
      </c>
      <c r="H52" s="18">
        <f>(G52-F52)*E52</f>
        <v>170.10000000000147</v>
      </c>
      <c r="I52" s="43"/>
      <c r="J52" s="20"/>
    </row>
    <row r="53" spans="1:10" ht="15.75" x14ac:dyDescent="0.25">
      <c r="A53" s="15" t="s">
        <v>66</v>
      </c>
      <c r="B53" s="171" t="s">
        <v>67</v>
      </c>
      <c r="C53" s="171">
        <v>49174</v>
      </c>
      <c r="D53" s="172" t="s">
        <v>53</v>
      </c>
      <c r="E53" s="171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71"/>
      <c r="D54" s="172"/>
      <c r="E54" s="171"/>
      <c r="F54" s="21"/>
      <c r="G54" s="21"/>
      <c r="H54" s="48">
        <f>H51+H52+H53</f>
        <v>45240.200000000907</v>
      </c>
      <c r="I54" s="47"/>
      <c r="J54" s="59"/>
    </row>
    <row r="55" spans="1:10" ht="15.75" x14ac:dyDescent="0.25">
      <c r="A55" s="27" t="s">
        <v>74</v>
      </c>
      <c r="B55" s="171" t="s">
        <v>52</v>
      </c>
      <c r="C55" s="171">
        <v>51100980</v>
      </c>
      <c r="D55" s="171" t="s">
        <v>75</v>
      </c>
      <c r="E55" s="171">
        <v>12000</v>
      </c>
      <c r="F55" s="21">
        <v>1209.4570000000001</v>
      </c>
      <c r="G55" s="21">
        <v>1213.2170000000001</v>
      </c>
      <c r="H55" s="18">
        <f>(G55-F55)*E55</f>
        <v>45119.999999999891</v>
      </c>
      <c r="I55" s="47"/>
      <c r="J55" s="58"/>
    </row>
    <row r="56" spans="1:10" ht="15.75" x14ac:dyDescent="0.25">
      <c r="A56" s="27" t="s">
        <v>76</v>
      </c>
      <c r="B56" s="171" t="s">
        <v>52</v>
      </c>
      <c r="C56" s="171">
        <v>51097623</v>
      </c>
      <c r="D56" s="171" t="s">
        <v>75</v>
      </c>
      <c r="E56" s="171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71"/>
      <c r="C57" s="171"/>
      <c r="D57" s="171"/>
      <c r="E57" s="171"/>
      <c r="F57" s="21"/>
      <c r="G57" s="21"/>
      <c r="H57" s="48">
        <f>H55+H56</f>
        <v>45119.999999999891</v>
      </c>
      <c r="I57" s="61">
        <f>H54-H64-H53</f>
        <v>-81.55999999854248</v>
      </c>
      <c r="J57" s="25">
        <f>I57/H57</f>
        <v>-1.8076241134428784E-3</v>
      </c>
    </row>
    <row r="58" spans="1:10" ht="15.75" x14ac:dyDescent="0.25">
      <c r="A58" s="27" t="s">
        <v>78</v>
      </c>
      <c r="B58" s="171" t="s">
        <v>52</v>
      </c>
      <c r="C58" s="171">
        <v>51097675</v>
      </c>
      <c r="D58" s="171" t="s">
        <v>34</v>
      </c>
      <c r="E58" s="171">
        <v>4800</v>
      </c>
      <c r="F58" s="21">
        <v>560.53250000000003</v>
      </c>
      <c r="G58" s="21">
        <v>563.04669999999999</v>
      </c>
      <c r="H58" s="18">
        <f t="shared" ref="H58:H63" si="2">(G58-F58)*E58</f>
        <v>12068.159999999807</v>
      </c>
      <c r="I58" s="62"/>
      <c r="J58" s="59"/>
    </row>
    <row r="59" spans="1:10" ht="15.75" x14ac:dyDescent="0.25">
      <c r="A59" s="27" t="s">
        <v>79</v>
      </c>
      <c r="B59" s="171" t="s">
        <v>52</v>
      </c>
      <c r="C59" s="171">
        <v>51100997</v>
      </c>
      <c r="D59" s="171" t="s">
        <v>21</v>
      </c>
      <c r="E59" s="171">
        <v>3600</v>
      </c>
      <c r="F59" s="21">
        <v>1425.7765999999999</v>
      </c>
      <c r="G59" s="21">
        <v>1428.4623999999999</v>
      </c>
      <c r="H59" s="18">
        <f t="shared" si="2"/>
        <v>9668.8799999998992</v>
      </c>
      <c r="I59" s="62"/>
      <c r="J59" s="59"/>
    </row>
    <row r="60" spans="1:10" ht="15.75" x14ac:dyDescent="0.25">
      <c r="A60" s="27" t="s">
        <v>80</v>
      </c>
      <c r="B60" s="171" t="s">
        <v>52</v>
      </c>
      <c r="C60" s="171">
        <v>51555218</v>
      </c>
      <c r="D60" s="171">
        <f>400/5</f>
        <v>80</v>
      </c>
      <c r="E60" s="171">
        <v>4800</v>
      </c>
      <c r="F60" s="21">
        <v>72.6066</v>
      </c>
      <c r="G60" s="21">
        <v>73.045000000000002</v>
      </c>
      <c r="H60" s="18">
        <f t="shared" si="2"/>
        <v>2104.320000000007</v>
      </c>
      <c r="I60" s="62"/>
      <c r="J60" s="59"/>
    </row>
    <row r="61" spans="1:10" ht="15.75" x14ac:dyDescent="0.25">
      <c r="A61" s="27" t="s">
        <v>81</v>
      </c>
      <c r="B61" s="171" t="s">
        <v>52</v>
      </c>
      <c r="C61" s="171">
        <v>51555151</v>
      </c>
      <c r="D61" s="171">
        <f>400/5</f>
        <v>80</v>
      </c>
      <c r="E61" s="171">
        <v>4800</v>
      </c>
      <c r="F61" s="63">
        <v>0.30690000000000001</v>
      </c>
      <c r="G61" s="63">
        <v>0.30690000000000001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71" t="s">
        <v>52</v>
      </c>
      <c r="C62" s="171">
        <v>51097599</v>
      </c>
      <c r="D62" s="171" t="s">
        <v>21</v>
      </c>
      <c r="E62" s="171">
        <v>3600</v>
      </c>
      <c r="F62" s="21">
        <v>1004.6321</v>
      </c>
      <c r="G62" s="21">
        <v>1006.8595</v>
      </c>
      <c r="H62" s="18">
        <f t="shared" si="2"/>
        <v>8018.6399999999594</v>
      </c>
      <c r="I62" s="62"/>
      <c r="J62" s="59"/>
    </row>
    <row r="63" spans="1:10" ht="15.75" x14ac:dyDescent="0.25">
      <c r="A63" s="27" t="s">
        <v>83</v>
      </c>
      <c r="B63" s="171" t="s">
        <v>52</v>
      </c>
      <c r="C63" s="171">
        <v>51097620</v>
      </c>
      <c r="D63" s="171" t="s">
        <v>34</v>
      </c>
      <c r="E63" s="171">
        <v>4800</v>
      </c>
      <c r="F63" s="21">
        <v>557.57230000000004</v>
      </c>
      <c r="G63" s="21">
        <v>560.35599999999999</v>
      </c>
      <c r="H63" s="18">
        <f t="shared" si="2"/>
        <v>13361.759999999776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45221.759999999449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71" t="s">
        <v>52</v>
      </c>
      <c r="C66" s="9">
        <v>51259238</v>
      </c>
      <c r="D66" s="74" t="s">
        <v>53</v>
      </c>
      <c r="E66" s="74">
        <v>7000</v>
      </c>
      <c r="F66" s="75">
        <v>602.82270000000005</v>
      </c>
      <c r="G66" s="75">
        <v>605.22770000000003</v>
      </c>
      <c r="H66" s="76">
        <f>(G66-F66)*E66</f>
        <v>16834.999999999811</v>
      </c>
      <c r="I66" s="77"/>
      <c r="J66" s="78"/>
    </row>
    <row r="67" spans="1:10" ht="15.75" x14ac:dyDescent="0.25">
      <c r="A67" s="27" t="s">
        <v>86</v>
      </c>
      <c r="B67" s="171" t="s">
        <v>52</v>
      </c>
      <c r="C67" s="171">
        <v>51259324</v>
      </c>
      <c r="D67" s="172" t="s">
        <v>53</v>
      </c>
      <c r="E67" s="172">
        <v>7000</v>
      </c>
      <c r="F67" s="21">
        <v>465.99149999999997</v>
      </c>
      <c r="G67" s="21">
        <v>467.8501</v>
      </c>
      <c r="H67" s="18">
        <f>(G67-F67)*E67</f>
        <v>13010.200000000168</v>
      </c>
      <c r="I67" s="51"/>
      <c r="J67" s="58"/>
    </row>
    <row r="68" spans="1:10" s="129" customFormat="1" ht="15.75" x14ac:dyDescent="0.25">
      <c r="A68" s="27" t="s">
        <v>87</v>
      </c>
      <c r="B68" s="79" t="s">
        <v>88</v>
      </c>
      <c r="C68" s="171">
        <v>51491618</v>
      </c>
      <c r="D68" s="172" t="s">
        <v>63</v>
      </c>
      <c r="E68" s="171">
        <v>40</v>
      </c>
      <c r="F68" s="28">
        <v>1405.886</v>
      </c>
      <c r="G68" s="28">
        <v>1412.6765</v>
      </c>
      <c r="H68" s="18">
        <f>(G68-F68)*E68</f>
        <v>271.62000000000262</v>
      </c>
      <c r="I68" s="51"/>
      <c r="J68" s="58"/>
    </row>
    <row r="69" spans="1:10" s="129" customFormat="1" ht="15.75" x14ac:dyDescent="0.25">
      <c r="A69" s="27" t="s">
        <v>89</v>
      </c>
      <c r="B69" s="79" t="s">
        <v>88</v>
      </c>
      <c r="C69" s="171">
        <v>51491624</v>
      </c>
      <c r="D69" s="172" t="s">
        <v>63</v>
      </c>
      <c r="E69" s="171">
        <v>40</v>
      </c>
      <c r="F69" s="28">
        <v>185.56549999999999</v>
      </c>
      <c r="G69" s="28">
        <v>186.27449999999999</v>
      </c>
      <c r="H69" s="18">
        <f>(G69-F69)*E69</f>
        <v>28.360000000000127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29845.199999999979</v>
      </c>
      <c r="I70" s="85">
        <f>H70-H73-H68-H69</f>
        <v>-916.78000000001293</v>
      </c>
      <c r="J70" s="25">
        <f>I70/H70</f>
        <v>-3.0717837374184577E-2</v>
      </c>
    </row>
    <row r="71" spans="1:10" ht="15.75" x14ac:dyDescent="0.25">
      <c r="A71" s="27" t="s">
        <v>91</v>
      </c>
      <c r="B71" s="171" t="s">
        <v>52</v>
      </c>
      <c r="C71" s="86">
        <v>51097588</v>
      </c>
      <c r="D71" s="172" t="s">
        <v>75</v>
      </c>
      <c r="E71" s="171">
        <v>12000</v>
      </c>
      <c r="F71" s="21">
        <v>360.03629999999998</v>
      </c>
      <c r="G71" s="21">
        <v>361.41539999999998</v>
      </c>
      <c r="H71" s="18">
        <f>(G71-F71)*E71</f>
        <v>16549.199999999928</v>
      </c>
      <c r="I71" s="51"/>
      <c r="J71" s="58"/>
    </row>
    <row r="72" spans="1:10" ht="15.75" x14ac:dyDescent="0.25">
      <c r="A72" s="27" t="s">
        <v>92</v>
      </c>
      <c r="B72" s="171" t="s">
        <v>52</v>
      </c>
      <c r="C72" s="86">
        <v>51431335</v>
      </c>
      <c r="D72" s="172" t="s">
        <v>75</v>
      </c>
      <c r="E72" s="171">
        <v>12000</v>
      </c>
      <c r="F72" s="21">
        <v>284.25189999999998</v>
      </c>
      <c r="G72" s="21">
        <v>285.41129999999998</v>
      </c>
      <c r="H72" s="18">
        <f>(G72-F72)*E72</f>
        <v>13912.800000000061</v>
      </c>
      <c r="I72" s="51"/>
      <c r="J72" s="58"/>
    </row>
    <row r="73" spans="1:10" ht="15.75" x14ac:dyDescent="0.25">
      <c r="A73" s="87" t="s">
        <v>93</v>
      </c>
      <c r="B73" s="171" t="s">
        <v>27</v>
      </c>
      <c r="C73" s="171"/>
      <c r="D73" s="172"/>
      <c r="E73" s="171"/>
      <c r="F73" s="21"/>
      <c r="G73" s="21"/>
      <c r="H73" s="48">
        <f>H71+ H72</f>
        <v>30461.999999999989</v>
      </c>
      <c r="I73" s="85">
        <f>H73-H81</f>
        <v>-51.899999999510328</v>
      </c>
      <c r="J73" s="25">
        <f>I73/H73</f>
        <v>-1.7037620641950741E-3</v>
      </c>
    </row>
    <row r="74" spans="1:10" ht="15.75" x14ac:dyDescent="0.25">
      <c r="A74" s="27" t="s">
        <v>94</v>
      </c>
      <c r="B74" s="171" t="s">
        <v>52</v>
      </c>
      <c r="C74" s="86">
        <v>51097676</v>
      </c>
      <c r="D74" s="88" t="s">
        <v>63</v>
      </c>
      <c r="E74" s="171">
        <v>2400</v>
      </c>
      <c r="F74" s="21">
        <v>754.87220000000002</v>
      </c>
      <c r="G74" s="21">
        <v>757.80740000000003</v>
      </c>
      <c r="H74" s="18">
        <f>(G74-F74)*E74</f>
        <v>7044.4800000000214</v>
      </c>
      <c r="I74" s="51"/>
      <c r="J74" s="58"/>
    </row>
    <row r="75" spans="1:10" ht="15.75" x14ac:dyDescent="0.25">
      <c r="A75" s="27" t="s">
        <v>95</v>
      </c>
      <c r="B75" s="171" t="s">
        <v>52</v>
      </c>
      <c r="C75" s="86">
        <v>51431355</v>
      </c>
      <c r="D75" s="172" t="s">
        <v>21</v>
      </c>
      <c r="E75" s="172">
        <v>3600</v>
      </c>
      <c r="F75" s="21">
        <v>388.49430000000001</v>
      </c>
      <c r="G75" s="21">
        <v>389.80329999999998</v>
      </c>
      <c r="H75" s="18">
        <f>(G75-F75)*E75</f>
        <v>4712.3999999998887</v>
      </c>
      <c r="I75" s="51"/>
      <c r="J75" s="52"/>
    </row>
    <row r="76" spans="1:10" ht="15.75" x14ac:dyDescent="0.25">
      <c r="A76" s="27" t="s">
        <v>96</v>
      </c>
      <c r="B76" s="171" t="s">
        <v>52</v>
      </c>
      <c r="C76" s="86">
        <v>51259331</v>
      </c>
      <c r="D76" s="88" t="s">
        <v>37</v>
      </c>
      <c r="E76" s="171">
        <v>600</v>
      </c>
      <c r="F76" s="21">
        <v>179.15170000000001</v>
      </c>
      <c r="G76" s="21">
        <v>179.84819999999999</v>
      </c>
      <c r="H76" s="18">
        <f>(G76-F76)*E76</f>
        <v>417.89999999999168</v>
      </c>
      <c r="I76" s="51"/>
      <c r="J76" s="52"/>
    </row>
    <row r="77" spans="1:10" ht="15.75" x14ac:dyDescent="0.25">
      <c r="A77" s="27" t="s">
        <v>97</v>
      </c>
      <c r="B77" s="171" t="s">
        <v>52</v>
      </c>
      <c r="C77" s="86">
        <v>51259326</v>
      </c>
      <c r="D77" s="88" t="s">
        <v>14</v>
      </c>
      <c r="E77" s="171">
        <v>7200</v>
      </c>
      <c r="F77" s="21">
        <v>355.55149999999998</v>
      </c>
      <c r="G77" s="21">
        <v>356.87759999999997</v>
      </c>
      <c r="H77" s="18">
        <f>(G77-F77)*E77</f>
        <v>9547.9199999999764</v>
      </c>
      <c r="I77" s="51"/>
      <c r="J77" s="52"/>
    </row>
    <row r="78" spans="1:10" ht="15.75" x14ac:dyDescent="0.25">
      <c r="A78" s="27" t="s">
        <v>98</v>
      </c>
      <c r="B78" s="171" t="s">
        <v>52</v>
      </c>
      <c r="C78" s="86">
        <v>51431351</v>
      </c>
      <c r="D78" s="88" t="s">
        <v>14</v>
      </c>
      <c r="E78" s="171">
        <v>7200</v>
      </c>
      <c r="F78" s="21">
        <v>259.48630000000003</v>
      </c>
      <c r="G78" s="21">
        <v>260.70729999999998</v>
      </c>
      <c r="H78" s="18">
        <f>(G78-F78)*E78</f>
        <v>8791.1999999996169</v>
      </c>
      <c r="I78" s="51"/>
      <c r="J78" s="52"/>
    </row>
    <row r="79" spans="1:10" ht="15.75" x14ac:dyDescent="0.25">
      <c r="A79" s="89" t="s">
        <v>99</v>
      </c>
      <c r="B79" s="171" t="s">
        <v>52</v>
      </c>
      <c r="C79" s="90">
        <v>51097666</v>
      </c>
      <c r="D79" s="88" t="s">
        <v>63</v>
      </c>
      <c r="E79" s="171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71" t="s">
        <v>52</v>
      </c>
      <c r="C80" s="90">
        <v>51259323</v>
      </c>
      <c r="D80" s="88" t="s">
        <v>63</v>
      </c>
      <c r="E80" s="171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30513.899999999499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71" t="s">
        <v>52</v>
      </c>
      <c r="C83" s="106">
        <v>51431297</v>
      </c>
      <c r="D83" s="172" t="s">
        <v>53</v>
      </c>
      <c r="E83" s="100">
        <v>7000</v>
      </c>
      <c r="F83" s="17">
        <v>321.44600000000003</v>
      </c>
      <c r="G83" s="17">
        <v>323.88260000000002</v>
      </c>
      <c r="H83" s="18">
        <f>(G83-F83)*E83</f>
        <v>17056.19999999999</v>
      </c>
      <c r="I83" s="107"/>
      <c r="J83" s="108"/>
    </row>
    <row r="84" spans="1:10" ht="15.75" x14ac:dyDescent="0.25">
      <c r="A84" s="105" t="s">
        <v>86</v>
      </c>
      <c r="B84" s="171" t="s">
        <v>52</v>
      </c>
      <c r="C84" s="106">
        <v>51431332</v>
      </c>
      <c r="D84" s="172" t="s">
        <v>53</v>
      </c>
      <c r="E84" s="100">
        <v>7000</v>
      </c>
      <c r="F84" s="17">
        <v>359.72750000000002</v>
      </c>
      <c r="G84" s="17">
        <v>359.85590000000002</v>
      </c>
      <c r="H84" s="18">
        <f>(G84-F84)*E84</f>
        <v>898.79999999999427</v>
      </c>
      <c r="I84" s="171"/>
      <c r="J84" s="58"/>
    </row>
    <row r="85" spans="1:10" s="129" customFormat="1" ht="15.75" x14ac:dyDescent="0.25">
      <c r="A85" s="27" t="s">
        <v>87</v>
      </c>
      <c r="B85" s="171" t="s">
        <v>103</v>
      </c>
      <c r="C85" s="109">
        <v>150773</v>
      </c>
      <c r="D85" s="172" t="s">
        <v>53</v>
      </c>
      <c r="E85" s="109">
        <v>20</v>
      </c>
      <c r="F85" s="17">
        <v>15759.6</v>
      </c>
      <c r="G85" s="17">
        <v>15766</v>
      </c>
      <c r="H85" s="18">
        <f>(G85-F85)*E85</f>
        <v>127.99999999999272</v>
      </c>
      <c r="I85" s="51"/>
      <c r="J85" s="58"/>
    </row>
    <row r="86" spans="1:10" s="129" customFormat="1" ht="15.75" x14ac:dyDescent="0.25">
      <c r="A86" s="27" t="s">
        <v>89</v>
      </c>
      <c r="B86" s="171" t="s">
        <v>103</v>
      </c>
      <c r="C86" s="109">
        <v>150791</v>
      </c>
      <c r="D86" s="172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73"/>
      <c r="C87" s="32"/>
      <c r="D87" s="82"/>
      <c r="E87" s="82"/>
      <c r="F87" s="21"/>
      <c r="G87" s="21"/>
      <c r="H87" s="48">
        <f>H83+H84</f>
        <v>17954.999999999985</v>
      </c>
      <c r="I87" s="85">
        <f>H87-H90-H85-H86</f>
        <v>348.75999999971464</v>
      </c>
      <c r="J87" s="25">
        <f>I87/H87</f>
        <v>1.9424115845152599E-2</v>
      </c>
    </row>
    <row r="88" spans="1:10" ht="15.75" x14ac:dyDescent="0.25">
      <c r="A88" s="27" t="s">
        <v>104</v>
      </c>
      <c r="B88" s="171" t="s">
        <v>52</v>
      </c>
      <c r="C88" s="106">
        <v>51431342</v>
      </c>
      <c r="D88" s="88" t="s">
        <v>34</v>
      </c>
      <c r="E88" s="171">
        <v>4800</v>
      </c>
      <c r="F88" s="21">
        <v>457.28359999999998</v>
      </c>
      <c r="G88" s="21">
        <v>460.80020000000002</v>
      </c>
      <c r="H88" s="18">
        <f>(G88-F88)*E88</f>
        <v>16879.680000000189</v>
      </c>
      <c r="I88" s="51"/>
      <c r="J88" s="52"/>
    </row>
    <row r="89" spans="1:10" ht="15.75" x14ac:dyDescent="0.25">
      <c r="A89" s="27" t="s">
        <v>105</v>
      </c>
      <c r="B89" s="171" t="s">
        <v>52</v>
      </c>
      <c r="C89" s="106">
        <v>51431343</v>
      </c>
      <c r="D89" s="88" t="s">
        <v>34</v>
      </c>
      <c r="E89" s="171">
        <v>4800</v>
      </c>
      <c r="F89" s="21">
        <v>507.35329999999999</v>
      </c>
      <c r="G89" s="21">
        <v>507.47800000000001</v>
      </c>
      <c r="H89" s="18">
        <f>(G89-F89)*E89</f>
        <v>598.56000000008862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17478.240000000278</v>
      </c>
      <c r="I90" s="85">
        <f>H90-H98</f>
        <v>-83.899999999688589</v>
      </c>
      <c r="J90" s="25">
        <f>I90/H90</f>
        <v>-4.8002544878481615E-3</v>
      </c>
    </row>
    <row r="91" spans="1:10" ht="15.75" x14ac:dyDescent="0.25">
      <c r="A91" s="27" t="s">
        <v>107</v>
      </c>
      <c r="B91" s="171" t="s">
        <v>52</v>
      </c>
      <c r="C91" s="106">
        <v>51431347</v>
      </c>
      <c r="D91" s="172" t="s">
        <v>53</v>
      </c>
      <c r="E91" s="171">
        <v>1200</v>
      </c>
      <c r="F91" s="21">
        <v>1202.1474000000001</v>
      </c>
      <c r="G91" s="21">
        <v>1202.1474000000001</v>
      </c>
      <c r="H91" s="18">
        <f>(G91-F91)*E91</f>
        <v>0</v>
      </c>
      <c r="I91" s="51"/>
      <c r="J91" s="52"/>
    </row>
    <row r="92" spans="1:10" ht="15.75" x14ac:dyDescent="0.25">
      <c r="A92" s="27" t="s">
        <v>108</v>
      </c>
      <c r="B92" s="171" t="s">
        <v>52</v>
      </c>
      <c r="C92" s="106">
        <v>51431339</v>
      </c>
      <c r="D92" s="172" t="s">
        <v>53</v>
      </c>
      <c r="E92" s="171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71" t="s">
        <v>52</v>
      </c>
      <c r="C93" s="106">
        <v>51217244</v>
      </c>
      <c r="D93" s="171" t="s">
        <v>37</v>
      </c>
      <c r="E93" s="171">
        <v>600</v>
      </c>
      <c r="F93" s="30">
        <v>348.57990000000001</v>
      </c>
      <c r="G93" s="30">
        <v>349.47</v>
      </c>
      <c r="H93" s="18">
        <f t="shared" si="4"/>
        <v>534.06000000001086</v>
      </c>
      <c r="I93" s="51"/>
      <c r="J93" s="52"/>
    </row>
    <row r="94" spans="1:10" ht="15.75" x14ac:dyDescent="0.25">
      <c r="A94" s="27" t="s">
        <v>110</v>
      </c>
      <c r="B94" s="171" t="s">
        <v>52</v>
      </c>
      <c r="C94" s="106">
        <v>51217267</v>
      </c>
      <c r="D94" s="88" t="s">
        <v>63</v>
      </c>
      <c r="E94" s="171">
        <v>2400</v>
      </c>
      <c r="F94" s="30">
        <v>20.808499999999999</v>
      </c>
      <c r="G94" s="30">
        <v>20.839600000000001</v>
      </c>
      <c r="H94" s="18">
        <f t="shared" si="4"/>
        <v>74.640000000005102</v>
      </c>
      <c r="I94" s="51"/>
      <c r="J94" s="52"/>
    </row>
    <row r="95" spans="1:10" ht="15.75" x14ac:dyDescent="0.25">
      <c r="A95" s="27" t="s">
        <v>111</v>
      </c>
      <c r="B95" s="171" t="s">
        <v>52</v>
      </c>
      <c r="C95" s="171">
        <v>51555165</v>
      </c>
      <c r="D95" s="172" t="s">
        <v>53</v>
      </c>
      <c r="E95" s="171">
        <v>1200</v>
      </c>
      <c r="F95" s="30">
        <v>986.93550000000005</v>
      </c>
      <c r="G95" s="30">
        <v>995.58720000000005</v>
      </c>
      <c r="H95" s="18">
        <f t="shared" si="4"/>
        <v>10382.040000000006</v>
      </c>
      <c r="I95" s="51" t="s">
        <v>27</v>
      </c>
      <c r="J95" s="52"/>
    </row>
    <row r="96" spans="1:10" ht="15.75" x14ac:dyDescent="0.25">
      <c r="A96" s="113" t="s">
        <v>112</v>
      </c>
      <c r="B96" s="171" t="s">
        <v>52</v>
      </c>
      <c r="C96" s="106">
        <v>51431346</v>
      </c>
      <c r="D96" s="114" t="s">
        <v>37</v>
      </c>
      <c r="E96" s="114">
        <v>600</v>
      </c>
      <c r="F96" s="30">
        <v>384.66320000000002</v>
      </c>
      <c r="G96" s="30">
        <v>386.815</v>
      </c>
      <c r="H96" s="115">
        <f t="shared" si="4"/>
        <v>1291.0799999999881</v>
      </c>
      <c r="I96" s="116"/>
      <c r="J96" s="117"/>
    </row>
    <row r="97" spans="1:10" ht="15.75" x14ac:dyDescent="0.25">
      <c r="A97" s="27" t="s">
        <v>113</v>
      </c>
      <c r="B97" s="171" t="s">
        <v>52</v>
      </c>
      <c r="C97" s="106">
        <v>51431352</v>
      </c>
      <c r="D97" s="88" t="s">
        <v>21</v>
      </c>
      <c r="E97" s="171">
        <v>3600</v>
      </c>
      <c r="F97" s="21">
        <v>256.76940000000002</v>
      </c>
      <c r="G97" s="21">
        <v>258.20060000000001</v>
      </c>
      <c r="H97" s="18">
        <f t="shared" si="4"/>
        <v>5152.3199999999633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17562.139999999967</v>
      </c>
      <c r="I98" s="51"/>
      <c r="J98" s="52"/>
    </row>
    <row r="99" spans="1:10" ht="15.75" x14ac:dyDescent="0.25">
      <c r="A99" s="45" t="s">
        <v>114</v>
      </c>
      <c r="B99" s="171" t="s">
        <v>52</v>
      </c>
      <c r="C99" s="120">
        <v>51431357</v>
      </c>
      <c r="D99" s="172" t="s">
        <v>63</v>
      </c>
      <c r="E99" s="172">
        <v>14000</v>
      </c>
      <c r="F99" s="28">
        <v>888.37099999999998</v>
      </c>
      <c r="G99" s="28">
        <v>891.32560000000001</v>
      </c>
      <c r="H99" s="121">
        <f t="shared" si="4"/>
        <v>41364.400000000387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>
      <selection sqref="A1:XFD104857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132</v>
      </c>
      <c r="G2" s="4" t="s">
        <v>133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74" t="s">
        <v>13</v>
      </c>
      <c r="C4" s="174">
        <v>51555166</v>
      </c>
      <c r="D4" s="174" t="s">
        <v>14</v>
      </c>
      <c r="E4" s="174">
        <v>132000</v>
      </c>
      <c r="F4" s="17">
        <v>7.0212000000000003</v>
      </c>
      <c r="G4" s="17">
        <v>7.0297000000000001</v>
      </c>
      <c r="H4" s="18">
        <f>(G4-F4)*E4</f>
        <v>1121.9999999999643</v>
      </c>
      <c r="I4" s="19"/>
      <c r="J4" s="20"/>
    </row>
    <row r="5" spans="1:10" ht="15.75" x14ac:dyDescent="0.25">
      <c r="A5" s="15" t="s">
        <v>15</v>
      </c>
      <c r="B5" s="174" t="s">
        <v>13</v>
      </c>
      <c r="C5" s="174">
        <v>51555191</v>
      </c>
      <c r="D5" s="174" t="s">
        <v>14</v>
      </c>
      <c r="E5" s="174">
        <v>132000</v>
      </c>
      <c r="F5" s="21">
        <v>402.7088</v>
      </c>
      <c r="G5" s="21">
        <v>404.7002</v>
      </c>
      <c r="H5" s="18">
        <f>(G5-F5)*E5</f>
        <v>262864.79999999981</v>
      </c>
      <c r="I5" s="19"/>
      <c r="J5" s="20"/>
    </row>
    <row r="6" spans="1:10" ht="15.75" x14ac:dyDescent="0.25">
      <c r="A6" s="218" t="s">
        <v>16</v>
      </c>
      <c r="B6" s="219"/>
      <c r="C6" s="174"/>
      <c r="D6" s="175"/>
      <c r="E6" s="174"/>
      <c r="H6" s="23">
        <f>H4+H5</f>
        <v>263986.79999999976</v>
      </c>
      <c r="I6" s="24">
        <f>H6-H9-H19</f>
        <v>2091.0000000064319</v>
      </c>
      <c r="J6" s="25">
        <f>I6/H6</f>
        <v>7.9208505880083175E-3</v>
      </c>
    </row>
    <row r="7" spans="1:10" ht="15.75" x14ac:dyDescent="0.25">
      <c r="A7" s="26" t="s">
        <v>17</v>
      </c>
      <c r="B7" s="174" t="s">
        <v>13</v>
      </c>
      <c r="C7" s="174">
        <v>51097629</v>
      </c>
      <c r="D7" s="175" t="s">
        <v>14</v>
      </c>
      <c r="E7" s="174">
        <v>42000</v>
      </c>
      <c r="F7" s="21">
        <v>1172.7288000000001</v>
      </c>
      <c r="G7" s="21">
        <v>1177.2194999999999</v>
      </c>
      <c r="H7" s="18">
        <f>(G7-F7)*E7</f>
        <v>188609.39999999301</v>
      </c>
      <c r="I7" s="19"/>
      <c r="J7" s="20"/>
    </row>
    <row r="8" spans="1:10" ht="15.75" x14ac:dyDescent="0.25">
      <c r="A8" s="26" t="s">
        <v>18</v>
      </c>
      <c r="B8" s="174" t="s">
        <v>13</v>
      </c>
      <c r="C8" s="174">
        <v>51616820</v>
      </c>
      <c r="D8" s="175" t="s">
        <v>14</v>
      </c>
      <c r="E8" s="174">
        <v>42000</v>
      </c>
      <c r="F8" s="21">
        <v>15.420999999999999</v>
      </c>
      <c r="G8" s="21">
        <v>15.4338</v>
      </c>
      <c r="H8" s="18">
        <f>(G8-F8)*E8</f>
        <v>537.60000000001537</v>
      </c>
      <c r="I8" s="19"/>
      <c r="J8" s="20"/>
    </row>
    <row r="9" spans="1:10" ht="15.75" x14ac:dyDescent="0.25">
      <c r="A9" s="218" t="s">
        <v>19</v>
      </c>
      <c r="B9" s="219"/>
      <c r="C9" s="174"/>
      <c r="D9" s="175"/>
      <c r="E9" s="174"/>
      <c r="F9" s="21"/>
      <c r="G9" s="21"/>
      <c r="H9" s="23">
        <f>H7+H8</f>
        <v>189146.99999999302</v>
      </c>
      <c r="I9" s="24">
        <f>H9-H16</f>
        <v>88.199999994627433</v>
      </c>
      <c r="J9" s="25">
        <f>I9/H9</f>
        <v>4.6630398576044392E-4</v>
      </c>
    </row>
    <row r="10" spans="1:10" ht="15.75" x14ac:dyDescent="0.25">
      <c r="A10" s="27" t="s">
        <v>20</v>
      </c>
      <c r="B10" s="174" t="s">
        <v>13</v>
      </c>
      <c r="C10" s="174">
        <v>51217286</v>
      </c>
      <c r="D10" s="175" t="s">
        <v>21</v>
      </c>
      <c r="E10" s="174">
        <v>21000</v>
      </c>
      <c r="F10" s="21">
        <v>924.5231</v>
      </c>
      <c r="G10" s="21">
        <v>927.70309999999995</v>
      </c>
      <c r="H10" s="18">
        <f t="shared" ref="H10:H15" si="0">(G10-F10)*E10</f>
        <v>66779.999999998952</v>
      </c>
      <c r="I10" s="19"/>
      <c r="J10" s="20"/>
    </row>
    <row r="11" spans="1:10" ht="15.75" x14ac:dyDescent="0.25">
      <c r="A11" s="27" t="s">
        <v>22</v>
      </c>
      <c r="B11" s="174" t="s">
        <v>13</v>
      </c>
      <c r="C11" s="174">
        <v>51217292</v>
      </c>
      <c r="D11" s="175" t="s">
        <v>21</v>
      </c>
      <c r="E11" s="174">
        <v>21000</v>
      </c>
      <c r="F11" s="28">
        <v>3.9744000000000002</v>
      </c>
      <c r="G11" s="28">
        <v>3.9803999999999999</v>
      </c>
      <c r="H11" s="18">
        <f>(G11-F11)*E11</f>
        <v>125.99999999999545</v>
      </c>
      <c r="I11" s="19"/>
      <c r="J11" s="20"/>
    </row>
    <row r="12" spans="1:10" ht="15.75" x14ac:dyDescent="0.25">
      <c r="A12" s="27" t="s">
        <v>23</v>
      </c>
      <c r="B12" s="174" t="s">
        <v>13</v>
      </c>
      <c r="C12" s="174">
        <v>51217271</v>
      </c>
      <c r="D12" s="175" t="s">
        <v>21</v>
      </c>
      <c r="E12" s="174">
        <v>21000</v>
      </c>
      <c r="F12" s="21">
        <v>695.23059999999998</v>
      </c>
      <c r="G12" s="21">
        <v>698.11580000000004</v>
      </c>
      <c r="H12" s="18">
        <f t="shared" si="0"/>
        <v>60589.200000001139</v>
      </c>
      <c r="I12" s="19"/>
      <c r="J12" s="20"/>
    </row>
    <row r="13" spans="1:10" ht="15.75" x14ac:dyDescent="0.25">
      <c r="A13" s="27" t="s">
        <v>24</v>
      </c>
      <c r="B13" s="174" t="s">
        <v>13</v>
      </c>
      <c r="C13" s="174">
        <v>51217276</v>
      </c>
      <c r="D13" s="175" t="s">
        <v>21</v>
      </c>
      <c r="E13" s="174">
        <v>21000</v>
      </c>
      <c r="F13" s="28">
        <v>0.61539999999999995</v>
      </c>
      <c r="G13" s="28">
        <v>0.61909999999999998</v>
      </c>
      <c r="H13" s="18">
        <f>(G13-F13)*E13</f>
        <v>77.70000000000077</v>
      </c>
      <c r="I13" s="19"/>
      <c r="J13" s="20"/>
    </row>
    <row r="14" spans="1:10" ht="15.75" x14ac:dyDescent="0.25">
      <c r="A14" s="27" t="s">
        <v>25</v>
      </c>
      <c r="B14" s="174" t="s">
        <v>13</v>
      </c>
      <c r="C14" s="174">
        <v>51100990</v>
      </c>
      <c r="D14" s="175" t="s">
        <v>21</v>
      </c>
      <c r="E14" s="174">
        <v>21000</v>
      </c>
      <c r="F14" s="29">
        <v>745.07</v>
      </c>
      <c r="G14" s="29">
        <v>747.98879999999997</v>
      </c>
      <c r="H14" s="18">
        <f t="shared" si="0"/>
        <v>61294.7999999983</v>
      </c>
      <c r="I14" s="19"/>
      <c r="J14" s="20"/>
    </row>
    <row r="15" spans="1:10" ht="15.75" x14ac:dyDescent="0.25">
      <c r="A15" s="27" t="s">
        <v>26</v>
      </c>
      <c r="B15" s="174" t="s">
        <v>13</v>
      </c>
      <c r="C15" s="174">
        <v>51097622</v>
      </c>
      <c r="D15" s="175" t="s">
        <v>21</v>
      </c>
      <c r="E15" s="174">
        <v>21000</v>
      </c>
      <c r="F15" s="21">
        <v>9.3895999999999997</v>
      </c>
      <c r="G15" s="21">
        <v>9.3986999999999998</v>
      </c>
      <c r="H15" s="18">
        <f t="shared" si="0"/>
        <v>191.10000000000227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74"/>
      <c r="D16" s="175"/>
      <c r="E16" s="174"/>
      <c r="F16" s="21"/>
      <c r="G16" s="21"/>
      <c r="H16" s="23">
        <f>H10+H11+H12+H13+H14+H15</f>
        <v>189058.79999999839</v>
      </c>
      <c r="I16" s="19"/>
      <c r="J16" s="20"/>
    </row>
    <row r="17" spans="1:10" ht="15.75" x14ac:dyDescent="0.25">
      <c r="A17" s="26" t="s">
        <v>29</v>
      </c>
      <c r="B17" s="174" t="s">
        <v>13</v>
      </c>
      <c r="C17" s="174">
        <v>51097617</v>
      </c>
      <c r="D17" s="175" t="s">
        <v>30</v>
      </c>
      <c r="E17" s="174">
        <v>18000</v>
      </c>
      <c r="F17" s="30">
        <v>918.9588</v>
      </c>
      <c r="G17" s="30">
        <v>923.00040000000001</v>
      </c>
      <c r="H17" s="18">
        <f>(G17-F17)*E17</f>
        <v>72748.800000000309</v>
      </c>
      <c r="I17" s="19"/>
      <c r="J17" s="20"/>
    </row>
    <row r="18" spans="1:10" ht="15.75" x14ac:dyDescent="0.25">
      <c r="A18" s="26" t="s">
        <v>31</v>
      </c>
      <c r="B18" s="174" t="s">
        <v>13</v>
      </c>
      <c r="C18" s="174">
        <v>51097655</v>
      </c>
      <c r="D18" s="175" t="s">
        <v>30</v>
      </c>
      <c r="E18" s="174">
        <v>18000</v>
      </c>
      <c r="F18" s="30">
        <v>11.5421</v>
      </c>
      <c r="G18" s="30">
        <v>11.5421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74"/>
      <c r="D19" s="175"/>
      <c r="E19" s="174"/>
      <c r="F19" s="30"/>
      <c r="G19" s="30"/>
      <c r="H19" s="23">
        <f>H17+H18</f>
        <v>72748.800000000309</v>
      </c>
      <c r="I19" s="24">
        <f>H19-H34</f>
        <v>984.54000000136148</v>
      </c>
      <c r="J19" s="25">
        <f>I19/H19</f>
        <v>1.3533419107962706E-2</v>
      </c>
    </row>
    <row r="20" spans="1:10" ht="15.75" x14ac:dyDescent="0.25">
      <c r="A20" s="15" t="s">
        <v>33</v>
      </c>
      <c r="B20" s="174" t="s">
        <v>13</v>
      </c>
      <c r="C20" s="174">
        <v>51217282</v>
      </c>
      <c r="D20" s="175" t="s">
        <v>34</v>
      </c>
      <c r="E20" s="174">
        <v>4800</v>
      </c>
      <c r="F20" s="21">
        <v>390.6576</v>
      </c>
      <c r="G20" s="21">
        <v>396.75220000000002</v>
      </c>
      <c r="H20" s="18">
        <f t="shared" ref="H20:H33" si="1">(G20-F20)*E20</f>
        <v>29254.080000000067</v>
      </c>
      <c r="I20" s="19" t="s">
        <v>27</v>
      </c>
      <c r="J20" s="20"/>
    </row>
    <row r="21" spans="1:10" ht="15.75" x14ac:dyDescent="0.25">
      <c r="A21" s="15" t="s">
        <v>35</v>
      </c>
      <c r="B21" s="174" t="s">
        <v>13</v>
      </c>
      <c r="C21" s="174">
        <v>51217274</v>
      </c>
      <c r="D21" s="175" t="s">
        <v>34</v>
      </c>
      <c r="E21" s="174">
        <v>4800</v>
      </c>
      <c r="F21" s="21">
        <v>1426.1628000000001</v>
      </c>
      <c r="G21" s="21">
        <v>1426.7964999999999</v>
      </c>
      <c r="H21" s="18">
        <f t="shared" si="1"/>
        <v>3041.7599999993399</v>
      </c>
      <c r="I21" s="19"/>
      <c r="J21" s="20"/>
    </row>
    <row r="22" spans="1:10" ht="15.75" x14ac:dyDescent="0.25">
      <c r="A22" s="15" t="s">
        <v>36</v>
      </c>
      <c r="B22" s="174" t="s">
        <v>13</v>
      </c>
      <c r="C22" s="174">
        <v>51097664</v>
      </c>
      <c r="D22" s="175" t="s">
        <v>37</v>
      </c>
      <c r="E22" s="174">
        <v>600</v>
      </c>
      <c r="F22" s="21">
        <v>4.4410999999999996</v>
      </c>
      <c r="G22" s="21">
        <v>4.4410999999999996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74" t="s">
        <v>13</v>
      </c>
      <c r="C23" s="174">
        <v>51097615</v>
      </c>
      <c r="D23" s="175" t="s">
        <v>37</v>
      </c>
      <c r="E23" s="174">
        <v>600</v>
      </c>
      <c r="F23" s="21">
        <v>48.4681</v>
      </c>
      <c r="G23" s="21">
        <v>48.761099999999999</v>
      </c>
      <c r="H23" s="18">
        <f t="shared" si="1"/>
        <v>175.79999999999956</v>
      </c>
      <c r="I23" s="19"/>
      <c r="J23" s="20"/>
    </row>
    <row r="24" spans="1:10" ht="15.75" x14ac:dyDescent="0.25">
      <c r="A24" s="15" t="s">
        <v>39</v>
      </c>
      <c r="B24" s="174" t="s">
        <v>13</v>
      </c>
      <c r="C24" s="174">
        <v>51217264</v>
      </c>
      <c r="D24" s="175" t="s">
        <v>37</v>
      </c>
      <c r="E24" s="174">
        <v>600</v>
      </c>
      <c r="F24" s="21">
        <v>112.7474</v>
      </c>
      <c r="G24" s="21">
        <v>113.2474</v>
      </c>
      <c r="H24" s="18">
        <f t="shared" si="1"/>
        <v>300</v>
      </c>
      <c r="I24" s="19"/>
      <c r="J24" s="20"/>
    </row>
    <row r="25" spans="1:10" ht="15.75" x14ac:dyDescent="0.25">
      <c r="A25" s="15" t="s">
        <v>40</v>
      </c>
      <c r="B25" s="174" t="s">
        <v>13</v>
      </c>
      <c r="C25" s="174">
        <v>51217288</v>
      </c>
      <c r="D25" s="175" t="s">
        <v>37</v>
      </c>
      <c r="E25" s="174">
        <v>600</v>
      </c>
      <c r="F25" s="21">
        <v>20.918700000000001</v>
      </c>
      <c r="G25" s="21">
        <v>20.9499</v>
      </c>
      <c r="H25" s="18">
        <f t="shared" si="1"/>
        <v>18.719999999999004</v>
      </c>
      <c r="I25" s="19" t="s">
        <v>27</v>
      </c>
      <c r="J25" s="20"/>
    </row>
    <row r="26" spans="1:10" ht="15.75" x14ac:dyDescent="0.25">
      <c r="A26" s="15" t="s">
        <v>41</v>
      </c>
      <c r="B26" s="174" t="s">
        <v>13</v>
      </c>
      <c r="C26" s="174">
        <v>51217279</v>
      </c>
      <c r="D26" s="175" t="s">
        <v>37</v>
      </c>
      <c r="E26" s="174">
        <v>600</v>
      </c>
      <c r="F26" s="21">
        <v>16.074100000000001</v>
      </c>
      <c r="G26" s="21">
        <v>16.128599999999999</v>
      </c>
      <c r="H26" s="18">
        <f t="shared" si="1"/>
        <v>32.699999999998397</v>
      </c>
      <c r="I26" s="19" t="s">
        <v>27</v>
      </c>
      <c r="J26" s="20"/>
    </row>
    <row r="27" spans="1:10" ht="15.75" x14ac:dyDescent="0.25">
      <c r="A27" s="15" t="s">
        <v>42</v>
      </c>
      <c r="B27" s="174" t="s">
        <v>13</v>
      </c>
      <c r="C27" s="174">
        <v>51217272</v>
      </c>
      <c r="D27" s="175" t="s">
        <v>37</v>
      </c>
      <c r="E27" s="174">
        <v>600</v>
      </c>
      <c r="F27" s="31">
        <v>15.765599999999999</v>
      </c>
      <c r="G27" s="31">
        <v>15.819000000000001</v>
      </c>
      <c r="H27" s="18">
        <f t="shared" si="1"/>
        <v>32.040000000001001</v>
      </c>
      <c r="I27" s="19"/>
      <c r="J27" s="20"/>
    </row>
    <row r="28" spans="1:10" ht="15.75" x14ac:dyDescent="0.25">
      <c r="A28" s="15" t="s">
        <v>43</v>
      </c>
      <c r="B28" s="174" t="s">
        <v>13</v>
      </c>
      <c r="C28" s="174">
        <v>51616744</v>
      </c>
      <c r="D28" s="175">
        <f>300/5</f>
        <v>60</v>
      </c>
      <c r="E28" s="174">
        <v>3600</v>
      </c>
      <c r="F28" s="31">
        <v>109.78489999999999</v>
      </c>
      <c r="G28" s="31">
        <v>109.78489999999999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74" t="s">
        <v>13</v>
      </c>
      <c r="C29" s="174">
        <v>51555226</v>
      </c>
      <c r="D29" s="175">
        <f>300/5</f>
        <v>60</v>
      </c>
      <c r="E29" s="174">
        <v>3600</v>
      </c>
      <c r="F29" s="31">
        <v>573.34100000000001</v>
      </c>
      <c r="G29" s="31">
        <v>576.61990000000003</v>
      </c>
      <c r="H29" s="18">
        <f>(G29-F29)*E29</f>
        <v>11804.040000000077</v>
      </c>
      <c r="I29" s="19"/>
      <c r="J29" s="20"/>
    </row>
    <row r="30" spans="1:10" ht="15.75" x14ac:dyDescent="0.25">
      <c r="A30" s="15" t="s">
        <v>45</v>
      </c>
      <c r="B30" s="174" t="s">
        <v>13</v>
      </c>
      <c r="C30" s="174">
        <v>51097658</v>
      </c>
      <c r="D30" s="175" t="s">
        <v>34</v>
      </c>
      <c r="E30" s="174">
        <v>4800</v>
      </c>
      <c r="F30" s="31">
        <v>720.34400000000005</v>
      </c>
      <c r="G30" s="31">
        <v>723.67859999999996</v>
      </c>
      <c r="H30" s="18">
        <f t="shared" si="1"/>
        <v>16006.079999999565</v>
      </c>
      <c r="I30" s="19"/>
      <c r="J30" s="20"/>
    </row>
    <row r="31" spans="1:10" ht="15.75" x14ac:dyDescent="0.25">
      <c r="A31" s="15" t="s">
        <v>46</v>
      </c>
      <c r="B31" s="174" t="s">
        <v>13</v>
      </c>
      <c r="C31" s="174">
        <v>51097635</v>
      </c>
      <c r="D31" s="175" t="s">
        <v>34</v>
      </c>
      <c r="E31" s="174">
        <v>4800</v>
      </c>
      <c r="F31" s="31">
        <v>48.490200000000002</v>
      </c>
      <c r="G31" s="31">
        <v>48.492100000000001</v>
      </c>
      <c r="H31" s="18">
        <f t="shared" si="1"/>
        <v>9.1199999999957981</v>
      </c>
      <c r="I31" s="19"/>
      <c r="J31" s="20"/>
    </row>
    <row r="32" spans="1:10" ht="15.75" x14ac:dyDescent="0.25">
      <c r="A32" s="15" t="s">
        <v>47</v>
      </c>
      <c r="B32" s="174" t="s">
        <v>13</v>
      </c>
      <c r="C32" s="32">
        <v>51097633</v>
      </c>
      <c r="D32" s="175" t="s">
        <v>34</v>
      </c>
      <c r="E32" s="174">
        <v>4800</v>
      </c>
      <c r="F32" s="31">
        <v>217.15260000000001</v>
      </c>
      <c r="G32" s="31">
        <v>219.43289999999999</v>
      </c>
      <c r="H32" s="33">
        <f t="shared" si="1"/>
        <v>10945.439999999917</v>
      </c>
      <c r="I32" s="34"/>
      <c r="J32" s="35"/>
    </row>
    <row r="33" spans="1:10" ht="15.75" x14ac:dyDescent="0.25">
      <c r="A33" s="15" t="s">
        <v>48</v>
      </c>
      <c r="B33" s="174" t="s">
        <v>13</v>
      </c>
      <c r="C33" s="32">
        <v>51097662</v>
      </c>
      <c r="D33" s="175" t="s">
        <v>34</v>
      </c>
      <c r="E33" s="174">
        <v>4800</v>
      </c>
      <c r="F33" s="31">
        <v>4.4208999999999996</v>
      </c>
      <c r="G33" s="31">
        <v>4.4509999999999996</v>
      </c>
      <c r="H33" s="33">
        <f t="shared" si="1"/>
        <v>144.48000000000008</v>
      </c>
      <c r="I33" s="34"/>
      <c r="J33" s="35"/>
    </row>
    <row r="34" spans="1:10" ht="15.75" x14ac:dyDescent="0.25">
      <c r="A34" s="218" t="s">
        <v>49</v>
      </c>
      <c r="B34" s="219"/>
      <c r="C34" s="174"/>
      <c r="D34" s="175"/>
      <c r="E34" s="174"/>
      <c r="F34" s="36"/>
      <c r="G34" s="36"/>
      <c r="H34" s="23">
        <f>H20+H21+H22+H23+H24+H25+H26+H27+H28+H29+H30+H31+H32+H33</f>
        <v>71764.259999998947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74" t="s">
        <v>52</v>
      </c>
      <c r="C36" s="174">
        <v>51555209</v>
      </c>
      <c r="D36" s="175" t="s">
        <v>53</v>
      </c>
      <c r="E36" s="174">
        <v>7000</v>
      </c>
      <c r="F36" s="17">
        <v>6.2262000000000004</v>
      </c>
      <c r="G36" s="17">
        <v>6.2405999999999997</v>
      </c>
      <c r="H36" s="41">
        <f>(G36-F36)*E36</f>
        <v>100.79999999999512</v>
      </c>
      <c r="I36" s="42"/>
      <c r="J36" s="14"/>
    </row>
    <row r="37" spans="1:10" ht="15.75" x14ac:dyDescent="0.25">
      <c r="A37" s="15" t="s">
        <v>54</v>
      </c>
      <c r="B37" s="174" t="s">
        <v>52</v>
      </c>
      <c r="C37" s="174">
        <v>51555209</v>
      </c>
      <c r="D37" s="175" t="s">
        <v>53</v>
      </c>
      <c r="E37" s="174">
        <v>7000</v>
      </c>
      <c r="F37" s="21">
        <v>11.0716</v>
      </c>
      <c r="G37" s="21">
        <v>11.120900000000001</v>
      </c>
      <c r="H37" s="18">
        <f>(G37-F37)*E37</f>
        <v>345.10000000000394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74" t="s">
        <v>52</v>
      </c>
      <c r="C39" s="174">
        <v>51097674</v>
      </c>
      <c r="D39" s="174" t="s">
        <v>14</v>
      </c>
      <c r="E39" s="174">
        <v>7200</v>
      </c>
      <c r="F39" s="21">
        <v>634.74530000000004</v>
      </c>
      <c r="G39" s="21">
        <v>637.12210000000005</v>
      </c>
      <c r="H39" s="18">
        <f>(G39-F39)*E39</f>
        <v>17112.960000000021</v>
      </c>
      <c r="I39" s="47"/>
      <c r="J39" s="20"/>
    </row>
    <row r="40" spans="1:10" ht="15.75" x14ac:dyDescent="0.25">
      <c r="A40" s="27" t="s">
        <v>57</v>
      </c>
      <c r="B40" s="174" t="s">
        <v>52</v>
      </c>
      <c r="C40" s="174">
        <v>51259257</v>
      </c>
      <c r="D40" s="174" t="s">
        <v>14</v>
      </c>
      <c r="E40" s="174">
        <v>7200</v>
      </c>
      <c r="F40" s="21">
        <v>1.0555000000000001</v>
      </c>
      <c r="G40" s="21">
        <v>1.0555000000000001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74"/>
      <c r="C41" s="174"/>
      <c r="D41" s="174"/>
      <c r="E41" s="174"/>
      <c r="F41" s="21"/>
      <c r="G41" s="21"/>
      <c r="H41" s="48">
        <f>H39+H40</f>
        <v>17112.960000000021</v>
      </c>
      <c r="I41" s="24">
        <f>H41-H49</f>
        <v>-114.80000000017026</v>
      </c>
      <c r="J41" s="25">
        <f>I41/H41</f>
        <v>-6.7083660570801378E-3</v>
      </c>
    </row>
    <row r="42" spans="1:10" ht="15.75" x14ac:dyDescent="0.25">
      <c r="A42" s="15" t="s">
        <v>59</v>
      </c>
      <c r="B42" s="174"/>
      <c r="C42" s="174"/>
      <c r="D42" s="175"/>
      <c r="E42" s="174"/>
      <c r="H42" s="18"/>
      <c r="I42" s="43"/>
      <c r="J42" s="20"/>
    </row>
    <row r="43" spans="1:10" ht="15.75" x14ac:dyDescent="0.25">
      <c r="A43" s="27" t="s">
        <v>60</v>
      </c>
      <c r="B43" s="174" t="s">
        <v>52</v>
      </c>
      <c r="C43" s="32">
        <v>51097648</v>
      </c>
      <c r="D43" s="174" t="s">
        <v>53</v>
      </c>
      <c r="E43" s="174">
        <v>1200</v>
      </c>
      <c r="F43" s="21">
        <v>519.36009999999999</v>
      </c>
      <c r="G43" s="21">
        <v>521.19780000000003</v>
      </c>
      <c r="H43" s="33">
        <f>(G43-F43)*E43</f>
        <v>2205.2400000000489</v>
      </c>
      <c r="I43" s="43"/>
      <c r="J43" s="20"/>
    </row>
    <row r="44" spans="1:10" ht="15.75" x14ac:dyDescent="0.25">
      <c r="A44" s="27" t="s">
        <v>61</v>
      </c>
      <c r="B44" s="174" t="s">
        <v>52</v>
      </c>
      <c r="C44" s="32">
        <v>50555043</v>
      </c>
      <c r="D44" s="174" t="s">
        <v>53</v>
      </c>
      <c r="E44" s="174">
        <v>1200</v>
      </c>
      <c r="F44" s="21">
        <v>2173.2646</v>
      </c>
      <c r="G44" s="21">
        <v>2181.1053000000002</v>
      </c>
      <c r="H44" s="33">
        <f>(G44-F44)*E44</f>
        <v>9408.8400000002366</v>
      </c>
      <c r="I44" s="43"/>
      <c r="J44" s="20"/>
    </row>
    <row r="45" spans="1:10" ht="15.75" x14ac:dyDescent="0.25">
      <c r="A45" s="27" t="s">
        <v>62</v>
      </c>
      <c r="B45" s="174" t="s">
        <v>52</v>
      </c>
      <c r="C45" s="32">
        <v>51259336</v>
      </c>
      <c r="D45" s="174" t="s">
        <v>63</v>
      </c>
      <c r="E45" s="174">
        <v>2400</v>
      </c>
      <c r="F45" s="21">
        <v>4.3657000000000004</v>
      </c>
      <c r="G45" s="21">
        <v>4.3795999999999999</v>
      </c>
      <c r="H45" s="33">
        <f>(G45-F45)*E45</f>
        <v>33.35999999999899</v>
      </c>
      <c r="I45" s="43"/>
      <c r="J45" s="20"/>
    </row>
    <row r="46" spans="1:10" ht="15.75" x14ac:dyDescent="0.25">
      <c r="A46" s="27" t="s">
        <v>64</v>
      </c>
      <c r="B46" s="174" t="s">
        <v>52</v>
      </c>
      <c r="C46" s="32">
        <v>51259266</v>
      </c>
      <c r="D46" s="174" t="s">
        <v>53</v>
      </c>
      <c r="E46" s="174">
        <v>1200</v>
      </c>
      <c r="F46" s="21">
        <v>1054.604</v>
      </c>
      <c r="G46" s="21">
        <v>1058.8271</v>
      </c>
      <c r="H46" s="33">
        <f>(G46-F46)*E46</f>
        <v>5067.7199999999175</v>
      </c>
      <c r="I46" s="43"/>
      <c r="J46" s="20"/>
    </row>
    <row r="47" spans="1:10" ht="15.75" x14ac:dyDescent="0.25">
      <c r="A47" s="27" t="s">
        <v>65</v>
      </c>
      <c r="B47" s="174" t="s">
        <v>52</v>
      </c>
      <c r="C47" s="32">
        <v>51431336</v>
      </c>
      <c r="D47" s="174" t="s">
        <v>53</v>
      </c>
      <c r="E47" s="174">
        <v>1200</v>
      </c>
      <c r="F47" s="21">
        <v>63.869500000000002</v>
      </c>
      <c r="G47" s="21">
        <v>64.254999999999995</v>
      </c>
      <c r="H47" s="33">
        <f>(G47-F47)*E47</f>
        <v>462.59999999999195</v>
      </c>
      <c r="I47" s="43"/>
      <c r="J47" s="20"/>
    </row>
    <row r="48" spans="1:10" ht="15.75" x14ac:dyDescent="0.25">
      <c r="A48" s="15" t="s">
        <v>66</v>
      </c>
      <c r="B48" s="174" t="s">
        <v>67</v>
      </c>
      <c r="C48" s="174">
        <v>49174</v>
      </c>
      <c r="D48" s="175" t="s">
        <v>53</v>
      </c>
      <c r="E48" s="174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17227.760000000191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74" t="s">
        <v>52</v>
      </c>
      <c r="C51" s="174">
        <v>51097603</v>
      </c>
      <c r="D51" s="175" t="s">
        <v>53</v>
      </c>
      <c r="E51" s="174">
        <v>7000</v>
      </c>
      <c r="F51" s="17">
        <v>2062.5281</v>
      </c>
      <c r="G51" s="17">
        <v>2069.4349000000002</v>
      </c>
      <c r="H51" s="18">
        <f>(G51-F51)*E51</f>
        <v>48347.600000001417</v>
      </c>
      <c r="I51" s="43"/>
      <c r="J51" s="20"/>
    </row>
    <row r="52" spans="1:10" ht="15.75" x14ac:dyDescent="0.25">
      <c r="A52" s="27" t="s">
        <v>72</v>
      </c>
      <c r="B52" s="174" t="s">
        <v>52</v>
      </c>
      <c r="C52" s="174">
        <v>51097590</v>
      </c>
      <c r="D52" s="175" t="s">
        <v>53</v>
      </c>
      <c r="E52" s="174">
        <v>7000</v>
      </c>
      <c r="F52" s="21">
        <v>13.063700000000001</v>
      </c>
      <c r="G52" s="21">
        <v>13.087199999999999</v>
      </c>
      <c r="H52" s="18">
        <f>(G52-F52)*E52</f>
        <v>164.49999999998965</v>
      </c>
      <c r="I52" s="43"/>
      <c r="J52" s="20"/>
    </row>
    <row r="53" spans="1:10" ht="15.75" x14ac:dyDescent="0.25">
      <c r="A53" s="15" t="s">
        <v>66</v>
      </c>
      <c r="B53" s="174" t="s">
        <v>67</v>
      </c>
      <c r="C53" s="174">
        <v>49174</v>
      </c>
      <c r="D53" s="175" t="s">
        <v>53</v>
      </c>
      <c r="E53" s="174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74"/>
      <c r="D54" s="175"/>
      <c r="E54" s="174"/>
      <c r="F54" s="21"/>
      <c r="G54" s="21"/>
      <c r="H54" s="48">
        <f>H51+H52+H53</f>
        <v>48612.10000000141</v>
      </c>
      <c r="I54" s="47"/>
      <c r="J54" s="59"/>
    </row>
    <row r="55" spans="1:10" ht="15.75" x14ac:dyDescent="0.25">
      <c r="A55" s="27" t="s">
        <v>74</v>
      </c>
      <c r="B55" s="174" t="s">
        <v>52</v>
      </c>
      <c r="C55" s="174">
        <v>51100980</v>
      </c>
      <c r="D55" s="174" t="s">
        <v>75</v>
      </c>
      <c r="E55" s="174">
        <v>12000</v>
      </c>
      <c r="F55" s="21">
        <v>1213.2170000000001</v>
      </c>
      <c r="G55" s="21">
        <v>1217.2545</v>
      </c>
      <c r="H55" s="18">
        <f>(G55-F55)*E55</f>
        <v>48449.999999998909</v>
      </c>
      <c r="I55" s="47"/>
      <c r="J55" s="58"/>
    </row>
    <row r="56" spans="1:10" ht="15.75" x14ac:dyDescent="0.25">
      <c r="A56" s="27" t="s">
        <v>76</v>
      </c>
      <c r="B56" s="174" t="s">
        <v>52</v>
      </c>
      <c r="C56" s="174">
        <v>51097623</v>
      </c>
      <c r="D56" s="174" t="s">
        <v>75</v>
      </c>
      <c r="E56" s="174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74"/>
      <c r="C57" s="174"/>
      <c r="D57" s="174"/>
      <c r="E57" s="174"/>
      <c r="F57" s="21"/>
      <c r="G57" s="21"/>
      <c r="H57" s="48">
        <f>H55+H56</f>
        <v>48449.999999998909</v>
      </c>
      <c r="I57" s="61">
        <f>H54-H64-H53</f>
        <v>-99.659999998228159</v>
      </c>
      <c r="J57" s="25">
        <f>I57/H57</f>
        <v>-2.0569659442359217E-3</v>
      </c>
    </row>
    <row r="58" spans="1:10" ht="15.75" x14ac:dyDescent="0.25">
      <c r="A58" s="27" t="s">
        <v>78</v>
      </c>
      <c r="B58" s="174" t="s">
        <v>52</v>
      </c>
      <c r="C58" s="174">
        <v>51097675</v>
      </c>
      <c r="D58" s="174" t="s">
        <v>34</v>
      </c>
      <c r="E58" s="174">
        <v>4800</v>
      </c>
      <c r="F58" s="21">
        <v>563.04669999999999</v>
      </c>
      <c r="G58" s="21">
        <v>565.54359999999997</v>
      </c>
      <c r="H58" s="18">
        <f t="shared" ref="H58:H63" si="2">(G58-F58)*E58</f>
        <v>11985.119999999915</v>
      </c>
      <c r="I58" s="62"/>
      <c r="J58" s="59"/>
    </row>
    <row r="59" spans="1:10" ht="15.75" x14ac:dyDescent="0.25">
      <c r="A59" s="27" t="s">
        <v>79</v>
      </c>
      <c r="B59" s="174" t="s">
        <v>52</v>
      </c>
      <c r="C59" s="174">
        <v>51100997</v>
      </c>
      <c r="D59" s="174" t="s">
        <v>21</v>
      </c>
      <c r="E59" s="174">
        <v>3600</v>
      </c>
      <c r="F59" s="21">
        <v>1428.4623999999999</v>
      </c>
      <c r="G59" s="21">
        <v>1431.1516999999999</v>
      </c>
      <c r="H59" s="18">
        <f t="shared" si="2"/>
        <v>9681.4800000000105</v>
      </c>
      <c r="I59" s="62"/>
      <c r="J59" s="59"/>
    </row>
    <row r="60" spans="1:10" ht="15.75" x14ac:dyDescent="0.25">
      <c r="A60" s="27" t="s">
        <v>80</v>
      </c>
      <c r="B60" s="174" t="s">
        <v>52</v>
      </c>
      <c r="C60" s="174">
        <v>51555218</v>
      </c>
      <c r="D60" s="174">
        <f>400/5</f>
        <v>80</v>
      </c>
      <c r="E60" s="174">
        <v>4800</v>
      </c>
      <c r="F60" s="21">
        <v>73.045000000000002</v>
      </c>
      <c r="G60" s="21">
        <v>73.469399999999993</v>
      </c>
      <c r="H60" s="18">
        <f t="shared" si="2"/>
        <v>2037.119999999959</v>
      </c>
      <c r="I60" s="62"/>
      <c r="J60" s="59"/>
    </row>
    <row r="61" spans="1:10" ht="15.75" x14ac:dyDescent="0.25">
      <c r="A61" s="27" t="s">
        <v>81</v>
      </c>
      <c r="B61" s="174" t="s">
        <v>52</v>
      </c>
      <c r="C61" s="174">
        <v>51555151</v>
      </c>
      <c r="D61" s="174">
        <f>400/5</f>
        <v>80</v>
      </c>
      <c r="E61" s="174">
        <v>4800</v>
      </c>
      <c r="F61" s="63">
        <v>0.30690000000000001</v>
      </c>
      <c r="G61" s="63">
        <v>0.30690000000000001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74" t="s">
        <v>52</v>
      </c>
      <c r="C62" s="174">
        <v>51097599</v>
      </c>
      <c r="D62" s="174" t="s">
        <v>21</v>
      </c>
      <c r="E62" s="174">
        <v>3600</v>
      </c>
      <c r="F62" s="21">
        <v>1006.8595</v>
      </c>
      <c r="G62" s="21">
        <v>1010.0656</v>
      </c>
      <c r="H62" s="18">
        <f t="shared" si="2"/>
        <v>11541.959999999972</v>
      </c>
      <c r="I62" s="62"/>
      <c r="J62" s="59"/>
    </row>
    <row r="63" spans="1:10" ht="15.75" x14ac:dyDescent="0.25">
      <c r="A63" s="27" t="s">
        <v>83</v>
      </c>
      <c r="B63" s="174" t="s">
        <v>52</v>
      </c>
      <c r="C63" s="174">
        <v>51097620</v>
      </c>
      <c r="D63" s="174" t="s">
        <v>34</v>
      </c>
      <c r="E63" s="174">
        <v>4800</v>
      </c>
      <c r="F63" s="21">
        <v>560.35599999999999</v>
      </c>
      <c r="G63" s="21">
        <v>563.14059999999995</v>
      </c>
      <c r="H63" s="18">
        <f t="shared" si="2"/>
        <v>13366.079999999783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48611.759999999638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74" t="s">
        <v>52</v>
      </c>
      <c r="C66" s="9">
        <v>51259238</v>
      </c>
      <c r="D66" s="74" t="s">
        <v>53</v>
      </c>
      <c r="E66" s="74">
        <v>7000</v>
      </c>
      <c r="F66" s="75">
        <v>605.22770000000003</v>
      </c>
      <c r="G66" s="75">
        <v>607.65380000000005</v>
      </c>
      <c r="H66" s="76">
        <f>(G66-F66)*E66</f>
        <v>16982.700000000135</v>
      </c>
      <c r="I66" s="77"/>
      <c r="J66" s="78"/>
    </row>
    <row r="67" spans="1:10" ht="15.75" x14ac:dyDescent="0.25">
      <c r="A67" s="27" t="s">
        <v>86</v>
      </c>
      <c r="B67" s="174" t="s">
        <v>52</v>
      </c>
      <c r="C67" s="174">
        <v>51259324</v>
      </c>
      <c r="D67" s="175" t="s">
        <v>53</v>
      </c>
      <c r="E67" s="175">
        <v>7000</v>
      </c>
      <c r="F67" s="21">
        <v>467.8501</v>
      </c>
      <c r="G67" s="21">
        <v>469.71379999999999</v>
      </c>
      <c r="H67" s="18">
        <f>(G67-F67)*E67</f>
        <v>13045.899999999961</v>
      </c>
      <c r="I67" s="51"/>
      <c r="J67" s="58"/>
    </row>
    <row r="68" spans="1:10" s="129" customFormat="1" ht="15.75" x14ac:dyDescent="0.25">
      <c r="A68" s="27" t="s">
        <v>87</v>
      </c>
      <c r="B68" s="79" t="s">
        <v>88</v>
      </c>
      <c r="C68" s="174">
        <v>51491618</v>
      </c>
      <c r="D68" s="175" t="s">
        <v>63</v>
      </c>
      <c r="E68" s="174">
        <v>40</v>
      </c>
      <c r="F68" s="28">
        <v>1412.6765</v>
      </c>
      <c r="G68" s="28">
        <v>1419.7619999999999</v>
      </c>
      <c r="H68" s="18">
        <f>(G68-F68)*E68</f>
        <v>283.41999999999643</v>
      </c>
      <c r="I68" s="51"/>
      <c r="J68" s="58"/>
    </row>
    <row r="69" spans="1:10" s="129" customFormat="1" ht="15.75" x14ac:dyDescent="0.25">
      <c r="A69" s="27" t="s">
        <v>89</v>
      </c>
      <c r="B69" s="79" t="s">
        <v>88</v>
      </c>
      <c r="C69" s="174">
        <v>51491624</v>
      </c>
      <c r="D69" s="175" t="s">
        <v>63</v>
      </c>
      <c r="E69" s="174">
        <v>40</v>
      </c>
      <c r="F69" s="28">
        <v>186.27449999999999</v>
      </c>
      <c r="G69" s="28">
        <v>187.04599999999999</v>
      </c>
      <c r="H69" s="18">
        <f>(G69-F69)*E69</f>
        <v>30.860000000000127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30028.600000000097</v>
      </c>
      <c r="I70" s="85">
        <f>H70-H73-H68-H69</f>
        <v>-968.48000000039747</v>
      </c>
      <c r="J70" s="25">
        <f>I70/H70</f>
        <v>-3.2251919836435744E-2</v>
      </c>
    </row>
    <row r="71" spans="1:10" ht="15.75" x14ac:dyDescent="0.25">
      <c r="A71" s="27" t="s">
        <v>91</v>
      </c>
      <c r="B71" s="174" t="s">
        <v>52</v>
      </c>
      <c r="C71" s="86">
        <v>51097588</v>
      </c>
      <c r="D71" s="175" t="s">
        <v>75</v>
      </c>
      <c r="E71" s="174">
        <v>12000</v>
      </c>
      <c r="F71" s="21">
        <v>361.41539999999998</v>
      </c>
      <c r="G71" s="21">
        <v>362.80869999999999</v>
      </c>
      <c r="H71" s="18">
        <f>(G71-F71)*E71</f>
        <v>16719.60000000013</v>
      </c>
      <c r="I71" s="51"/>
      <c r="J71" s="58"/>
    </row>
    <row r="72" spans="1:10" ht="15.75" x14ac:dyDescent="0.25">
      <c r="A72" s="27" t="s">
        <v>92</v>
      </c>
      <c r="B72" s="174" t="s">
        <v>52</v>
      </c>
      <c r="C72" s="86">
        <v>51431335</v>
      </c>
      <c r="D72" s="175" t="s">
        <v>75</v>
      </c>
      <c r="E72" s="174">
        <v>12000</v>
      </c>
      <c r="F72" s="21">
        <v>285.41129999999998</v>
      </c>
      <c r="G72" s="21">
        <v>286.57490000000001</v>
      </c>
      <c r="H72" s="18">
        <f>(G72-F72)*E72</f>
        <v>13963.20000000037</v>
      </c>
      <c r="I72" s="51"/>
      <c r="J72" s="58"/>
    </row>
    <row r="73" spans="1:10" ht="15.75" x14ac:dyDescent="0.25">
      <c r="A73" s="87" t="s">
        <v>93</v>
      </c>
      <c r="B73" s="174" t="s">
        <v>27</v>
      </c>
      <c r="C73" s="174"/>
      <c r="D73" s="175"/>
      <c r="E73" s="174"/>
      <c r="F73" s="21"/>
      <c r="G73" s="21"/>
      <c r="H73" s="48">
        <f>H71+ H72</f>
        <v>30682.800000000498</v>
      </c>
      <c r="I73" s="85">
        <f>H73-H81</f>
        <v>-45.059999999994034</v>
      </c>
      <c r="J73" s="25">
        <f>I73/H73</f>
        <v>-1.4685752278147139E-3</v>
      </c>
    </row>
    <row r="74" spans="1:10" ht="15.75" x14ac:dyDescent="0.25">
      <c r="A74" s="27" t="s">
        <v>94</v>
      </c>
      <c r="B74" s="174" t="s">
        <v>52</v>
      </c>
      <c r="C74" s="86">
        <v>51097676</v>
      </c>
      <c r="D74" s="88" t="s">
        <v>63</v>
      </c>
      <c r="E74" s="174">
        <v>2400</v>
      </c>
      <c r="F74" s="21">
        <v>757.80740000000003</v>
      </c>
      <c r="G74" s="21">
        <v>760.78530000000001</v>
      </c>
      <c r="H74" s="18">
        <f>(G74-F74)*E74</f>
        <v>7146.9599999999446</v>
      </c>
      <c r="I74" s="51"/>
      <c r="J74" s="58"/>
    </row>
    <row r="75" spans="1:10" ht="15.75" x14ac:dyDescent="0.25">
      <c r="A75" s="27" t="s">
        <v>95</v>
      </c>
      <c r="B75" s="174" t="s">
        <v>52</v>
      </c>
      <c r="C75" s="86">
        <v>51431355</v>
      </c>
      <c r="D75" s="175" t="s">
        <v>21</v>
      </c>
      <c r="E75" s="175">
        <v>3600</v>
      </c>
      <c r="F75" s="21">
        <v>389.80329999999998</v>
      </c>
      <c r="G75" s="21">
        <v>391.11689999999999</v>
      </c>
      <c r="H75" s="18">
        <f>(G75-F75)*E75</f>
        <v>4728.9600000000291</v>
      </c>
      <c r="I75" s="51"/>
      <c r="J75" s="52"/>
    </row>
    <row r="76" spans="1:10" ht="15.75" x14ac:dyDescent="0.25">
      <c r="A76" s="27" t="s">
        <v>96</v>
      </c>
      <c r="B76" s="174" t="s">
        <v>52</v>
      </c>
      <c r="C76" s="86">
        <v>51259331</v>
      </c>
      <c r="D76" s="88" t="s">
        <v>37</v>
      </c>
      <c r="E76" s="174">
        <v>600</v>
      </c>
      <c r="F76" s="21">
        <v>179.84819999999999</v>
      </c>
      <c r="G76" s="21">
        <v>180.60570000000001</v>
      </c>
      <c r="H76" s="18">
        <f>(G76-F76)*E76</f>
        <v>454.50000000001296</v>
      </c>
      <c r="I76" s="51"/>
      <c r="J76" s="52"/>
    </row>
    <row r="77" spans="1:10" ht="15.75" x14ac:dyDescent="0.25">
      <c r="A77" s="27" t="s">
        <v>97</v>
      </c>
      <c r="B77" s="174" t="s">
        <v>52</v>
      </c>
      <c r="C77" s="86">
        <v>51259326</v>
      </c>
      <c r="D77" s="88" t="s">
        <v>14</v>
      </c>
      <c r="E77" s="174">
        <v>7200</v>
      </c>
      <c r="F77" s="21">
        <v>356.87759999999997</v>
      </c>
      <c r="G77" s="21">
        <v>358.2124</v>
      </c>
      <c r="H77" s="18">
        <f>(G77-F77)*E77</f>
        <v>9610.5600000002141</v>
      </c>
      <c r="I77" s="51"/>
      <c r="J77" s="52"/>
    </row>
    <row r="78" spans="1:10" ht="15.75" x14ac:dyDescent="0.25">
      <c r="A78" s="27" t="s">
        <v>98</v>
      </c>
      <c r="B78" s="174" t="s">
        <v>52</v>
      </c>
      <c r="C78" s="86">
        <v>51431351</v>
      </c>
      <c r="D78" s="88" t="s">
        <v>14</v>
      </c>
      <c r="E78" s="174">
        <v>7200</v>
      </c>
      <c r="F78" s="21">
        <v>260.70729999999998</v>
      </c>
      <c r="G78" s="21">
        <v>261.92770000000002</v>
      </c>
      <c r="H78" s="18">
        <f>(G78-F78)*E78</f>
        <v>8786.8800000002921</v>
      </c>
      <c r="I78" s="51"/>
      <c r="J78" s="52"/>
    </row>
    <row r="79" spans="1:10" ht="15.75" x14ac:dyDescent="0.25">
      <c r="A79" s="89" t="s">
        <v>99</v>
      </c>
      <c r="B79" s="174" t="s">
        <v>52</v>
      </c>
      <c r="C79" s="90">
        <v>51097666</v>
      </c>
      <c r="D79" s="88" t="s">
        <v>63</v>
      </c>
      <c r="E79" s="174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74" t="s">
        <v>52</v>
      </c>
      <c r="C80" s="90">
        <v>51259323</v>
      </c>
      <c r="D80" s="88" t="s">
        <v>63</v>
      </c>
      <c r="E80" s="174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30727.860000000492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74" t="s">
        <v>52</v>
      </c>
      <c r="C83" s="106">
        <v>51431297</v>
      </c>
      <c r="D83" s="175" t="s">
        <v>53</v>
      </c>
      <c r="E83" s="100">
        <v>7000</v>
      </c>
      <c r="F83" s="17">
        <v>323.88260000000002</v>
      </c>
      <c r="G83" s="17">
        <v>326.31459999999998</v>
      </c>
      <c r="H83" s="18">
        <f>(G83-F83)*E83</f>
        <v>17023.999999999716</v>
      </c>
      <c r="I83" s="107"/>
      <c r="J83" s="108"/>
    </row>
    <row r="84" spans="1:10" ht="15.75" x14ac:dyDescent="0.25">
      <c r="A84" s="105" t="s">
        <v>86</v>
      </c>
      <c r="B84" s="174" t="s">
        <v>52</v>
      </c>
      <c r="C84" s="106">
        <v>51431332</v>
      </c>
      <c r="D84" s="175" t="s">
        <v>53</v>
      </c>
      <c r="E84" s="100">
        <v>7000</v>
      </c>
      <c r="F84" s="17">
        <v>359.85590000000002</v>
      </c>
      <c r="G84" s="17">
        <v>359.98419999999999</v>
      </c>
      <c r="H84" s="18">
        <f>(G84-F84)*E84</f>
        <v>898.09999999977208</v>
      </c>
      <c r="I84" s="174"/>
      <c r="J84" s="58"/>
    </row>
    <row r="85" spans="1:10" s="129" customFormat="1" ht="15.75" x14ac:dyDescent="0.25">
      <c r="A85" s="27" t="s">
        <v>87</v>
      </c>
      <c r="B85" s="174" t="s">
        <v>103</v>
      </c>
      <c r="C85" s="109">
        <v>150773</v>
      </c>
      <c r="D85" s="175" t="s">
        <v>53</v>
      </c>
      <c r="E85" s="109">
        <v>20</v>
      </c>
      <c r="F85" s="17">
        <v>15766</v>
      </c>
      <c r="G85" s="17">
        <v>15772.5</v>
      </c>
      <c r="H85" s="18">
        <f>(G85-F85)*E85</f>
        <v>130</v>
      </c>
      <c r="I85" s="51"/>
      <c r="J85" s="58"/>
    </row>
    <row r="86" spans="1:10" s="129" customFormat="1" ht="15.75" x14ac:dyDescent="0.25">
      <c r="A86" s="27" t="s">
        <v>89</v>
      </c>
      <c r="B86" s="174" t="s">
        <v>103</v>
      </c>
      <c r="C86" s="109">
        <v>150791</v>
      </c>
      <c r="D86" s="175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76"/>
      <c r="C87" s="32"/>
      <c r="D87" s="82"/>
      <c r="E87" s="82"/>
      <c r="F87" s="21"/>
      <c r="G87" s="21"/>
      <c r="H87" s="48">
        <f>H83+H84</f>
        <v>17922.099999999489</v>
      </c>
      <c r="I87" s="85">
        <f>H87-H90-H85-H86</f>
        <v>349.37999999957174</v>
      </c>
      <c r="J87" s="25">
        <f>I87/H87</f>
        <v>1.9494367289524202E-2</v>
      </c>
    </row>
    <row r="88" spans="1:10" ht="15.75" x14ac:dyDescent="0.25">
      <c r="A88" s="27" t="s">
        <v>104</v>
      </c>
      <c r="B88" s="174" t="s">
        <v>52</v>
      </c>
      <c r="C88" s="106">
        <v>51431342</v>
      </c>
      <c r="D88" s="88" t="s">
        <v>34</v>
      </c>
      <c r="E88" s="174">
        <v>4800</v>
      </c>
      <c r="F88" s="21">
        <v>460.80020000000002</v>
      </c>
      <c r="G88" s="21">
        <v>464.31029999999998</v>
      </c>
      <c r="H88" s="18">
        <f>(G88-F88)*E88</f>
        <v>16848.479999999836</v>
      </c>
      <c r="I88" s="51"/>
      <c r="J88" s="52"/>
    </row>
    <row r="89" spans="1:10" ht="15.75" x14ac:dyDescent="0.25">
      <c r="A89" s="27" t="s">
        <v>105</v>
      </c>
      <c r="B89" s="174" t="s">
        <v>52</v>
      </c>
      <c r="C89" s="106">
        <v>51431343</v>
      </c>
      <c r="D89" s="88" t="s">
        <v>34</v>
      </c>
      <c r="E89" s="174">
        <v>4800</v>
      </c>
      <c r="F89" s="21">
        <v>507.47800000000001</v>
      </c>
      <c r="G89" s="21">
        <v>507.60180000000003</v>
      </c>
      <c r="H89" s="18">
        <f>(G89-F89)*E89</f>
        <v>594.24000000008164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17442.719999999917</v>
      </c>
      <c r="I90" s="85">
        <f>H90-H98</f>
        <v>-85.719999999866559</v>
      </c>
      <c r="J90" s="25">
        <f>I90/H90</f>
        <v>-4.9143711531152807E-3</v>
      </c>
    </row>
    <row r="91" spans="1:10" ht="15.75" x14ac:dyDescent="0.25">
      <c r="A91" s="27" t="s">
        <v>107</v>
      </c>
      <c r="B91" s="174" t="s">
        <v>52</v>
      </c>
      <c r="C91" s="106">
        <v>51431347</v>
      </c>
      <c r="D91" s="175" t="s">
        <v>53</v>
      </c>
      <c r="E91" s="174">
        <v>1200</v>
      </c>
      <c r="F91" s="21">
        <v>1202.1474000000001</v>
      </c>
      <c r="G91" s="21">
        <v>1202.1474000000001</v>
      </c>
      <c r="H91" s="18">
        <f>(G91-F91)*E91</f>
        <v>0</v>
      </c>
      <c r="I91" s="51"/>
      <c r="J91" s="52"/>
    </row>
    <row r="92" spans="1:10" ht="15.75" x14ac:dyDescent="0.25">
      <c r="A92" s="27" t="s">
        <v>108</v>
      </c>
      <c r="B92" s="174" t="s">
        <v>52</v>
      </c>
      <c r="C92" s="106">
        <v>51431339</v>
      </c>
      <c r="D92" s="175" t="s">
        <v>53</v>
      </c>
      <c r="E92" s="174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74" t="s">
        <v>52</v>
      </c>
      <c r="C93" s="106">
        <v>51217244</v>
      </c>
      <c r="D93" s="174" t="s">
        <v>37</v>
      </c>
      <c r="E93" s="174">
        <v>600</v>
      </c>
      <c r="F93" s="30">
        <v>349.47</v>
      </c>
      <c r="G93" s="30">
        <v>350.35149999999999</v>
      </c>
      <c r="H93" s="18">
        <f t="shared" si="4"/>
        <v>528.89999999997599</v>
      </c>
      <c r="I93" s="51"/>
      <c r="J93" s="52"/>
    </row>
    <row r="94" spans="1:10" ht="15.75" x14ac:dyDescent="0.25">
      <c r="A94" s="27" t="s">
        <v>110</v>
      </c>
      <c r="B94" s="174" t="s">
        <v>52</v>
      </c>
      <c r="C94" s="106">
        <v>51217267</v>
      </c>
      <c r="D94" s="88" t="s">
        <v>63</v>
      </c>
      <c r="E94" s="174">
        <v>2400</v>
      </c>
      <c r="F94" s="30">
        <v>20.839600000000001</v>
      </c>
      <c r="G94" s="30">
        <v>20.871200000000002</v>
      </c>
      <c r="H94" s="18">
        <f t="shared" si="4"/>
        <v>75.840000000002306</v>
      </c>
      <c r="I94" s="51"/>
      <c r="J94" s="52"/>
    </row>
    <row r="95" spans="1:10" ht="15.75" x14ac:dyDescent="0.25">
      <c r="A95" s="27" t="s">
        <v>111</v>
      </c>
      <c r="B95" s="174" t="s">
        <v>52</v>
      </c>
      <c r="C95" s="174">
        <v>51555165</v>
      </c>
      <c r="D95" s="175" t="s">
        <v>53</v>
      </c>
      <c r="E95" s="174">
        <v>1200</v>
      </c>
      <c r="F95" s="30">
        <v>995.58720000000005</v>
      </c>
      <c r="G95" s="30">
        <v>1004.251</v>
      </c>
      <c r="H95" s="18">
        <f t="shared" si="4"/>
        <v>10396.559999999909</v>
      </c>
      <c r="I95" s="51" t="s">
        <v>27</v>
      </c>
      <c r="J95" s="52"/>
    </row>
    <row r="96" spans="1:10" ht="15.75" x14ac:dyDescent="0.25">
      <c r="A96" s="113" t="s">
        <v>112</v>
      </c>
      <c r="B96" s="174" t="s">
        <v>52</v>
      </c>
      <c r="C96" s="106">
        <v>51431346</v>
      </c>
      <c r="D96" s="114" t="s">
        <v>37</v>
      </c>
      <c r="E96" s="114">
        <v>600</v>
      </c>
      <c r="F96" s="30">
        <v>386.815</v>
      </c>
      <c r="G96" s="30">
        <v>388.98570000000001</v>
      </c>
      <c r="H96" s="115">
        <f t="shared" si="4"/>
        <v>1302.4200000000064</v>
      </c>
      <c r="I96" s="116"/>
      <c r="J96" s="117"/>
    </row>
    <row r="97" spans="1:10" ht="15.75" x14ac:dyDescent="0.25">
      <c r="A97" s="27" t="s">
        <v>113</v>
      </c>
      <c r="B97" s="174" t="s">
        <v>52</v>
      </c>
      <c r="C97" s="106">
        <v>51431352</v>
      </c>
      <c r="D97" s="88" t="s">
        <v>21</v>
      </c>
      <c r="E97" s="174">
        <v>3600</v>
      </c>
      <c r="F97" s="21">
        <v>258.20060000000001</v>
      </c>
      <c r="G97" s="21">
        <v>259.61579999999998</v>
      </c>
      <c r="H97" s="18">
        <f t="shared" si="4"/>
        <v>5094.7199999998929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17528.439999999784</v>
      </c>
      <c r="I98" s="51"/>
      <c r="J98" s="52"/>
    </row>
    <row r="99" spans="1:10" ht="15.75" x14ac:dyDescent="0.25">
      <c r="A99" s="45" t="s">
        <v>114</v>
      </c>
      <c r="B99" s="174" t="s">
        <v>52</v>
      </c>
      <c r="C99" s="120">
        <v>51431357</v>
      </c>
      <c r="D99" s="175" t="s">
        <v>63</v>
      </c>
      <c r="E99" s="175">
        <v>14000</v>
      </c>
      <c r="F99" s="28">
        <v>891.32560000000001</v>
      </c>
      <c r="G99" s="28">
        <v>894.25810000000001</v>
      </c>
      <c r="H99" s="121">
        <f t="shared" si="4"/>
        <v>41055.000000000065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>
      <selection activeCell="F22" sqref="F22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133</v>
      </c>
      <c r="G2" s="4" t="s">
        <v>134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77" t="s">
        <v>13</v>
      </c>
      <c r="C4" s="177">
        <v>51555166</v>
      </c>
      <c r="D4" s="177" t="s">
        <v>14</v>
      </c>
      <c r="E4" s="177">
        <v>132000</v>
      </c>
      <c r="F4" s="17">
        <v>7.0297000000000001</v>
      </c>
      <c r="G4" s="17">
        <v>7.0377000000000001</v>
      </c>
      <c r="H4" s="18">
        <f>(G4-F4)*E4</f>
        <v>1056.0000000000009</v>
      </c>
      <c r="I4" s="19"/>
      <c r="J4" s="20"/>
    </row>
    <row r="5" spans="1:10" ht="15.75" x14ac:dyDescent="0.25">
      <c r="A5" s="15" t="s">
        <v>15</v>
      </c>
      <c r="B5" s="177" t="s">
        <v>13</v>
      </c>
      <c r="C5" s="177">
        <v>51555191</v>
      </c>
      <c r="D5" s="177" t="s">
        <v>14</v>
      </c>
      <c r="E5" s="177">
        <v>132000</v>
      </c>
      <c r="F5" s="21">
        <v>404.7002</v>
      </c>
      <c r="G5" s="21">
        <v>406.63290000000001</v>
      </c>
      <c r="H5" s="18">
        <f>(G5-F5)*E5</f>
        <v>255116.40000000148</v>
      </c>
      <c r="I5" s="19"/>
      <c r="J5" s="20"/>
    </row>
    <row r="6" spans="1:10" ht="15.75" x14ac:dyDescent="0.25">
      <c r="A6" s="218" t="s">
        <v>16</v>
      </c>
      <c r="B6" s="219"/>
      <c r="C6" s="177"/>
      <c r="D6" s="178"/>
      <c r="E6" s="177"/>
      <c r="H6" s="23">
        <f>H4+H5</f>
        <v>256172.40000000148</v>
      </c>
      <c r="I6" s="24">
        <f>H6-H9-H19</f>
        <v>2018.9999999954598</v>
      </c>
      <c r="J6" s="25">
        <f>I6/H6</f>
        <v>7.8814111121863571E-3</v>
      </c>
    </row>
    <row r="7" spans="1:10" ht="15.75" x14ac:dyDescent="0.25">
      <c r="A7" s="26" t="s">
        <v>17</v>
      </c>
      <c r="B7" s="177" t="s">
        <v>13</v>
      </c>
      <c r="C7" s="177">
        <v>51097629</v>
      </c>
      <c r="D7" s="178" t="s">
        <v>14</v>
      </c>
      <c r="E7" s="177">
        <v>42000</v>
      </c>
      <c r="F7" s="21">
        <v>1177.2194999999999</v>
      </c>
      <c r="G7" s="21">
        <v>1181.5196000000001</v>
      </c>
      <c r="H7" s="18">
        <f>(G7-F7)*E7</f>
        <v>180604.20000000659</v>
      </c>
      <c r="I7" s="19"/>
      <c r="J7" s="20"/>
    </row>
    <row r="8" spans="1:10" ht="15.75" x14ac:dyDescent="0.25">
      <c r="A8" s="26" t="s">
        <v>18</v>
      </c>
      <c r="B8" s="177" t="s">
        <v>13</v>
      </c>
      <c r="C8" s="177">
        <v>51616820</v>
      </c>
      <c r="D8" s="178" t="s">
        <v>14</v>
      </c>
      <c r="E8" s="177">
        <v>42000</v>
      </c>
      <c r="F8" s="21">
        <v>15.4338</v>
      </c>
      <c r="G8" s="21">
        <v>15.445399999999999</v>
      </c>
      <c r="H8" s="18">
        <f>(G8-F8)*E8</f>
        <v>487.19999999998367</v>
      </c>
      <c r="I8" s="19"/>
      <c r="J8" s="20"/>
    </row>
    <row r="9" spans="1:10" ht="15.75" x14ac:dyDescent="0.25">
      <c r="A9" s="218" t="s">
        <v>19</v>
      </c>
      <c r="B9" s="219"/>
      <c r="C9" s="177"/>
      <c r="D9" s="178"/>
      <c r="E9" s="177"/>
      <c r="F9" s="21"/>
      <c r="G9" s="21"/>
      <c r="H9" s="23">
        <f>H7+H8</f>
        <v>181091.40000000657</v>
      </c>
      <c r="I9" s="24">
        <f>H9-H16</f>
        <v>79.800000006216578</v>
      </c>
      <c r="J9" s="25">
        <f>I9/H9</f>
        <v>4.4066145607253397E-4</v>
      </c>
    </row>
    <row r="10" spans="1:10" ht="15.75" x14ac:dyDescent="0.25">
      <c r="A10" s="27" t="s">
        <v>20</v>
      </c>
      <c r="B10" s="177" t="s">
        <v>13</v>
      </c>
      <c r="C10" s="177">
        <v>51217286</v>
      </c>
      <c r="D10" s="178" t="s">
        <v>21</v>
      </c>
      <c r="E10" s="177">
        <v>21000</v>
      </c>
      <c r="F10" s="21">
        <v>927.70309999999995</v>
      </c>
      <c r="G10" s="21">
        <v>930.89459999999997</v>
      </c>
      <c r="H10" s="18">
        <f t="shared" ref="H10:H15" si="0">(G10-F10)*E10</f>
        <v>67021.500000000407</v>
      </c>
      <c r="I10" s="19"/>
      <c r="J10" s="20"/>
    </row>
    <row r="11" spans="1:10" ht="15.75" x14ac:dyDescent="0.25">
      <c r="A11" s="27" t="s">
        <v>22</v>
      </c>
      <c r="B11" s="177" t="s">
        <v>13</v>
      </c>
      <c r="C11" s="177">
        <v>51217292</v>
      </c>
      <c r="D11" s="178" t="s">
        <v>21</v>
      </c>
      <c r="E11" s="177">
        <v>21000</v>
      </c>
      <c r="F11" s="28">
        <v>3.9803999999999999</v>
      </c>
      <c r="G11" s="28">
        <v>3.9864999999999999</v>
      </c>
      <c r="H11" s="18">
        <f>(G11-F11)*E11</f>
        <v>128.09999999999988</v>
      </c>
      <c r="I11" s="19"/>
      <c r="J11" s="20"/>
    </row>
    <row r="12" spans="1:10" ht="15.75" x14ac:dyDescent="0.25">
      <c r="A12" s="27" t="s">
        <v>23</v>
      </c>
      <c r="B12" s="177" t="s">
        <v>13</v>
      </c>
      <c r="C12" s="177">
        <v>51217271</v>
      </c>
      <c r="D12" s="178" t="s">
        <v>21</v>
      </c>
      <c r="E12" s="177">
        <v>21000</v>
      </c>
      <c r="F12" s="21">
        <v>698.11580000000004</v>
      </c>
      <c r="G12" s="21">
        <v>700.66309999999999</v>
      </c>
      <c r="H12" s="18">
        <f t="shared" si="0"/>
        <v>53493.299999998955</v>
      </c>
      <c r="I12" s="19"/>
      <c r="J12" s="20"/>
    </row>
    <row r="13" spans="1:10" ht="15.75" x14ac:dyDescent="0.25">
      <c r="A13" s="27" t="s">
        <v>24</v>
      </c>
      <c r="B13" s="177" t="s">
        <v>13</v>
      </c>
      <c r="C13" s="177">
        <v>51217276</v>
      </c>
      <c r="D13" s="178" t="s">
        <v>21</v>
      </c>
      <c r="E13" s="177">
        <v>21000</v>
      </c>
      <c r="F13" s="28">
        <v>0.61909999999999998</v>
      </c>
      <c r="G13" s="28">
        <v>0.62070000000000003</v>
      </c>
      <c r="H13" s="18">
        <f>(G13-F13)*E13</f>
        <v>33.600000000000961</v>
      </c>
      <c r="I13" s="19"/>
      <c r="J13" s="20"/>
    </row>
    <row r="14" spans="1:10" ht="15.75" x14ac:dyDescent="0.25">
      <c r="A14" s="27" t="s">
        <v>25</v>
      </c>
      <c r="B14" s="177" t="s">
        <v>13</v>
      </c>
      <c r="C14" s="177">
        <v>51100990</v>
      </c>
      <c r="D14" s="178" t="s">
        <v>21</v>
      </c>
      <c r="E14" s="177">
        <v>21000</v>
      </c>
      <c r="F14" s="29">
        <v>747.98879999999997</v>
      </c>
      <c r="G14" s="29">
        <v>750.85320000000002</v>
      </c>
      <c r="H14" s="18">
        <f t="shared" si="0"/>
        <v>60152.400000000969</v>
      </c>
      <c r="I14" s="19"/>
      <c r="J14" s="20"/>
    </row>
    <row r="15" spans="1:10" ht="15.75" x14ac:dyDescent="0.25">
      <c r="A15" s="27" t="s">
        <v>26</v>
      </c>
      <c r="B15" s="177" t="s">
        <v>13</v>
      </c>
      <c r="C15" s="177">
        <v>51097622</v>
      </c>
      <c r="D15" s="178" t="s">
        <v>21</v>
      </c>
      <c r="E15" s="177">
        <v>21000</v>
      </c>
      <c r="F15" s="21">
        <v>9.3986999999999998</v>
      </c>
      <c r="G15" s="21">
        <v>9.4074000000000009</v>
      </c>
      <c r="H15" s="18">
        <f t="shared" si="0"/>
        <v>182.70000000002184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77"/>
      <c r="D16" s="178"/>
      <c r="E16" s="177"/>
      <c r="F16" s="21"/>
      <c r="G16" s="21"/>
      <c r="H16" s="23">
        <f>H10+H11+H12+H13+H14+H15</f>
        <v>181011.60000000036</v>
      </c>
      <c r="I16" s="19"/>
      <c r="J16" s="20"/>
    </row>
    <row r="17" spans="1:10" ht="15.75" x14ac:dyDescent="0.25">
      <c r="A17" s="26" t="s">
        <v>29</v>
      </c>
      <c r="B17" s="177" t="s">
        <v>13</v>
      </c>
      <c r="C17" s="177">
        <v>51097617</v>
      </c>
      <c r="D17" s="178" t="s">
        <v>30</v>
      </c>
      <c r="E17" s="177">
        <v>18000</v>
      </c>
      <c r="F17" s="30">
        <v>923.00040000000001</v>
      </c>
      <c r="G17" s="30">
        <v>927.05939999999998</v>
      </c>
      <c r="H17" s="18">
        <f>(G17-F17)*E17</f>
        <v>73061.999999999447</v>
      </c>
      <c r="I17" s="19"/>
      <c r="J17" s="20"/>
    </row>
    <row r="18" spans="1:10" ht="15.75" x14ac:dyDescent="0.25">
      <c r="A18" s="26" t="s">
        <v>31</v>
      </c>
      <c r="B18" s="177" t="s">
        <v>13</v>
      </c>
      <c r="C18" s="177">
        <v>51097655</v>
      </c>
      <c r="D18" s="178" t="s">
        <v>30</v>
      </c>
      <c r="E18" s="177">
        <v>18000</v>
      </c>
      <c r="F18" s="30">
        <v>11.5421</v>
      </c>
      <c r="G18" s="30">
        <v>11.5421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77"/>
      <c r="D19" s="178"/>
      <c r="E19" s="177"/>
      <c r="F19" s="30"/>
      <c r="G19" s="30"/>
      <c r="H19" s="23">
        <f>H17+H18</f>
        <v>73061.999999999447</v>
      </c>
      <c r="I19" s="24">
        <f>H19-H34</f>
        <v>873.17999999847962</v>
      </c>
      <c r="J19" s="25">
        <f>I19/H19</f>
        <v>1.1951219512174403E-2</v>
      </c>
    </row>
    <row r="20" spans="1:10" ht="15.75" x14ac:dyDescent="0.25">
      <c r="A20" s="15" t="s">
        <v>33</v>
      </c>
      <c r="B20" s="177" t="s">
        <v>13</v>
      </c>
      <c r="C20" s="177">
        <v>51217282</v>
      </c>
      <c r="D20" s="178" t="s">
        <v>34</v>
      </c>
      <c r="E20" s="177">
        <v>4800</v>
      </c>
      <c r="F20" s="21">
        <v>396.75220000000002</v>
      </c>
      <c r="G20" s="21">
        <v>402.9049</v>
      </c>
      <c r="H20" s="18">
        <f t="shared" ref="H20:H33" si="1">(G20-F20)*E20</f>
        <v>29532.959999999912</v>
      </c>
      <c r="I20" s="19" t="s">
        <v>27</v>
      </c>
      <c r="J20" s="20"/>
    </row>
    <row r="21" spans="1:10" ht="15.75" x14ac:dyDescent="0.25">
      <c r="A21" s="15" t="s">
        <v>35</v>
      </c>
      <c r="B21" s="177" t="s">
        <v>13</v>
      </c>
      <c r="C21" s="177">
        <v>51217274</v>
      </c>
      <c r="D21" s="178" t="s">
        <v>34</v>
      </c>
      <c r="E21" s="177">
        <v>4800</v>
      </c>
      <c r="F21" s="21">
        <v>1426.7964999999999</v>
      </c>
      <c r="G21" s="21">
        <v>1427.4353000000001</v>
      </c>
      <c r="H21" s="18">
        <f t="shared" si="1"/>
        <v>3066.2400000008347</v>
      </c>
      <c r="I21" s="19"/>
      <c r="J21" s="20"/>
    </row>
    <row r="22" spans="1:10" ht="15.75" x14ac:dyDescent="0.25">
      <c r="A22" s="15" t="s">
        <v>36</v>
      </c>
      <c r="B22" s="177" t="s">
        <v>13</v>
      </c>
      <c r="C22" s="177">
        <v>51097664</v>
      </c>
      <c r="D22" s="178" t="s">
        <v>37</v>
      </c>
      <c r="E22" s="177">
        <v>600</v>
      </c>
      <c r="F22" s="21">
        <v>4.4410999999999996</v>
      </c>
      <c r="G22" s="21">
        <v>4.4410999999999996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77" t="s">
        <v>13</v>
      </c>
      <c r="C23" s="177">
        <v>51097615</v>
      </c>
      <c r="D23" s="178" t="s">
        <v>37</v>
      </c>
      <c r="E23" s="177">
        <v>600</v>
      </c>
      <c r="F23" s="21">
        <v>48.761099999999999</v>
      </c>
      <c r="G23" s="21">
        <v>49.049500000000002</v>
      </c>
      <c r="H23" s="18">
        <f t="shared" si="1"/>
        <v>173.04000000000173</v>
      </c>
      <c r="I23" s="19"/>
      <c r="J23" s="20"/>
    </row>
    <row r="24" spans="1:10" ht="15.75" x14ac:dyDescent="0.25">
      <c r="A24" s="15" t="s">
        <v>39</v>
      </c>
      <c r="B24" s="177" t="s">
        <v>13</v>
      </c>
      <c r="C24" s="177">
        <v>51217264</v>
      </c>
      <c r="D24" s="178" t="s">
        <v>37</v>
      </c>
      <c r="E24" s="177">
        <v>600</v>
      </c>
      <c r="F24" s="21">
        <v>113.2474</v>
      </c>
      <c r="G24" s="21">
        <v>113.78619999999999</v>
      </c>
      <c r="H24" s="18">
        <f t="shared" si="1"/>
        <v>323.2799999999969</v>
      </c>
      <c r="I24" s="19"/>
      <c r="J24" s="20"/>
    </row>
    <row r="25" spans="1:10" ht="15.75" x14ac:dyDescent="0.25">
      <c r="A25" s="15" t="s">
        <v>40</v>
      </c>
      <c r="B25" s="177" t="s">
        <v>13</v>
      </c>
      <c r="C25" s="177">
        <v>51217288</v>
      </c>
      <c r="D25" s="178" t="s">
        <v>37</v>
      </c>
      <c r="E25" s="177">
        <v>600</v>
      </c>
      <c r="F25" s="21">
        <v>20.9499</v>
      </c>
      <c r="G25" s="21">
        <v>20.980899999999998</v>
      </c>
      <c r="H25" s="18">
        <f t="shared" si="1"/>
        <v>18.599999999999284</v>
      </c>
      <c r="I25" s="19" t="s">
        <v>27</v>
      </c>
      <c r="J25" s="20"/>
    </row>
    <row r="26" spans="1:10" ht="15.75" x14ac:dyDescent="0.25">
      <c r="A26" s="15" t="s">
        <v>41</v>
      </c>
      <c r="B26" s="177" t="s">
        <v>13</v>
      </c>
      <c r="C26" s="177">
        <v>51217279</v>
      </c>
      <c r="D26" s="178" t="s">
        <v>37</v>
      </c>
      <c r="E26" s="177">
        <v>600</v>
      </c>
      <c r="F26" s="21">
        <v>16.128599999999999</v>
      </c>
      <c r="G26" s="21">
        <v>16.182500000000001</v>
      </c>
      <c r="H26" s="18">
        <f t="shared" si="1"/>
        <v>32.340000000001368</v>
      </c>
      <c r="I26" s="19" t="s">
        <v>27</v>
      </c>
      <c r="J26" s="20"/>
    </row>
    <row r="27" spans="1:10" ht="15.75" x14ac:dyDescent="0.25">
      <c r="A27" s="15" t="s">
        <v>42</v>
      </c>
      <c r="B27" s="177" t="s">
        <v>13</v>
      </c>
      <c r="C27" s="177">
        <v>51217272</v>
      </c>
      <c r="D27" s="178" t="s">
        <v>37</v>
      </c>
      <c r="E27" s="177">
        <v>600</v>
      </c>
      <c r="F27" s="31">
        <v>15.819000000000001</v>
      </c>
      <c r="G27" s="31">
        <v>15.8718</v>
      </c>
      <c r="H27" s="18">
        <f t="shared" si="1"/>
        <v>31.679999999999708</v>
      </c>
      <c r="I27" s="19"/>
      <c r="J27" s="20"/>
    </row>
    <row r="28" spans="1:10" ht="15.75" x14ac:dyDescent="0.25">
      <c r="A28" s="15" t="s">
        <v>43</v>
      </c>
      <c r="B28" s="177" t="s">
        <v>13</v>
      </c>
      <c r="C28" s="177">
        <v>51616744</v>
      </c>
      <c r="D28" s="178">
        <f>300/5</f>
        <v>60</v>
      </c>
      <c r="E28" s="177">
        <v>3600</v>
      </c>
      <c r="F28" s="31">
        <v>109.78489999999999</v>
      </c>
      <c r="G28" s="31">
        <v>109.78489999999999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77" t="s">
        <v>13</v>
      </c>
      <c r="C29" s="177">
        <v>51555226</v>
      </c>
      <c r="D29" s="178">
        <f>300/5</f>
        <v>60</v>
      </c>
      <c r="E29" s="177">
        <v>3600</v>
      </c>
      <c r="F29" s="31">
        <v>576.61990000000003</v>
      </c>
      <c r="G29" s="31">
        <v>579.8578</v>
      </c>
      <c r="H29" s="18">
        <f>(G29-F29)*E29</f>
        <v>11656.439999999884</v>
      </c>
      <c r="I29" s="19"/>
      <c r="J29" s="20"/>
    </row>
    <row r="30" spans="1:10" ht="15.75" x14ac:dyDescent="0.25">
      <c r="A30" s="15" t="s">
        <v>45</v>
      </c>
      <c r="B30" s="177" t="s">
        <v>13</v>
      </c>
      <c r="C30" s="177">
        <v>51097658</v>
      </c>
      <c r="D30" s="178" t="s">
        <v>34</v>
      </c>
      <c r="E30" s="177">
        <v>4800</v>
      </c>
      <c r="F30" s="31">
        <v>723.67859999999996</v>
      </c>
      <c r="G30" s="31">
        <v>727.06060000000002</v>
      </c>
      <c r="H30" s="18">
        <f t="shared" si="1"/>
        <v>16233.600000000297</v>
      </c>
      <c r="I30" s="19"/>
      <c r="J30" s="20"/>
    </row>
    <row r="31" spans="1:10" ht="15.75" x14ac:dyDescent="0.25">
      <c r="A31" s="15" t="s">
        <v>46</v>
      </c>
      <c r="B31" s="177" t="s">
        <v>13</v>
      </c>
      <c r="C31" s="177">
        <v>51097635</v>
      </c>
      <c r="D31" s="178" t="s">
        <v>34</v>
      </c>
      <c r="E31" s="177">
        <v>4800</v>
      </c>
      <c r="F31" s="31">
        <v>48.492100000000001</v>
      </c>
      <c r="G31" s="31">
        <v>48.494</v>
      </c>
      <c r="H31" s="18">
        <f t="shared" si="1"/>
        <v>9.1199999999957981</v>
      </c>
      <c r="I31" s="19"/>
      <c r="J31" s="20"/>
    </row>
    <row r="32" spans="1:10" ht="15.75" x14ac:dyDescent="0.25">
      <c r="A32" s="15" t="s">
        <v>47</v>
      </c>
      <c r="B32" s="177" t="s">
        <v>13</v>
      </c>
      <c r="C32" s="32">
        <v>51097633</v>
      </c>
      <c r="D32" s="178" t="s">
        <v>34</v>
      </c>
      <c r="E32" s="177">
        <v>4800</v>
      </c>
      <c r="F32" s="31">
        <v>219.43289999999999</v>
      </c>
      <c r="G32" s="31">
        <v>221.7097</v>
      </c>
      <c r="H32" s="33">
        <f t="shared" si="1"/>
        <v>10928.640000000041</v>
      </c>
      <c r="I32" s="34"/>
      <c r="J32" s="35"/>
    </row>
    <row r="33" spans="1:10" ht="15.75" x14ac:dyDescent="0.25">
      <c r="A33" s="15" t="s">
        <v>48</v>
      </c>
      <c r="B33" s="177" t="s">
        <v>13</v>
      </c>
      <c r="C33" s="32">
        <v>51097662</v>
      </c>
      <c r="D33" s="178" t="s">
        <v>34</v>
      </c>
      <c r="E33" s="177">
        <v>4800</v>
      </c>
      <c r="F33" s="31">
        <v>4.4509999999999996</v>
      </c>
      <c r="G33" s="31">
        <v>4.4890999999999996</v>
      </c>
      <c r="H33" s="33">
        <f t="shared" si="1"/>
        <v>182.88000000000011</v>
      </c>
      <c r="I33" s="34"/>
      <c r="J33" s="35"/>
    </row>
    <row r="34" spans="1:10" ht="15.75" x14ac:dyDescent="0.25">
      <c r="A34" s="218" t="s">
        <v>49</v>
      </c>
      <c r="B34" s="219"/>
      <c r="C34" s="177"/>
      <c r="D34" s="178"/>
      <c r="E34" s="177"/>
      <c r="F34" s="36"/>
      <c r="G34" s="36"/>
      <c r="H34" s="23">
        <f>H20+H21+H22+H23+H24+H25+H26+H27+H28+H29+H30+H31+H32+H33</f>
        <v>72188.820000000967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77" t="s">
        <v>52</v>
      </c>
      <c r="C36" s="177">
        <v>51555209</v>
      </c>
      <c r="D36" s="178" t="s">
        <v>53</v>
      </c>
      <c r="E36" s="177">
        <v>7000</v>
      </c>
      <c r="F36" s="17">
        <v>6.2405999999999997</v>
      </c>
      <c r="G36" s="17">
        <v>6.2549000000000001</v>
      </c>
      <c r="H36" s="41">
        <f>(G36-F36)*E36</f>
        <v>100.10000000000296</v>
      </c>
      <c r="I36" s="42"/>
      <c r="J36" s="14"/>
    </row>
    <row r="37" spans="1:10" ht="15.75" x14ac:dyDescent="0.25">
      <c r="A37" s="15" t="s">
        <v>54</v>
      </c>
      <c r="B37" s="177" t="s">
        <v>52</v>
      </c>
      <c r="C37" s="177">
        <v>51555209</v>
      </c>
      <c r="D37" s="178" t="s">
        <v>53</v>
      </c>
      <c r="E37" s="177">
        <v>7000</v>
      </c>
      <c r="F37" s="21">
        <v>11.120900000000001</v>
      </c>
      <c r="G37" s="21">
        <v>11.1699</v>
      </c>
      <c r="H37" s="18">
        <f>(G37-F37)*E37</f>
        <v>342.99999999999642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77" t="s">
        <v>52</v>
      </c>
      <c r="C39" s="177">
        <v>51097674</v>
      </c>
      <c r="D39" s="177" t="s">
        <v>14</v>
      </c>
      <c r="E39" s="177">
        <v>7200</v>
      </c>
      <c r="F39" s="21">
        <v>637.12210000000005</v>
      </c>
      <c r="G39" s="21">
        <v>639.39769999999999</v>
      </c>
      <c r="H39" s="18">
        <f>(G39-F39)*E39</f>
        <v>16384.31999999957</v>
      </c>
      <c r="I39" s="47"/>
      <c r="J39" s="20"/>
    </row>
    <row r="40" spans="1:10" ht="15.75" x14ac:dyDescent="0.25">
      <c r="A40" s="27" t="s">
        <v>57</v>
      </c>
      <c r="B40" s="177" t="s">
        <v>52</v>
      </c>
      <c r="C40" s="177">
        <v>51259257</v>
      </c>
      <c r="D40" s="177" t="s">
        <v>14</v>
      </c>
      <c r="E40" s="177">
        <v>7200</v>
      </c>
      <c r="F40" s="21">
        <v>1.0555000000000001</v>
      </c>
      <c r="G40" s="21">
        <v>1.0555000000000001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77"/>
      <c r="C41" s="177"/>
      <c r="D41" s="177"/>
      <c r="E41" s="177"/>
      <c r="F41" s="21"/>
      <c r="G41" s="21"/>
      <c r="H41" s="48">
        <f>H39+H40</f>
        <v>16384.31999999957</v>
      </c>
      <c r="I41" s="24">
        <f>H41-H49</f>
        <v>-120.08000000029642</v>
      </c>
      <c r="J41" s="25">
        <f>I41/H41</f>
        <v>-7.3289584187991672E-3</v>
      </c>
    </row>
    <row r="42" spans="1:10" ht="15.75" x14ac:dyDescent="0.25">
      <c r="A42" s="15" t="s">
        <v>59</v>
      </c>
      <c r="B42" s="177"/>
      <c r="C42" s="177"/>
      <c r="D42" s="178"/>
      <c r="E42" s="177"/>
      <c r="H42" s="18"/>
      <c r="I42" s="43"/>
      <c r="J42" s="20"/>
    </row>
    <row r="43" spans="1:10" ht="15.75" x14ac:dyDescent="0.25">
      <c r="A43" s="27" t="s">
        <v>60</v>
      </c>
      <c r="B43" s="177" t="s">
        <v>52</v>
      </c>
      <c r="C43" s="32">
        <v>51097648</v>
      </c>
      <c r="D43" s="177" t="s">
        <v>53</v>
      </c>
      <c r="E43" s="177">
        <v>1200</v>
      </c>
      <c r="F43" s="21">
        <v>521.19780000000003</v>
      </c>
      <c r="G43" s="21">
        <v>523.02009999999996</v>
      </c>
      <c r="H43" s="33">
        <f>(G43-F43)*E43</f>
        <v>2186.7599999999129</v>
      </c>
      <c r="I43" s="43"/>
      <c r="J43" s="20"/>
    </row>
    <row r="44" spans="1:10" ht="15.75" x14ac:dyDescent="0.25">
      <c r="A44" s="27" t="s">
        <v>61</v>
      </c>
      <c r="B44" s="177" t="s">
        <v>52</v>
      </c>
      <c r="C44" s="32">
        <v>50555043</v>
      </c>
      <c r="D44" s="177" t="s">
        <v>53</v>
      </c>
      <c r="E44" s="177">
        <v>1200</v>
      </c>
      <c r="F44" s="21">
        <v>2181.1053000000002</v>
      </c>
      <c r="G44" s="21">
        <v>2188.9007000000001</v>
      </c>
      <c r="H44" s="33">
        <f>(G44-F44)*E44</f>
        <v>9354.4799999999668</v>
      </c>
      <c r="I44" s="43"/>
      <c r="J44" s="20"/>
    </row>
    <row r="45" spans="1:10" ht="15.75" x14ac:dyDescent="0.25">
      <c r="A45" s="27" t="s">
        <v>62</v>
      </c>
      <c r="B45" s="177" t="s">
        <v>52</v>
      </c>
      <c r="C45" s="32">
        <v>51259336</v>
      </c>
      <c r="D45" s="177" t="s">
        <v>63</v>
      </c>
      <c r="E45" s="177">
        <v>2400</v>
      </c>
      <c r="F45" s="21">
        <v>4.3795999999999999</v>
      </c>
      <c r="G45" s="21">
        <v>4.3933</v>
      </c>
      <c r="H45" s="33">
        <f>(G45-F45)*E45</f>
        <v>32.880000000000109</v>
      </c>
      <c r="I45" s="43"/>
      <c r="J45" s="20"/>
    </row>
    <row r="46" spans="1:10" ht="15.75" x14ac:dyDescent="0.25">
      <c r="A46" s="27" t="s">
        <v>64</v>
      </c>
      <c r="B46" s="177" t="s">
        <v>52</v>
      </c>
      <c r="C46" s="32">
        <v>51259266</v>
      </c>
      <c r="D46" s="177" t="s">
        <v>53</v>
      </c>
      <c r="E46" s="177">
        <v>1200</v>
      </c>
      <c r="F46" s="21">
        <v>1058.8271</v>
      </c>
      <c r="G46" s="21">
        <v>1062.5536</v>
      </c>
      <c r="H46" s="33">
        <f>(G46-F46)*E46</f>
        <v>4471.7999999999847</v>
      </c>
      <c r="I46" s="43"/>
      <c r="J46" s="20"/>
    </row>
    <row r="47" spans="1:10" ht="15.75" x14ac:dyDescent="0.25">
      <c r="A47" s="27" t="s">
        <v>65</v>
      </c>
      <c r="B47" s="177" t="s">
        <v>52</v>
      </c>
      <c r="C47" s="32">
        <v>51431336</v>
      </c>
      <c r="D47" s="177" t="s">
        <v>53</v>
      </c>
      <c r="E47" s="177">
        <v>1200</v>
      </c>
      <c r="F47" s="21">
        <v>64.254999999999995</v>
      </c>
      <c r="G47" s="21">
        <v>64.595399999999998</v>
      </c>
      <c r="H47" s="33">
        <f>(G47-F47)*E47</f>
        <v>408.48000000000297</v>
      </c>
      <c r="I47" s="43"/>
      <c r="J47" s="20"/>
    </row>
    <row r="48" spans="1:10" ht="15.75" x14ac:dyDescent="0.25">
      <c r="A48" s="15" t="s">
        <v>66</v>
      </c>
      <c r="B48" s="177" t="s">
        <v>67</v>
      </c>
      <c r="C48" s="177">
        <v>49174</v>
      </c>
      <c r="D48" s="178" t="s">
        <v>53</v>
      </c>
      <c r="E48" s="177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16504.399999999867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77" t="s">
        <v>52</v>
      </c>
      <c r="C51" s="177">
        <v>51097603</v>
      </c>
      <c r="D51" s="178" t="s">
        <v>53</v>
      </c>
      <c r="E51" s="177">
        <v>7000</v>
      </c>
      <c r="F51" s="17">
        <v>2069.4349000000002</v>
      </c>
      <c r="G51" s="17">
        <v>2076.4690999999998</v>
      </c>
      <c r="H51" s="18">
        <f>(G51-F51)*E51</f>
        <v>49239.3999999972</v>
      </c>
      <c r="I51" s="43"/>
      <c r="J51" s="20"/>
    </row>
    <row r="52" spans="1:10" ht="15.75" x14ac:dyDescent="0.25">
      <c r="A52" s="27" t="s">
        <v>72</v>
      </c>
      <c r="B52" s="177" t="s">
        <v>52</v>
      </c>
      <c r="C52" s="177">
        <v>51097590</v>
      </c>
      <c r="D52" s="178" t="s">
        <v>53</v>
      </c>
      <c r="E52" s="177">
        <v>7000</v>
      </c>
      <c r="F52" s="21">
        <v>13.087199999999999</v>
      </c>
      <c r="G52" s="21">
        <v>13.110900000000001</v>
      </c>
      <c r="H52" s="18">
        <f>(G52-F52)*E52</f>
        <v>165.90000000001126</v>
      </c>
      <c r="I52" s="43"/>
      <c r="J52" s="20"/>
    </row>
    <row r="53" spans="1:10" ht="15.75" x14ac:dyDescent="0.25">
      <c r="A53" s="15" t="s">
        <v>66</v>
      </c>
      <c r="B53" s="177" t="s">
        <v>67</v>
      </c>
      <c r="C53" s="177">
        <v>49174</v>
      </c>
      <c r="D53" s="178" t="s">
        <v>53</v>
      </c>
      <c r="E53" s="177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77"/>
      <c r="D54" s="178"/>
      <c r="E54" s="177"/>
      <c r="F54" s="21"/>
      <c r="G54" s="21"/>
      <c r="H54" s="48">
        <f>H51+H52+H53</f>
        <v>49505.299999997209</v>
      </c>
      <c r="I54" s="47"/>
      <c r="J54" s="59"/>
    </row>
    <row r="55" spans="1:10" ht="15.75" x14ac:dyDescent="0.25">
      <c r="A55" s="27" t="s">
        <v>74</v>
      </c>
      <c r="B55" s="177" t="s">
        <v>52</v>
      </c>
      <c r="C55" s="177">
        <v>51100980</v>
      </c>
      <c r="D55" s="177" t="s">
        <v>75</v>
      </c>
      <c r="E55" s="177">
        <v>12000</v>
      </c>
      <c r="F55" s="21">
        <v>1217.2545</v>
      </c>
      <c r="G55" s="21">
        <v>1221.3648000000001</v>
      </c>
      <c r="H55" s="18">
        <f>(G55-F55)*E55</f>
        <v>49323.600000000624</v>
      </c>
      <c r="I55" s="47"/>
      <c r="J55" s="58"/>
    </row>
    <row r="56" spans="1:10" ht="15.75" x14ac:dyDescent="0.25">
      <c r="A56" s="27" t="s">
        <v>76</v>
      </c>
      <c r="B56" s="177" t="s">
        <v>52</v>
      </c>
      <c r="C56" s="177">
        <v>51097623</v>
      </c>
      <c r="D56" s="177" t="s">
        <v>75</v>
      </c>
      <c r="E56" s="177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77"/>
      <c r="C57" s="177"/>
      <c r="D57" s="177"/>
      <c r="E57" s="177"/>
      <c r="F57" s="21"/>
      <c r="G57" s="21"/>
      <c r="H57" s="48">
        <f>H55+H56</f>
        <v>49323.600000000624</v>
      </c>
      <c r="I57" s="61">
        <f>H54-H64-H53</f>
        <v>-102.26000000396743</v>
      </c>
      <c r="J57" s="25">
        <f>I57/H57</f>
        <v>-2.0732468839250611E-3</v>
      </c>
    </row>
    <row r="58" spans="1:10" ht="15.75" x14ac:dyDescent="0.25">
      <c r="A58" s="27" t="s">
        <v>78</v>
      </c>
      <c r="B58" s="177" t="s">
        <v>52</v>
      </c>
      <c r="C58" s="177">
        <v>51097675</v>
      </c>
      <c r="D58" s="177" t="s">
        <v>34</v>
      </c>
      <c r="E58" s="177">
        <v>4800</v>
      </c>
      <c r="F58" s="21">
        <v>565.54359999999997</v>
      </c>
      <c r="G58" s="21">
        <v>567.99990000000003</v>
      </c>
      <c r="H58" s="18">
        <f t="shared" ref="H58:H63" si="2">(G58-F58)*E58</f>
        <v>11790.240000000267</v>
      </c>
      <c r="I58" s="62"/>
      <c r="J58" s="59"/>
    </row>
    <row r="59" spans="1:10" ht="15.75" x14ac:dyDescent="0.25">
      <c r="A59" s="27" t="s">
        <v>79</v>
      </c>
      <c r="B59" s="177" t="s">
        <v>52</v>
      </c>
      <c r="C59" s="177">
        <v>51100997</v>
      </c>
      <c r="D59" s="177" t="s">
        <v>21</v>
      </c>
      <c r="E59" s="177">
        <v>3600</v>
      </c>
      <c r="F59" s="21">
        <v>1431.1516999999999</v>
      </c>
      <c r="G59" s="21">
        <v>1433.8130000000001</v>
      </c>
      <c r="H59" s="18">
        <f t="shared" si="2"/>
        <v>9580.680000000757</v>
      </c>
      <c r="I59" s="62"/>
      <c r="J59" s="59"/>
    </row>
    <row r="60" spans="1:10" ht="15.75" x14ac:dyDescent="0.25">
      <c r="A60" s="27" t="s">
        <v>80</v>
      </c>
      <c r="B60" s="177" t="s">
        <v>52</v>
      </c>
      <c r="C60" s="177">
        <v>51555218</v>
      </c>
      <c r="D60" s="177">
        <f>400/5</f>
        <v>80</v>
      </c>
      <c r="E60" s="177">
        <v>4800</v>
      </c>
      <c r="F60" s="21">
        <v>73.469399999999993</v>
      </c>
      <c r="G60" s="21">
        <v>73.857799999999997</v>
      </c>
      <c r="H60" s="18">
        <f t="shared" si="2"/>
        <v>1864.3200000000206</v>
      </c>
      <c r="I60" s="62"/>
      <c r="J60" s="59"/>
    </row>
    <row r="61" spans="1:10" ht="15.75" x14ac:dyDescent="0.25">
      <c r="A61" s="27" t="s">
        <v>81</v>
      </c>
      <c r="B61" s="177" t="s">
        <v>52</v>
      </c>
      <c r="C61" s="177">
        <v>51555151</v>
      </c>
      <c r="D61" s="177">
        <f>400/5</f>
        <v>80</v>
      </c>
      <c r="E61" s="177">
        <v>4800</v>
      </c>
      <c r="F61" s="63">
        <v>0.30690000000000001</v>
      </c>
      <c r="G61" s="63">
        <v>0.30690000000000001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77" t="s">
        <v>52</v>
      </c>
      <c r="C62" s="177">
        <v>51097599</v>
      </c>
      <c r="D62" s="177" t="s">
        <v>21</v>
      </c>
      <c r="E62" s="177">
        <v>3600</v>
      </c>
      <c r="F62" s="21">
        <v>1010.0656</v>
      </c>
      <c r="G62" s="21">
        <v>1013.5776</v>
      </c>
      <c r="H62" s="18">
        <f t="shared" si="2"/>
        <v>12643.199999999797</v>
      </c>
      <c r="I62" s="62"/>
      <c r="J62" s="59"/>
    </row>
    <row r="63" spans="1:10" ht="15.75" x14ac:dyDescent="0.25">
      <c r="A63" s="27" t="s">
        <v>83</v>
      </c>
      <c r="B63" s="177" t="s">
        <v>52</v>
      </c>
      <c r="C63" s="177">
        <v>51097620</v>
      </c>
      <c r="D63" s="177" t="s">
        <v>34</v>
      </c>
      <c r="E63" s="177">
        <v>4800</v>
      </c>
      <c r="F63" s="21">
        <v>563.14059999999995</v>
      </c>
      <c r="G63" s="21">
        <v>565.98</v>
      </c>
      <c r="H63" s="18">
        <f t="shared" si="2"/>
        <v>13629.12000000033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49507.560000001176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77" t="s">
        <v>52</v>
      </c>
      <c r="C66" s="9">
        <v>51259238</v>
      </c>
      <c r="D66" s="74" t="s">
        <v>53</v>
      </c>
      <c r="E66" s="74">
        <v>7000</v>
      </c>
      <c r="F66" s="75">
        <v>607.65380000000005</v>
      </c>
      <c r="G66" s="75">
        <v>610.02470000000005</v>
      </c>
      <c r="H66" s="76">
        <f>(G66-F66)*E66</f>
        <v>16596.300000000043</v>
      </c>
      <c r="I66" s="77"/>
      <c r="J66" s="78"/>
    </row>
    <row r="67" spans="1:10" ht="15.75" x14ac:dyDescent="0.25">
      <c r="A67" s="27" t="s">
        <v>86</v>
      </c>
      <c r="B67" s="177" t="s">
        <v>52</v>
      </c>
      <c r="C67" s="177">
        <v>51259324</v>
      </c>
      <c r="D67" s="178" t="s">
        <v>53</v>
      </c>
      <c r="E67" s="178">
        <v>7000</v>
      </c>
      <c r="F67" s="21">
        <v>469.71379999999999</v>
      </c>
      <c r="G67" s="21">
        <v>471.5496</v>
      </c>
      <c r="H67" s="18">
        <f>(G67-F67)*E67</f>
        <v>12850.600000000042</v>
      </c>
      <c r="I67" s="51"/>
      <c r="J67" s="58"/>
    </row>
    <row r="68" spans="1:10" s="129" customFormat="1" ht="15.75" x14ac:dyDescent="0.25">
      <c r="A68" s="27" t="s">
        <v>87</v>
      </c>
      <c r="B68" s="79" t="s">
        <v>88</v>
      </c>
      <c r="C68" s="177">
        <v>51491618</v>
      </c>
      <c r="D68" s="178" t="s">
        <v>63</v>
      </c>
      <c r="E68" s="177">
        <v>40</v>
      </c>
      <c r="F68" s="28">
        <v>1419.7619999999999</v>
      </c>
      <c r="G68" s="28">
        <v>1426.0585000000001</v>
      </c>
      <c r="H68" s="18">
        <f>(G68-F68)*E68</f>
        <v>251.86000000000604</v>
      </c>
      <c r="I68" s="51"/>
      <c r="J68" s="58"/>
    </row>
    <row r="69" spans="1:10" s="129" customFormat="1" ht="15.75" x14ac:dyDescent="0.25">
      <c r="A69" s="27" t="s">
        <v>89</v>
      </c>
      <c r="B69" s="79" t="s">
        <v>88</v>
      </c>
      <c r="C69" s="177">
        <v>51491624</v>
      </c>
      <c r="D69" s="178" t="s">
        <v>63</v>
      </c>
      <c r="E69" s="177">
        <v>40</v>
      </c>
      <c r="F69" s="28">
        <v>187.04599999999999</v>
      </c>
      <c r="G69" s="28">
        <v>187.5575</v>
      </c>
      <c r="H69" s="18">
        <f>(G69-F69)*E69</f>
        <v>20.460000000000491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29446.900000000085</v>
      </c>
      <c r="I70" s="85">
        <f>H70-H73-H68-H69</f>
        <v>-872.22000000045182</v>
      </c>
      <c r="J70" s="25">
        <f>I70/H70</f>
        <v>-2.9620095833532537E-2</v>
      </c>
    </row>
    <row r="71" spans="1:10" ht="15.75" x14ac:dyDescent="0.25">
      <c r="A71" s="27" t="s">
        <v>91</v>
      </c>
      <c r="B71" s="177" t="s">
        <v>52</v>
      </c>
      <c r="C71" s="86">
        <v>51097588</v>
      </c>
      <c r="D71" s="178" t="s">
        <v>75</v>
      </c>
      <c r="E71" s="177">
        <v>12000</v>
      </c>
      <c r="F71" s="21">
        <v>362.80869999999999</v>
      </c>
      <c r="G71" s="21">
        <v>364.16590000000002</v>
      </c>
      <c r="H71" s="18">
        <f>(G71-F71)*E71</f>
        <v>16286.400000000413</v>
      </c>
      <c r="I71" s="51"/>
      <c r="J71" s="58"/>
    </row>
    <row r="72" spans="1:10" ht="15.75" x14ac:dyDescent="0.25">
      <c r="A72" s="27" t="s">
        <v>92</v>
      </c>
      <c r="B72" s="177" t="s">
        <v>52</v>
      </c>
      <c r="C72" s="86">
        <v>51431335</v>
      </c>
      <c r="D72" s="178" t="s">
        <v>75</v>
      </c>
      <c r="E72" s="177">
        <v>12000</v>
      </c>
      <c r="F72" s="21">
        <v>286.57490000000001</v>
      </c>
      <c r="G72" s="21">
        <v>287.72160000000002</v>
      </c>
      <c r="H72" s="18">
        <f>(G72-F72)*E72</f>
        <v>13760.400000000118</v>
      </c>
      <c r="I72" s="51"/>
      <c r="J72" s="58"/>
    </row>
    <row r="73" spans="1:10" ht="15.75" x14ac:dyDescent="0.25">
      <c r="A73" s="87" t="s">
        <v>93</v>
      </c>
      <c r="B73" s="177" t="s">
        <v>27</v>
      </c>
      <c r="C73" s="177"/>
      <c r="D73" s="178"/>
      <c r="E73" s="177"/>
      <c r="F73" s="21"/>
      <c r="G73" s="21"/>
      <c r="H73" s="48">
        <f>H71+ H72</f>
        <v>30046.80000000053</v>
      </c>
      <c r="I73" s="85">
        <f>H73-H81</f>
        <v>-55.319999999479478</v>
      </c>
      <c r="J73" s="25">
        <f>I73/H73</f>
        <v>-1.8411278405513565E-3</v>
      </c>
    </row>
    <row r="74" spans="1:10" ht="15.75" x14ac:dyDescent="0.25">
      <c r="A74" s="27" t="s">
        <v>94</v>
      </c>
      <c r="B74" s="177" t="s">
        <v>52</v>
      </c>
      <c r="C74" s="86">
        <v>51097676</v>
      </c>
      <c r="D74" s="88" t="s">
        <v>63</v>
      </c>
      <c r="E74" s="177">
        <v>2400</v>
      </c>
      <c r="F74" s="21">
        <v>760.78530000000001</v>
      </c>
      <c r="G74" s="21">
        <v>763.66539999999998</v>
      </c>
      <c r="H74" s="18">
        <f>(G74-F74)*E74</f>
        <v>6912.2399999999288</v>
      </c>
      <c r="I74" s="51"/>
      <c r="J74" s="58"/>
    </row>
    <row r="75" spans="1:10" ht="15.75" x14ac:dyDescent="0.25">
      <c r="A75" s="27" t="s">
        <v>95</v>
      </c>
      <c r="B75" s="177" t="s">
        <v>52</v>
      </c>
      <c r="C75" s="86">
        <v>51431355</v>
      </c>
      <c r="D75" s="178" t="s">
        <v>21</v>
      </c>
      <c r="E75" s="178">
        <v>3600</v>
      </c>
      <c r="F75" s="21">
        <v>391.11689999999999</v>
      </c>
      <c r="G75" s="21">
        <v>392.41070000000002</v>
      </c>
      <c r="H75" s="18">
        <f>(G75-F75)*E75</f>
        <v>4657.6800000001185</v>
      </c>
      <c r="I75" s="51"/>
      <c r="J75" s="52"/>
    </row>
    <row r="76" spans="1:10" ht="15.75" x14ac:dyDescent="0.25">
      <c r="A76" s="27" t="s">
        <v>96</v>
      </c>
      <c r="B76" s="177" t="s">
        <v>52</v>
      </c>
      <c r="C76" s="86">
        <v>51259331</v>
      </c>
      <c r="D76" s="88" t="s">
        <v>37</v>
      </c>
      <c r="E76" s="177">
        <v>600</v>
      </c>
      <c r="F76" s="21">
        <v>180.60570000000001</v>
      </c>
      <c r="G76" s="21">
        <v>181.27789999999999</v>
      </c>
      <c r="H76" s="18">
        <f>(G76-F76)*E76</f>
        <v>403.31999999998516</v>
      </c>
      <c r="I76" s="51"/>
      <c r="J76" s="52"/>
    </row>
    <row r="77" spans="1:10" ht="15.75" x14ac:dyDescent="0.25">
      <c r="A77" s="27" t="s">
        <v>97</v>
      </c>
      <c r="B77" s="177" t="s">
        <v>52</v>
      </c>
      <c r="C77" s="86">
        <v>51259326</v>
      </c>
      <c r="D77" s="88" t="s">
        <v>14</v>
      </c>
      <c r="E77" s="177">
        <v>7200</v>
      </c>
      <c r="F77" s="21">
        <v>358.2124</v>
      </c>
      <c r="G77" s="21">
        <v>359.52080000000001</v>
      </c>
      <c r="H77" s="18">
        <f>(G77-F77)*E77</f>
        <v>9420.4800000000432</v>
      </c>
      <c r="I77" s="51"/>
      <c r="J77" s="52"/>
    </row>
    <row r="78" spans="1:10" ht="15.75" x14ac:dyDescent="0.25">
      <c r="A78" s="27" t="s">
        <v>98</v>
      </c>
      <c r="B78" s="177" t="s">
        <v>52</v>
      </c>
      <c r="C78" s="86">
        <v>51431351</v>
      </c>
      <c r="D78" s="88" t="s">
        <v>14</v>
      </c>
      <c r="E78" s="177">
        <v>7200</v>
      </c>
      <c r="F78" s="21">
        <v>261.92770000000002</v>
      </c>
      <c r="G78" s="21">
        <v>263.13720000000001</v>
      </c>
      <c r="H78" s="18">
        <f>(G78-F78)*E78</f>
        <v>8708.3999999999378</v>
      </c>
      <c r="I78" s="51"/>
      <c r="J78" s="52"/>
    </row>
    <row r="79" spans="1:10" ht="15.75" x14ac:dyDescent="0.25">
      <c r="A79" s="89" t="s">
        <v>99</v>
      </c>
      <c r="B79" s="177" t="s">
        <v>52</v>
      </c>
      <c r="C79" s="90">
        <v>51097666</v>
      </c>
      <c r="D79" s="88" t="s">
        <v>63</v>
      </c>
      <c r="E79" s="177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77" t="s">
        <v>52</v>
      </c>
      <c r="C80" s="90">
        <v>51259323</v>
      </c>
      <c r="D80" s="88" t="s">
        <v>63</v>
      </c>
      <c r="E80" s="177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30102.12000000001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77" t="s">
        <v>52</v>
      </c>
      <c r="C83" s="106">
        <v>51431297</v>
      </c>
      <c r="D83" s="178" t="s">
        <v>53</v>
      </c>
      <c r="E83" s="100">
        <v>7000</v>
      </c>
      <c r="F83" s="17">
        <v>326.31459999999998</v>
      </c>
      <c r="G83" s="17">
        <v>327.88760000000002</v>
      </c>
      <c r="H83" s="18">
        <f>(G83-F83)*E83</f>
        <v>11011.000000000251</v>
      </c>
      <c r="I83" s="107"/>
      <c r="J83" s="108"/>
    </row>
    <row r="84" spans="1:10" ht="15.75" x14ac:dyDescent="0.25">
      <c r="A84" s="105" t="s">
        <v>86</v>
      </c>
      <c r="B84" s="177" t="s">
        <v>52</v>
      </c>
      <c r="C84" s="106">
        <v>51431332</v>
      </c>
      <c r="D84" s="178" t="s">
        <v>53</v>
      </c>
      <c r="E84" s="100">
        <v>7000</v>
      </c>
      <c r="F84" s="17">
        <v>359.98419999999999</v>
      </c>
      <c r="G84" s="17">
        <v>361.03590000000003</v>
      </c>
      <c r="H84" s="18">
        <f>(G84-F84)*E84</f>
        <v>7361.9000000002761</v>
      </c>
      <c r="I84" s="177"/>
      <c r="J84" s="58"/>
    </row>
    <row r="85" spans="1:10" s="129" customFormat="1" ht="15.75" x14ac:dyDescent="0.25">
      <c r="A85" s="27" t="s">
        <v>87</v>
      </c>
      <c r="B85" s="177" t="s">
        <v>103</v>
      </c>
      <c r="C85" s="109">
        <v>150773</v>
      </c>
      <c r="D85" s="178" t="s">
        <v>53</v>
      </c>
      <c r="E85" s="109">
        <v>20</v>
      </c>
      <c r="F85" s="17">
        <v>15772.5</v>
      </c>
      <c r="G85" s="17">
        <v>15778.8</v>
      </c>
      <c r="H85" s="18">
        <f>(G85-F85)*E85</f>
        <v>125.99999999998545</v>
      </c>
      <c r="I85" s="51"/>
      <c r="J85" s="58"/>
    </row>
    <row r="86" spans="1:10" s="129" customFormat="1" ht="15.75" x14ac:dyDescent="0.25">
      <c r="A86" s="27" t="s">
        <v>89</v>
      </c>
      <c r="B86" s="177" t="s">
        <v>103</v>
      </c>
      <c r="C86" s="109">
        <v>150791</v>
      </c>
      <c r="D86" s="178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79"/>
      <c r="C87" s="32"/>
      <c r="D87" s="82"/>
      <c r="E87" s="82"/>
      <c r="F87" s="21"/>
      <c r="G87" s="21"/>
      <c r="H87" s="48">
        <f>H83+H84</f>
        <v>18372.900000000525</v>
      </c>
      <c r="I87" s="85">
        <f>H87-H90-H85-H86</f>
        <v>366.42000000055123</v>
      </c>
      <c r="J87" s="25">
        <f>I87/H87</f>
        <v>1.9943503747396479E-2</v>
      </c>
    </row>
    <row r="88" spans="1:10" ht="15.75" x14ac:dyDescent="0.25">
      <c r="A88" s="27" t="s">
        <v>104</v>
      </c>
      <c r="B88" s="177" t="s">
        <v>52</v>
      </c>
      <c r="C88" s="106">
        <v>51431342</v>
      </c>
      <c r="D88" s="88" t="s">
        <v>34</v>
      </c>
      <c r="E88" s="177">
        <v>4800</v>
      </c>
      <c r="F88" s="21">
        <v>464.31029999999998</v>
      </c>
      <c r="G88" s="21">
        <v>466.57190000000003</v>
      </c>
      <c r="H88" s="18">
        <f>(G88-F88)*E88</f>
        <v>10855.680000000211</v>
      </c>
      <c r="I88" s="51"/>
      <c r="J88" s="52"/>
    </row>
    <row r="89" spans="1:10" ht="15.75" x14ac:dyDescent="0.25">
      <c r="A89" s="27" t="s">
        <v>105</v>
      </c>
      <c r="B89" s="177" t="s">
        <v>52</v>
      </c>
      <c r="C89" s="106">
        <v>51431343</v>
      </c>
      <c r="D89" s="88" t="s">
        <v>34</v>
      </c>
      <c r="E89" s="177">
        <v>4800</v>
      </c>
      <c r="F89" s="21">
        <v>507.60180000000003</v>
      </c>
      <c r="G89" s="21">
        <v>509.06529999999998</v>
      </c>
      <c r="H89" s="18">
        <f>(G89-F89)*E89</f>
        <v>7024.7999999997774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17880.479999999989</v>
      </c>
      <c r="I90" s="85">
        <f>H90-H98</f>
        <v>-100.07999999997992</v>
      </c>
      <c r="J90" s="25">
        <f>I90/H90</f>
        <v>-5.5971651767726584E-3</v>
      </c>
    </row>
    <row r="91" spans="1:10" ht="15.75" x14ac:dyDescent="0.25">
      <c r="A91" s="27" t="s">
        <v>107</v>
      </c>
      <c r="B91" s="177" t="s">
        <v>52</v>
      </c>
      <c r="C91" s="106">
        <v>51431347</v>
      </c>
      <c r="D91" s="178" t="s">
        <v>53</v>
      </c>
      <c r="E91" s="177">
        <v>1200</v>
      </c>
      <c r="F91" s="21">
        <v>1202.1474000000001</v>
      </c>
      <c r="G91" s="21">
        <v>1207.4567999999999</v>
      </c>
      <c r="H91" s="18">
        <f>(G91-F91)*E91</f>
        <v>6371.2799999998424</v>
      </c>
      <c r="I91" s="51"/>
      <c r="J91" s="52"/>
    </row>
    <row r="92" spans="1:10" ht="15.75" x14ac:dyDescent="0.25">
      <c r="A92" s="27" t="s">
        <v>108</v>
      </c>
      <c r="B92" s="177" t="s">
        <v>52</v>
      </c>
      <c r="C92" s="106">
        <v>51431339</v>
      </c>
      <c r="D92" s="178" t="s">
        <v>53</v>
      </c>
      <c r="E92" s="177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77" t="s">
        <v>52</v>
      </c>
      <c r="C93" s="106">
        <v>51217244</v>
      </c>
      <c r="D93" s="177" t="s">
        <v>37</v>
      </c>
      <c r="E93" s="177">
        <v>600</v>
      </c>
      <c r="F93" s="30">
        <v>350.35149999999999</v>
      </c>
      <c r="G93" s="30">
        <v>351.2801</v>
      </c>
      <c r="H93" s="18">
        <f t="shared" si="4"/>
        <v>557.16000000001031</v>
      </c>
      <c r="I93" s="51"/>
      <c r="J93" s="52"/>
    </row>
    <row r="94" spans="1:10" ht="15.75" x14ac:dyDescent="0.25">
      <c r="A94" s="27" t="s">
        <v>110</v>
      </c>
      <c r="B94" s="177" t="s">
        <v>52</v>
      </c>
      <c r="C94" s="106">
        <v>51217267</v>
      </c>
      <c r="D94" s="88" t="s">
        <v>63</v>
      </c>
      <c r="E94" s="177">
        <v>2400</v>
      </c>
      <c r="F94" s="30">
        <v>20.871200000000002</v>
      </c>
      <c r="G94" s="30">
        <v>20.918700000000001</v>
      </c>
      <c r="H94" s="18">
        <f t="shared" si="4"/>
        <v>113.99999999999864</v>
      </c>
      <c r="I94" s="51"/>
      <c r="J94" s="52"/>
    </row>
    <row r="95" spans="1:10" ht="15.75" x14ac:dyDescent="0.25">
      <c r="A95" s="27" t="s">
        <v>111</v>
      </c>
      <c r="B95" s="177" t="s">
        <v>52</v>
      </c>
      <c r="C95" s="177">
        <v>51555165</v>
      </c>
      <c r="D95" s="178" t="s">
        <v>53</v>
      </c>
      <c r="E95" s="177">
        <v>1200</v>
      </c>
      <c r="F95" s="30">
        <v>1004.251</v>
      </c>
      <c r="G95" s="30">
        <v>1007.9848</v>
      </c>
      <c r="H95" s="18">
        <f t="shared" si="4"/>
        <v>4480.5599999999686</v>
      </c>
      <c r="I95" s="51" t="s">
        <v>27</v>
      </c>
      <c r="J95" s="52"/>
    </row>
    <row r="96" spans="1:10" ht="15.75" x14ac:dyDescent="0.25">
      <c r="A96" s="113" t="s">
        <v>112</v>
      </c>
      <c r="B96" s="177" t="s">
        <v>52</v>
      </c>
      <c r="C96" s="106">
        <v>51431346</v>
      </c>
      <c r="D96" s="114" t="s">
        <v>37</v>
      </c>
      <c r="E96" s="114">
        <v>600</v>
      </c>
      <c r="F96" s="30">
        <v>388.98570000000001</v>
      </c>
      <c r="G96" s="30">
        <v>391.1671</v>
      </c>
      <c r="H96" s="115">
        <f t="shared" si="4"/>
        <v>1308.8399999999979</v>
      </c>
      <c r="I96" s="116"/>
      <c r="J96" s="117"/>
    </row>
    <row r="97" spans="1:10" ht="15.75" x14ac:dyDescent="0.25">
      <c r="A97" s="27" t="s">
        <v>113</v>
      </c>
      <c r="B97" s="177" t="s">
        <v>52</v>
      </c>
      <c r="C97" s="106">
        <v>51431352</v>
      </c>
      <c r="D97" s="88" t="s">
        <v>21</v>
      </c>
      <c r="E97" s="177">
        <v>3600</v>
      </c>
      <c r="F97" s="21">
        <v>259.61579999999998</v>
      </c>
      <c r="G97" s="21">
        <v>261.01100000000002</v>
      </c>
      <c r="H97" s="18">
        <f t="shared" si="4"/>
        <v>5022.7200000001631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17980.559999999969</v>
      </c>
      <c r="I98" s="51"/>
      <c r="J98" s="52"/>
    </row>
    <row r="99" spans="1:10" ht="15.75" x14ac:dyDescent="0.25">
      <c r="A99" s="45" t="s">
        <v>114</v>
      </c>
      <c r="B99" s="177" t="s">
        <v>52</v>
      </c>
      <c r="C99" s="120">
        <v>51431357</v>
      </c>
      <c r="D99" s="178" t="s">
        <v>63</v>
      </c>
      <c r="E99" s="178">
        <v>14000</v>
      </c>
      <c r="F99" s="28">
        <v>894.25810000000001</v>
      </c>
      <c r="G99" s="28">
        <v>897.67290000000003</v>
      </c>
      <c r="H99" s="121">
        <f t="shared" si="4"/>
        <v>47807.200000000194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>
      <selection sqref="A1:J99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134</v>
      </c>
      <c r="G2" s="4" t="s">
        <v>135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80" t="s">
        <v>13</v>
      </c>
      <c r="C4" s="180">
        <v>51555166</v>
      </c>
      <c r="D4" s="180" t="s">
        <v>14</v>
      </c>
      <c r="E4" s="180">
        <v>132000</v>
      </c>
      <c r="F4" s="17">
        <v>7.0377000000000001</v>
      </c>
      <c r="G4" s="17">
        <v>7.0458999999999996</v>
      </c>
      <c r="H4" s="18">
        <f>(G4-F4)*E4</f>
        <v>1082.3999999999394</v>
      </c>
      <c r="I4" s="19"/>
      <c r="J4" s="20"/>
    </row>
    <row r="5" spans="1:10" ht="15.75" x14ac:dyDescent="0.25">
      <c r="A5" s="15" t="s">
        <v>15</v>
      </c>
      <c r="B5" s="180" t="s">
        <v>13</v>
      </c>
      <c r="C5" s="180">
        <v>51555191</v>
      </c>
      <c r="D5" s="180" t="s">
        <v>14</v>
      </c>
      <c r="E5" s="180">
        <v>132000</v>
      </c>
      <c r="F5" s="21">
        <v>406.63290000000001</v>
      </c>
      <c r="G5" s="21">
        <v>408.49869999999999</v>
      </c>
      <c r="H5" s="18">
        <f>(G5-F5)*E5</f>
        <v>246285.59999999721</v>
      </c>
      <c r="I5" s="19"/>
      <c r="J5" s="20"/>
    </row>
    <row r="6" spans="1:10" ht="15.75" x14ac:dyDescent="0.25">
      <c r="A6" s="218" t="s">
        <v>16</v>
      </c>
      <c r="B6" s="219"/>
      <c r="C6" s="180"/>
      <c r="D6" s="181"/>
      <c r="E6" s="180"/>
      <c r="H6" s="23">
        <f>H4+H5</f>
        <v>247367.99999999715</v>
      </c>
      <c r="I6" s="24">
        <f>H6-H9-H19</f>
        <v>1901.3999999952794</v>
      </c>
      <c r="J6" s="25">
        <f>I6/H6</f>
        <v>7.6865237217235106E-3</v>
      </c>
    </row>
    <row r="7" spans="1:10" ht="15.75" x14ac:dyDescent="0.25">
      <c r="A7" s="26" t="s">
        <v>17</v>
      </c>
      <c r="B7" s="180" t="s">
        <v>13</v>
      </c>
      <c r="C7" s="180">
        <v>51097629</v>
      </c>
      <c r="D7" s="181" t="s">
        <v>14</v>
      </c>
      <c r="E7" s="180">
        <v>42000</v>
      </c>
      <c r="F7" s="21">
        <v>1181.5196000000001</v>
      </c>
      <c r="G7" s="21">
        <v>1185.6101000000001</v>
      </c>
      <c r="H7" s="18">
        <f>(G7-F7)*E7</f>
        <v>171801.00000000084</v>
      </c>
      <c r="I7" s="19"/>
      <c r="J7" s="20"/>
    </row>
    <row r="8" spans="1:10" ht="15.75" x14ac:dyDescent="0.25">
      <c r="A8" s="26" t="s">
        <v>18</v>
      </c>
      <c r="B8" s="180" t="s">
        <v>13</v>
      </c>
      <c r="C8" s="180">
        <v>51616820</v>
      </c>
      <c r="D8" s="181" t="s">
        <v>14</v>
      </c>
      <c r="E8" s="180">
        <v>42000</v>
      </c>
      <c r="F8" s="21">
        <v>15.445399999999999</v>
      </c>
      <c r="G8" s="21">
        <v>15.4572</v>
      </c>
      <c r="H8" s="18">
        <f>(G8-F8)*E8</f>
        <v>495.60000000003868</v>
      </c>
      <c r="I8" s="19"/>
      <c r="J8" s="20"/>
    </row>
    <row r="9" spans="1:10" ht="15.75" x14ac:dyDescent="0.25">
      <c r="A9" s="218" t="s">
        <v>19</v>
      </c>
      <c r="B9" s="219"/>
      <c r="C9" s="180"/>
      <c r="D9" s="181"/>
      <c r="E9" s="180"/>
      <c r="F9" s="21"/>
      <c r="G9" s="21"/>
      <c r="H9" s="23">
        <f>H7+H8</f>
        <v>172296.60000000088</v>
      </c>
      <c r="I9" s="24">
        <f>H9-H16</f>
        <v>105.00000000160071</v>
      </c>
      <c r="J9" s="25">
        <f>I9/H9</f>
        <v>6.0941423105041065E-4</v>
      </c>
    </row>
    <row r="10" spans="1:10" ht="15.75" x14ac:dyDescent="0.25">
      <c r="A10" s="27" t="s">
        <v>20</v>
      </c>
      <c r="B10" s="180" t="s">
        <v>13</v>
      </c>
      <c r="C10" s="180">
        <v>51217286</v>
      </c>
      <c r="D10" s="181" t="s">
        <v>21</v>
      </c>
      <c r="E10" s="180">
        <v>21000</v>
      </c>
      <c r="F10" s="21">
        <v>930.89459999999997</v>
      </c>
      <c r="G10" s="21">
        <v>934.01099999999997</v>
      </c>
      <c r="H10" s="18">
        <f t="shared" ref="H10:H15" si="0">(G10-F10)*E10</f>
        <v>65444.399999999972</v>
      </c>
      <c r="I10" s="19"/>
      <c r="J10" s="20"/>
    </row>
    <row r="11" spans="1:10" ht="15.75" x14ac:dyDescent="0.25">
      <c r="A11" s="27" t="s">
        <v>22</v>
      </c>
      <c r="B11" s="180" t="s">
        <v>13</v>
      </c>
      <c r="C11" s="180">
        <v>51217292</v>
      </c>
      <c r="D11" s="181" t="s">
        <v>21</v>
      </c>
      <c r="E11" s="180">
        <v>21000</v>
      </c>
      <c r="F11" s="28">
        <v>3.9864999999999999</v>
      </c>
      <c r="G11" s="28">
        <v>3.9927999999999999</v>
      </c>
      <c r="H11" s="18">
        <f>(G11-F11)*E11</f>
        <v>132.29999999999941</v>
      </c>
      <c r="I11" s="19"/>
      <c r="J11" s="20"/>
    </row>
    <row r="12" spans="1:10" ht="15.75" x14ac:dyDescent="0.25">
      <c r="A12" s="27" t="s">
        <v>23</v>
      </c>
      <c r="B12" s="180" t="s">
        <v>13</v>
      </c>
      <c r="C12" s="180">
        <v>51217271</v>
      </c>
      <c r="D12" s="181" t="s">
        <v>21</v>
      </c>
      <c r="E12" s="180">
        <v>21000</v>
      </c>
      <c r="F12" s="21">
        <v>700.66309999999999</v>
      </c>
      <c r="G12" s="21">
        <v>702.92639999999994</v>
      </c>
      <c r="H12" s="18">
        <f t="shared" si="0"/>
        <v>47529.299999999123</v>
      </c>
      <c r="I12" s="19"/>
      <c r="J12" s="20"/>
    </row>
    <row r="13" spans="1:10" ht="15.75" x14ac:dyDescent="0.25">
      <c r="A13" s="27" t="s">
        <v>24</v>
      </c>
      <c r="B13" s="180" t="s">
        <v>13</v>
      </c>
      <c r="C13" s="180">
        <v>51217276</v>
      </c>
      <c r="D13" s="181" t="s">
        <v>21</v>
      </c>
      <c r="E13" s="180">
        <v>21000</v>
      </c>
      <c r="F13" s="28">
        <v>0.62070000000000003</v>
      </c>
      <c r="G13" s="28">
        <v>0.62260000000000004</v>
      </c>
      <c r="H13" s="18">
        <f>(G13-F13)*E13</f>
        <v>39.900000000000269</v>
      </c>
      <c r="I13" s="19"/>
      <c r="J13" s="20"/>
    </row>
    <row r="14" spans="1:10" ht="15.75" x14ac:dyDescent="0.25">
      <c r="A14" s="27" t="s">
        <v>25</v>
      </c>
      <c r="B14" s="180" t="s">
        <v>13</v>
      </c>
      <c r="C14" s="180">
        <v>51100990</v>
      </c>
      <c r="D14" s="181" t="s">
        <v>21</v>
      </c>
      <c r="E14" s="180">
        <v>21000</v>
      </c>
      <c r="F14" s="29">
        <v>750.85320000000002</v>
      </c>
      <c r="G14" s="29">
        <v>753.65660000000003</v>
      </c>
      <c r="H14" s="18">
        <f t="shared" si="0"/>
        <v>58871.40000000022</v>
      </c>
      <c r="I14" s="19"/>
      <c r="J14" s="20"/>
    </row>
    <row r="15" spans="1:10" ht="15.75" x14ac:dyDescent="0.25">
      <c r="A15" s="27" t="s">
        <v>26</v>
      </c>
      <c r="B15" s="180" t="s">
        <v>13</v>
      </c>
      <c r="C15" s="180">
        <v>51097622</v>
      </c>
      <c r="D15" s="181" t="s">
        <v>21</v>
      </c>
      <c r="E15" s="180">
        <v>21000</v>
      </c>
      <c r="F15" s="21">
        <v>9.4074000000000009</v>
      </c>
      <c r="G15" s="21">
        <v>9.4156999999999993</v>
      </c>
      <c r="H15" s="18">
        <f t="shared" si="0"/>
        <v>174.29999999996681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80"/>
      <c r="D16" s="181"/>
      <c r="E16" s="180"/>
      <c r="F16" s="21"/>
      <c r="G16" s="21"/>
      <c r="H16" s="23">
        <f>H10+H11+H12+H13+H14+H15</f>
        <v>172191.59999999928</v>
      </c>
      <c r="I16" s="19"/>
      <c r="J16" s="20"/>
    </row>
    <row r="17" spans="1:10" ht="15.75" x14ac:dyDescent="0.25">
      <c r="A17" s="26" t="s">
        <v>29</v>
      </c>
      <c r="B17" s="180" t="s">
        <v>13</v>
      </c>
      <c r="C17" s="180">
        <v>51097617</v>
      </c>
      <c r="D17" s="181" t="s">
        <v>30</v>
      </c>
      <c r="E17" s="180">
        <v>18000</v>
      </c>
      <c r="F17" s="30">
        <v>927.05939999999998</v>
      </c>
      <c r="G17" s="30">
        <v>931.12440000000004</v>
      </c>
      <c r="H17" s="18">
        <f>(G17-F17)*E17</f>
        <v>73170.00000000099</v>
      </c>
      <c r="I17" s="19"/>
      <c r="J17" s="20"/>
    </row>
    <row r="18" spans="1:10" ht="15.75" x14ac:dyDescent="0.25">
      <c r="A18" s="26" t="s">
        <v>31</v>
      </c>
      <c r="B18" s="180" t="s">
        <v>13</v>
      </c>
      <c r="C18" s="180">
        <v>51097655</v>
      </c>
      <c r="D18" s="181" t="s">
        <v>30</v>
      </c>
      <c r="E18" s="180">
        <v>18000</v>
      </c>
      <c r="F18" s="30">
        <v>11.5421</v>
      </c>
      <c r="G18" s="30">
        <v>11.5421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80"/>
      <c r="D19" s="181"/>
      <c r="E19" s="180"/>
      <c r="F19" s="30"/>
      <c r="G19" s="30"/>
      <c r="H19" s="23">
        <f>H17+H18</f>
        <v>73170.00000000099</v>
      </c>
      <c r="I19" s="24">
        <f>H19-H34</f>
        <v>847.44000000113738</v>
      </c>
      <c r="J19" s="25">
        <f>I19/H19</f>
        <v>1.1581795817973568E-2</v>
      </c>
    </row>
    <row r="20" spans="1:10" ht="15.75" x14ac:dyDescent="0.25">
      <c r="A20" s="15" t="s">
        <v>33</v>
      </c>
      <c r="B20" s="180" t="s">
        <v>13</v>
      </c>
      <c r="C20" s="180">
        <v>51217282</v>
      </c>
      <c r="D20" s="181" t="s">
        <v>34</v>
      </c>
      <c r="E20" s="180">
        <v>4800</v>
      </c>
      <c r="F20" s="21">
        <v>402.9049</v>
      </c>
      <c r="G20" s="21">
        <v>409.26949999999999</v>
      </c>
      <c r="H20" s="18">
        <f t="shared" ref="H20:H33" si="1">(G20-F20)*E20</f>
        <v>30550.07999999998</v>
      </c>
      <c r="I20" s="19" t="s">
        <v>27</v>
      </c>
      <c r="J20" s="20"/>
    </row>
    <row r="21" spans="1:10" ht="15.75" x14ac:dyDescent="0.25">
      <c r="A21" s="15" t="s">
        <v>35</v>
      </c>
      <c r="B21" s="180" t="s">
        <v>13</v>
      </c>
      <c r="C21" s="180">
        <v>51217274</v>
      </c>
      <c r="D21" s="181" t="s">
        <v>34</v>
      </c>
      <c r="E21" s="180">
        <v>4800</v>
      </c>
      <c r="F21" s="21">
        <v>1427.4353000000001</v>
      </c>
      <c r="G21" s="21">
        <v>1428.0434</v>
      </c>
      <c r="H21" s="18">
        <f t="shared" si="1"/>
        <v>2918.8799999996263</v>
      </c>
      <c r="I21" s="19"/>
      <c r="J21" s="20"/>
    </row>
    <row r="22" spans="1:10" ht="15.75" x14ac:dyDescent="0.25">
      <c r="A22" s="15" t="s">
        <v>36</v>
      </c>
      <c r="B22" s="180" t="s">
        <v>13</v>
      </c>
      <c r="C22" s="180">
        <v>51097664</v>
      </c>
      <c r="D22" s="181" t="s">
        <v>37</v>
      </c>
      <c r="E22" s="180">
        <v>600</v>
      </c>
      <c r="F22" s="21">
        <v>4.4410999999999996</v>
      </c>
      <c r="G22" s="21">
        <v>4.4410999999999996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80" t="s">
        <v>13</v>
      </c>
      <c r="C23" s="180">
        <v>51097615</v>
      </c>
      <c r="D23" s="181" t="s">
        <v>37</v>
      </c>
      <c r="E23" s="180">
        <v>600</v>
      </c>
      <c r="F23" s="21">
        <v>49.049500000000002</v>
      </c>
      <c r="G23" s="21">
        <v>49.331299999999999</v>
      </c>
      <c r="H23" s="18">
        <f t="shared" si="1"/>
        <v>169.07999999999817</v>
      </c>
      <c r="I23" s="19"/>
      <c r="J23" s="20"/>
    </row>
    <row r="24" spans="1:10" ht="15.75" x14ac:dyDescent="0.25">
      <c r="A24" s="15" t="s">
        <v>39</v>
      </c>
      <c r="B24" s="180" t="s">
        <v>13</v>
      </c>
      <c r="C24" s="180">
        <v>51217264</v>
      </c>
      <c r="D24" s="181" t="s">
        <v>37</v>
      </c>
      <c r="E24" s="180">
        <v>600</v>
      </c>
      <c r="F24" s="21">
        <v>113.78619999999999</v>
      </c>
      <c r="G24" s="21">
        <v>114.3018</v>
      </c>
      <c r="H24" s="18">
        <f t="shared" si="1"/>
        <v>309.36000000000377</v>
      </c>
      <c r="I24" s="19"/>
      <c r="J24" s="20"/>
    </row>
    <row r="25" spans="1:10" ht="15.75" x14ac:dyDescent="0.25">
      <c r="A25" s="15" t="s">
        <v>40</v>
      </c>
      <c r="B25" s="180" t="s">
        <v>13</v>
      </c>
      <c r="C25" s="180">
        <v>51217288</v>
      </c>
      <c r="D25" s="181" t="s">
        <v>37</v>
      </c>
      <c r="E25" s="180">
        <v>600</v>
      </c>
      <c r="F25" s="21">
        <v>20.980899999999998</v>
      </c>
      <c r="G25" s="21">
        <v>21.011199999999999</v>
      </c>
      <c r="H25" s="18">
        <f t="shared" si="1"/>
        <v>18.180000000000263</v>
      </c>
      <c r="I25" s="19" t="s">
        <v>27</v>
      </c>
      <c r="J25" s="20"/>
    </row>
    <row r="26" spans="1:10" ht="15.75" x14ac:dyDescent="0.25">
      <c r="A26" s="15" t="s">
        <v>41</v>
      </c>
      <c r="B26" s="180" t="s">
        <v>13</v>
      </c>
      <c r="C26" s="180">
        <v>51217279</v>
      </c>
      <c r="D26" s="181" t="s">
        <v>37</v>
      </c>
      <c r="E26" s="180">
        <v>600</v>
      </c>
      <c r="F26" s="21">
        <v>16.182500000000001</v>
      </c>
      <c r="G26" s="21">
        <v>16.235199999999999</v>
      </c>
      <c r="H26" s="18">
        <f t="shared" si="1"/>
        <v>31.619999999998782</v>
      </c>
      <c r="I26" s="19" t="s">
        <v>27</v>
      </c>
      <c r="J26" s="20"/>
    </row>
    <row r="27" spans="1:10" ht="15.75" x14ac:dyDescent="0.25">
      <c r="A27" s="15" t="s">
        <v>42</v>
      </c>
      <c r="B27" s="180" t="s">
        <v>13</v>
      </c>
      <c r="C27" s="180">
        <v>51217272</v>
      </c>
      <c r="D27" s="181" t="s">
        <v>37</v>
      </c>
      <c r="E27" s="180">
        <v>600</v>
      </c>
      <c r="F27" s="31">
        <v>15.8718</v>
      </c>
      <c r="G27" s="31">
        <v>15.923400000000001</v>
      </c>
      <c r="H27" s="18">
        <f t="shared" si="1"/>
        <v>30.960000000000321</v>
      </c>
      <c r="I27" s="19"/>
      <c r="J27" s="20"/>
    </row>
    <row r="28" spans="1:10" ht="15.75" x14ac:dyDescent="0.25">
      <c r="A28" s="15" t="s">
        <v>43</v>
      </c>
      <c r="B28" s="180" t="s">
        <v>13</v>
      </c>
      <c r="C28" s="180">
        <v>51616744</v>
      </c>
      <c r="D28" s="181">
        <f>300/5</f>
        <v>60</v>
      </c>
      <c r="E28" s="180">
        <v>3600</v>
      </c>
      <c r="F28" s="31">
        <v>109.78489999999999</v>
      </c>
      <c r="G28" s="31">
        <v>109.78489999999999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80" t="s">
        <v>13</v>
      </c>
      <c r="C29" s="180">
        <v>51555226</v>
      </c>
      <c r="D29" s="181">
        <f>300/5</f>
        <v>60</v>
      </c>
      <c r="E29" s="180">
        <v>3600</v>
      </c>
      <c r="F29" s="31">
        <v>579.8578</v>
      </c>
      <c r="G29" s="31">
        <v>582.97940000000006</v>
      </c>
      <c r="H29" s="18">
        <f>(G29-F29)*E29</f>
        <v>11237.760000000208</v>
      </c>
      <c r="I29" s="19"/>
      <c r="J29" s="20"/>
    </row>
    <row r="30" spans="1:10" ht="15.75" x14ac:dyDescent="0.25">
      <c r="A30" s="15" t="s">
        <v>45</v>
      </c>
      <c r="B30" s="180" t="s">
        <v>13</v>
      </c>
      <c r="C30" s="180">
        <v>51097658</v>
      </c>
      <c r="D30" s="181" t="s">
        <v>34</v>
      </c>
      <c r="E30" s="180">
        <v>4800</v>
      </c>
      <c r="F30" s="31">
        <v>727.06060000000002</v>
      </c>
      <c r="G30" s="31">
        <v>730.39440000000002</v>
      </c>
      <c r="H30" s="18">
        <f t="shared" si="1"/>
        <v>16002.239999999983</v>
      </c>
      <c r="I30" s="19"/>
      <c r="J30" s="20"/>
    </row>
    <row r="31" spans="1:10" ht="15.75" x14ac:dyDescent="0.25">
      <c r="A31" s="15" t="s">
        <v>46</v>
      </c>
      <c r="B31" s="180" t="s">
        <v>13</v>
      </c>
      <c r="C31" s="180">
        <v>51097635</v>
      </c>
      <c r="D31" s="181" t="s">
        <v>34</v>
      </c>
      <c r="E31" s="180">
        <v>4800</v>
      </c>
      <c r="F31" s="31">
        <v>48.494</v>
      </c>
      <c r="G31" s="31">
        <v>48.496699999999997</v>
      </c>
      <c r="H31" s="18">
        <f t="shared" si="1"/>
        <v>12.959999999986849</v>
      </c>
      <c r="I31" s="19"/>
      <c r="J31" s="20"/>
    </row>
    <row r="32" spans="1:10" ht="15.75" x14ac:dyDescent="0.25">
      <c r="A32" s="15" t="s">
        <v>47</v>
      </c>
      <c r="B32" s="180" t="s">
        <v>13</v>
      </c>
      <c r="C32" s="32">
        <v>51097633</v>
      </c>
      <c r="D32" s="181" t="s">
        <v>34</v>
      </c>
      <c r="E32" s="180">
        <v>4800</v>
      </c>
      <c r="F32" s="31">
        <v>221.7097</v>
      </c>
      <c r="G32" s="31">
        <v>223.98500000000001</v>
      </c>
      <c r="H32" s="33">
        <f t="shared" si="1"/>
        <v>10921.440000000075</v>
      </c>
      <c r="I32" s="34"/>
      <c r="J32" s="35"/>
    </row>
    <row r="33" spans="1:10" ht="15.75" x14ac:dyDescent="0.25">
      <c r="A33" s="15" t="s">
        <v>48</v>
      </c>
      <c r="B33" s="180" t="s">
        <v>13</v>
      </c>
      <c r="C33" s="32">
        <v>51097662</v>
      </c>
      <c r="D33" s="181" t="s">
        <v>34</v>
      </c>
      <c r="E33" s="180">
        <v>4800</v>
      </c>
      <c r="F33" s="31">
        <v>4.4890999999999996</v>
      </c>
      <c r="G33" s="31">
        <v>4.5141</v>
      </c>
      <c r="H33" s="33">
        <f t="shared" si="1"/>
        <v>120.00000000000171</v>
      </c>
      <c r="I33" s="34"/>
      <c r="J33" s="35"/>
    </row>
    <row r="34" spans="1:10" ht="15.75" x14ac:dyDescent="0.25">
      <c r="A34" s="218" t="s">
        <v>49</v>
      </c>
      <c r="B34" s="219"/>
      <c r="C34" s="180"/>
      <c r="D34" s="181"/>
      <c r="E34" s="180"/>
      <c r="F34" s="36"/>
      <c r="G34" s="36"/>
      <c r="H34" s="23">
        <f>H20+H21+H22+H23+H24+H25+H26+H27+H28+H29+H30+H31+H32+H33</f>
        <v>72322.559999999852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80" t="s">
        <v>52</v>
      </c>
      <c r="C36" s="180">
        <v>51555209</v>
      </c>
      <c r="D36" s="181" t="s">
        <v>53</v>
      </c>
      <c r="E36" s="180">
        <v>7000</v>
      </c>
      <c r="F36" s="17">
        <v>6.2549000000000001</v>
      </c>
      <c r="G36" s="17">
        <v>6.2695999999999996</v>
      </c>
      <c r="H36" s="41">
        <f>(G36-F36)*E36</f>
        <v>102.89999999999644</v>
      </c>
      <c r="I36" s="42"/>
      <c r="J36" s="14"/>
    </row>
    <row r="37" spans="1:10" ht="15.75" x14ac:dyDescent="0.25">
      <c r="A37" s="15" t="s">
        <v>54</v>
      </c>
      <c r="B37" s="180" t="s">
        <v>52</v>
      </c>
      <c r="C37" s="180">
        <v>51555209</v>
      </c>
      <c r="D37" s="181" t="s">
        <v>53</v>
      </c>
      <c r="E37" s="180">
        <v>7000</v>
      </c>
      <c r="F37" s="21">
        <v>11.1699</v>
      </c>
      <c r="G37" s="21">
        <v>11.2202</v>
      </c>
      <c r="H37" s="18">
        <f>(G37-F37)*E37</f>
        <v>352.10000000000008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80" t="s">
        <v>52</v>
      </c>
      <c r="C39" s="180">
        <v>51097674</v>
      </c>
      <c r="D39" s="180" t="s">
        <v>14</v>
      </c>
      <c r="E39" s="180">
        <v>7200</v>
      </c>
      <c r="F39" s="21">
        <v>639.39769999999999</v>
      </c>
      <c r="G39" s="21">
        <v>641.61210000000005</v>
      </c>
      <c r="H39" s="18">
        <f>(G39-F39)*E39</f>
        <v>15943.680000000495</v>
      </c>
      <c r="I39" s="47"/>
      <c r="J39" s="20"/>
    </row>
    <row r="40" spans="1:10" ht="15.75" x14ac:dyDescent="0.25">
      <c r="A40" s="27" t="s">
        <v>57</v>
      </c>
      <c r="B40" s="180" t="s">
        <v>52</v>
      </c>
      <c r="C40" s="180">
        <v>51259257</v>
      </c>
      <c r="D40" s="180" t="s">
        <v>14</v>
      </c>
      <c r="E40" s="180">
        <v>7200</v>
      </c>
      <c r="F40" s="21">
        <v>1.0555000000000001</v>
      </c>
      <c r="G40" s="21">
        <v>1.0555000000000001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80"/>
      <c r="C41" s="180"/>
      <c r="D41" s="180"/>
      <c r="E41" s="180"/>
      <c r="F41" s="21"/>
      <c r="G41" s="21"/>
      <c r="H41" s="48">
        <f>H39+H40</f>
        <v>15943.680000000495</v>
      </c>
      <c r="I41" s="24">
        <f>H41-H49</f>
        <v>-115.15999999960331</v>
      </c>
      <c r="J41" s="25">
        <f>I41/H41</f>
        <v>-7.2229246949010355E-3</v>
      </c>
    </row>
    <row r="42" spans="1:10" ht="15.75" x14ac:dyDescent="0.25">
      <c r="A42" s="15" t="s">
        <v>59</v>
      </c>
      <c r="B42" s="180"/>
      <c r="C42" s="180"/>
      <c r="D42" s="181"/>
      <c r="E42" s="180"/>
      <c r="H42" s="18"/>
      <c r="I42" s="43"/>
      <c r="J42" s="20"/>
    </row>
    <row r="43" spans="1:10" ht="15.75" x14ac:dyDescent="0.25">
      <c r="A43" s="27" t="s">
        <v>60</v>
      </c>
      <c r="B43" s="180" t="s">
        <v>52</v>
      </c>
      <c r="C43" s="32">
        <v>51097648</v>
      </c>
      <c r="D43" s="180" t="s">
        <v>53</v>
      </c>
      <c r="E43" s="180">
        <v>1200</v>
      </c>
      <c r="F43" s="21">
        <v>523.02009999999996</v>
      </c>
      <c r="G43" s="21">
        <v>524.83699999999999</v>
      </c>
      <c r="H43" s="33">
        <f>(G43-F43)*E43</f>
        <v>2180.2800000000389</v>
      </c>
      <c r="I43" s="43"/>
      <c r="J43" s="20"/>
    </row>
    <row r="44" spans="1:10" ht="15.75" x14ac:dyDescent="0.25">
      <c r="A44" s="27" t="s">
        <v>61</v>
      </c>
      <c r="B44" s="180" t="s">
        <v>52</v>
      </c>
      <c r="C44" s="32">
        <v>50555043</v>
      </c>
      <c r="D44" s="180" t="s">
        <v>53</v>
      </c>
      <c r="E44" s="180">
        <v>1200</v>
      </c>
      <c r="F44" s="21">
        <v>2188.9007000000001</v>
      </c>
      <c r="G44" s="21">
        <v>2196.6233000000002</v>
      </c>
      <c r="H44" s="33">
        <f>(G44-F44)*E44</f>
        <v>9267.1200000000681</v>
      </c>
      <c r="I44" s="43"/>
      <c r="J44" s="20"/>
    </row>
    <row r="45" spans="1:10" ht="15.75" x14ac:dyDescent="0.25">
      <c r="A45" s="27" t="s">
        <v>62</v>
      </c>
      <c r="B45" s="180" t="s">
        <v>52</v>
      </c>
      <c r="C45" s="32">
        <v>51259336</v>
      </c>
      <c r="D45" s="180" t="s">
        <v>63</v>
      </c>
      <c r="E45" s="180">
        <v>2400</v>
      </c>
      <c r="F45" s="21">
        <v>4.3933</v>
      </c>
      <c r="G45" s="21">
        <v>4.4067999999999996</v>
      </c>
      <c r="H45" s="33">
        <f>(G45-F45)*E45</f>
        <v>32.399999999999096</v>
      </c>
      <c r="I45" s="43"/>
      <c r="J45" s="20"/>
    </row>
    <row r="46" spans="1:10" ht="15.75" x14ac:dyDescent="0.25">
      <c r="A46" s="27" t="s">
        <v>64</v>
      </c>
      <c r="B46" s="180" t="s">
        <v>52</v>
      </c>
      <c r="C46" s="32">
        <v>51259266</v>
      </c>
      <c r="D46" s="180" t="s">
        <v>53</v>
      </c>
      <c r="E46" s="180">
        <v>1200</v>
      </c>
      <c r="F46" s="21">
        <v>1062.5536</v>
      </c>
      <c r="G46" s="21">
        <v>1066.0165</v>
      </c>
      <c r="H46" s="33">
        <f>(G46-F46)*E46</f>
        <v>4155.4799999999886</v>
      </c>
      <c r="I46" s="43"/>
      <c r="J46" s="20"/>
    </row>
    <row r="47" spans="1:10" ht="15.75" x14ac:dyDescent="0.25">
      <c r="A47" s="27" t="s">
        <v>65</v>
      </c>
      <c r="B47" s="180" t="s">
        <v>52</v>
      </c>
      <c r="C47" s="32">
        <v>51431336</v>
      </c>
      <c r="D47" s="180" t="s">
        <v>53</v>
      </c>
      <c r="E47" s="180">
        <v>1200</v>
      </c>
      <c r="F47" s="21">
        <v>64.595399999999998</v>
      </c>
      <c r="G47" s="21">
        <v>64.906700000000001</v>
      </c>
      <c r="H47" s="33">
        <f>(G47-F47)*E47</f>
        <v>373.56000000000336</v>
      </c>
      <c r="I47" s="43"/>
      <c r="J47" s="20"/>
    </row>
    <row r="48" spans="1:10" ht="15.75" x14ac:dyDescent="0.25">
      <c r="A48" s="15" t="s">
        <v>66</v>
      </c>
      <c r="B48" s="180" t="s">
        <v>67</v>
      </c>
      <c r="C48" s="180">
        <v>49174</v>
      </c>
      <c r="D48" s="181" t="s">
        <v>53</v>
      </c>
      <c r="E48" s="180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16058.840000000098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80" t="s">
        <v>52</v>
      </c>
      <c r="C51" s="180">
        <v>51097603</v>
      </c>
      <c r="D51" s="181" t="s">
        <v>53</v>
      </c>
      <c r="E51" s="180">
        <v>7000</v>
      </c>
      <c r="F51" s="17">
        <v>2076.4690999999998</v>
      </c>
      <c r="G51" s="17">
        <v>2083.3515000000002</v>
      </c>
      <c r="H51" s="18">
        <f>(G51-F51)*E51</f>
        <v>48176.800000002913</v>
      </c>
      <c r="I51" s="43"/>
      <c r="J51" s="20"/>
    </row>
    <row r="52" spans="1:10" ht="15.75" x14ac:dyDescent="0.25">
      <c r="A52" s="27" t="s">
        <v>72</v>
      </c>
      <c r="B52" s="180" t="s">
        <v>52</v>
      </c>
      <c r="C52" s="180">
        <v>51097590</v>
      </c>
      <c r="D52" s="181" t="s">
        <v>53</v>
      </c>
      <c r="E52" s="180">
        <v>7000</v>
      </c>
      <c r="F52" s="21">
        <v>13.110900000000001</v>
      </c>
      <c r="G52" s="21">
        <v>13.135199999999999</v>
      </c>
      <c r="H52" s="18">
        <f>(G52-F52)*E52</f>
        <v>170.09999999998905</v>
      </c>
      <c r="I52" s="43"/>
      <c r="J52" s="20"/>
    </row>
    <row r="53" spans="1:10" ht="15.75" x14ac:dyDescent="0.25">
      <c r="A53" s="15" t="s">
        <v>66</v>
      </c>
      <c r="B53" s="180" t="s">
        <v>67</v>
      </c>
      <c r="C53" s="180">
        <v>49174</v>
      </c>
      <c r="D53" s="181" t="s">
        <v>53</v>
      </c>
      <c r="E53" s="180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80"/>
      <c r="D54" s="181"/>
      <c r="E54" s="180"/>
      <c r="F54" s="21"/>
      <c r="G54" s="21"/>
      <c r="H54" s="48">
        <f>H51+H52+H53</f>
        <v>48446.900000002905</v>
      </c>
      <c r="I54" s="47"/>
      <c r="J54" s="59"/>
    </row>
    <row r="55" spans="1:10" ht="15.75" x14ac:dyDescent="0.25">
      <c r="A55" s="27" t="s">
        <v>74</v>
      </c>
      <c r="B55" s="180" t="s">
        <v>52</v>
      </c>
      <c r="C55" s="180">
        <v>51100980</v>
      </c>
      <c r="D55" s="180" t="s">
        <v>75</v>
      </c>
      <c r="E55" s="180">
        <v>12000</v>
      </c>
      <c r="F55" s="21">
        <v>1221.3648000000001</v>
      </c>
      <c r="G55" s="21">
        <v>1225.3893</v>
      </c>
      <c r="H55" s="18">
        <f>(G55-F55)*E55</f>
        <v>48293.999999999869</v>
      </c>
      <c r="I55" s="47"/>
      <c r="J55" s="58"/>
    </row>
    <row r="56" spans="1:10" ht="15.75" x14ac:dyDescent="0.25">
      <c r="A56" s="27" t="s">
        <v>76</v>
      </c>
      <c r="B56" s="180" t="s">
        <v>52</v>
      </c>
      <c r="C56" s="180">
        <v>51097623</v>
      </c>
      <c r="D56" s="180" t="s">
        <v>75</v>
      </c>
      <c r="E56" s="180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80"/>
      <c r="C57" s="180"/>
      <c r="D57" s="180"/>
      <c r="E57" s="180"/>
      <c r="F57" s="21"/>
      <c r="G57" s="21"/>
      <c r="H57" s="48">
        <f>H55+H56</f>
        <v>48293.999999999869</v>
      </c>
      <c r="I57" s="61">
        <f>H54-H64-H53</f>
        <v>-76.099999995960388</v>
      </c>
      <c r="J57" s="25">
        <f>I57/H57</f>
        <v>-1.5757651053124734E-3</v>
      </c>
    </row>
    <row r="58" spans="1:10" ht="15.75" x14ac:dyDescent="0.25">
      <c r="A58" s="27" t="s">
        <v>78</v>
      </c>
      <c r="B58" s="180" t="s">
        <v>52</v>
      </c>
      <c r="C58" s="180">
        <v>51097675</v>
      </c>
      <c r="D58" s="180" t="s">
        <v>34</v>
      </c>
      <c r="E58" s="180">
        <v>4800</v>
      </c>
      <c r="F58" s="21">
        <v>567.99990000000003</v>
      </c>
      <c r="G58" s="21">
        <v>570.31309999999996</v>
      </c>
      <c r="H58" s="18">
        <f t="shared" ref="H58:H63" si="2">(G58-F58)*E58</f>
        <v>11103.359999999702</v>
      </c>
      <c r="I58" s="62"/>
      <c r="J58" s="59"/>
    </row>
    <row r="59" spans="1:10" ht="15.75" x14ac:dyDescent="0.25">
      <c r="A59" s="27" t="s">
        <v>79</v>
      </c>
      <c r="B59" s="180" t="s">
        <v>52</v>
      </c>
      <c r="C59" s="180">
        <v>51100997</v>
      </c>
      <c r="D59" s="180" t="s">
        <v>21</v>
      </c>
      <c r="E59" s="180">
        <v>3600</v>
      </c>
      <c r="F59" s="21">
        <v>1433.8130000000001</v>
      </c>
      <c r="G59" s="21">
        <v>1436.3391999999999</v>
      </c>
      <c r="H59" s="18">
        <f t="shared" si="2"/>
        <v>9094.319999999243</v>
      </c>
      <c r="I59" s="62"/>
      <c r="J59" s="59"/>
    </row>
    <row r="60" spans="1:10" ht="15.75" x14ac:dyDescent="0.25">
      <c r="A60" s="27" t="s">
        <v>80</v>
      </c>
      <c r="B60" s="180" t="s">
        <v>52</v>
      </c>
      <c r="C60" s="180">
        <v>51555218</v>
      </c>
      <c r="D60" s="180">
        <f>400/5</f>
        <v>80</v>
      </c>
      <c r="E60" s="180">
        <v>4800</v>
      </c>
      <c r="F60" s="21">
        <v>73.857799999999997</v>
      </c>
      <c r="G60" s="21">
        <v>74.226100000000002</v>
      </c>
      <c r="H60" s="18">
        <f t="shared" si="2"/>
        <v>1767.8400000000238</v>
      </c>
      <c r="I60" s="62"/>
      <c r="J60" s="59"/>
    </row>
    <row r="61" spans="1:10" ht="15.75" x14ac:dyDescent="0.25">
      <c r="A61" s="27" t="s">
        <v>81</v>
      </c>
      <c r="B61" s="180" t="s">
        <v>52</v>
      </c>
      <c r="C61" s="180">
        <v>51555151</v>
      </c>
      <c r="D61" s="180">
        <f>400/5</f>
        <v>80</v>
      </c>
      <c r="E61" s="180">
        <v>4800</v>
      </c>
      <c r="F61" s="63">
        <v>0.30690000000000001</v>
      </c>
      <c r="G61" s="63">
        <v>0.30690000000000001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80" t="s">
        <v>52</v>
      </c>
      <c r="C62" s="180">
        <v>51097599</v>
      </c>
      <c r="D62" s="180" t="s">
        <v>21</v>
      </c>
      <c r="E62" s="180">
        <v>3600</v>
      </c>
      <c r="F62" s="21">
        <v>1013.5776</v>
      </c>
      <c r="G62" s="21">
        <v>1017.1061</v>
      </c>
      <c r="H62" s="18">
        <f t="shared" si="2"/>
        <v>12702.600000000029</v>
      </c>
      <c r="I62" s="62"/>
      <c r="J62" s="59"/>
    </row>
    <row r="63" spans="1:10" ht="15.75" x14ac:dyDescent="0.25">
      <c r="A63" s="27" t="s">
        <v>83</v>
      </c>
      <c r="B63" s="180" t="s">
        <v>52</v>
      </c>
      <c r="C63" s="180">
        <v>51097620</v>
      </c>
      <c r="D63" s="180" t="s">
        <v>34</v>
      </c>
      <c r="E63" s="180">
        <v>4800</v>
      </c>
      <c r="F63" s="21">
        <v>565.98</v>
      </c>
      <c r="G63" s="21">
        <v>568.84559999999999</v>
      </c>
      <c r="H63" s="18">
        <f t="shared" si="2"/>
        <v>13754.879999999866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48422.999999998865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80" t="s">
        <v>52</v>
      </c>
      <c r="C66" s="9">
        <v>51259238</v>
      </c>
      <c r="D66" s="74" t="s">
        <v>53</v>
      </c>
      <c r="E66" s="74">
        <v>7000</v>
      </c>
      <c r="F66" s="75">
        <v>610.02470000000005</v>
      </c>
      <c r="G66" s="75">
        <v>612.38819999999998</v>
      </c>
      <c r="H66" s="76">
        <f>(G66-F66)*E66</f>
        <v>16544.499999999516</v>
      </c>
      <c r="I66" s="77"/>
      <c r="J66" s="78"/>
    </row>
    <row r="67" spans="1:10" ht="15.75" x14ac:dyDescent="0.25">
      <c r="A67" s="27" t="s">
        <v>86</v>
      </c>
      <c r="B67" s="180" t="s">
        <v>52</v>
      </c>
      <c r="C67" s="180">
        <v>51259324</v>
      </c>
      <c r="D67" s="181" t="s">
        <v>53</v>
      </c>
      <c r="E67" s="181">
        <v>7000</v>
      </c>
      <c r="F67" s="21">
        <v>471.5496</v>
      </c>
      <c r="G67" s="21">
        <v>473.36630000000002</v>
      </c>
      <c r="H67" s="18">
        <f>(G67-F67)*E67</f>
        <v>12716.90000000018</v>
      </c>
      <c r="I67" s="51"/>
      <c r="J67" s="58"/>
    </row>
    <row r="68" spans="1:10" s="129" customFormat="1" ht="15.75" x14ac:dyDescent="0.25">
      <c r="A68" s="27" t="s">
        <v>87</v>
      </c>
      <c r="B68" s="79" t="s">
        <v>88</v>
      </c>
      <c r="C68" s="180">
        <v>51491618</v>
      </c>
      <c r="D68" s="181" t="s">
        <v>63</v>
      </c>
      <c r="E68" s="180">
        <v>40</v>
      </c>
      <c r="F68" s="28">
        <v>1426.0585000000001</v>
      </c>
      <c r="G68" s="28">
        <v>1432.1465000000001</v>
      </c>
      <c r="H68" s="18">
        <f>(G68-F68)*E68</f>
        <v>243.51999999999862</v>
      </c>
      <c r="I68" s="51"/>
      <c r="J68" s="58"/>
    </row>
    <row r="69" spans="1:10" s="129" customFormat="1" ht="15.75" x14ac:dyDescent="0.25">
      <c r="A69" s="27" t="s">
        <v>89</v>
      </c>
      <c r="B69" s="79" t="s">
        <v>88</v>
      </c>
      <c r="C69" s="180">
        <v>51491624</v>
      </c>
      <c r="D69" s="181" t="s">
        <v>63</v>
      </c>
      <c r="E69" s="180">
        <v>40</v>
      </c>
      <c r="F69" s="28">
        <v>187.5575</v>
      </c>
      <c r="G69" s="28">
        <v>187.97049999999999</v>
      </c>
      <c r="H69" s="18">
        <f>(G69-F69)*E69</f>
        <v>16.5199999999993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29261.399999999696</v>
      </c>
      <c r="I70" s="85">
        <f>H70-H73-H68-H69</f>
        <v>-936.24000000027877</v>
      </c>
      <c r="J70" s="25">
        <f>I70/H70</f>
        <v>-3.1995734995601322E-2</v>
      </c>
    </row>
    <row r="71" spans="1:10" ht="15.75" x14ac:dyDescent="0.25">
      <c r="A71" s="27" t="s">
        <v>91</v>
      </c>
      <c r="B71" s="180" t="s">
        <v>52</v>
      </c>
      <c r="C71" s="86">
        <v>51097588</v>
      </c>
      <c r="D71" s="181" t="s">
        <v>75</v>
      </c>
      <c r="E71" s="180">
        <v>12000</v>
      </c>
      <c r="F71" s="21">
        <v>364.16590000000002</v>
      </c>
      <c r="G71" s="21">
        <v>365.52480000000003</v>
      </c>
      <c r="H71" s="18">
        <f>(G71-F71)*E71</f>
        <v>16306.800000000067</v>
      </c>
      <c r="I71" s="51"/>
      <c r="J71" s="58"/>
    </row>
    <row r="72" spans="1:10" ht="15.75" x14ac:dyDescent="0.25">
      <c r="A72" s="27" t="s">
        <v>92</v>
      </c>
      <c r="B72" s="180" t="s">
        <v>52</v>
      </c>
      <c r="C72" s="86">
        <v>51431335</v>
      </c>
      <c r="D72" s="181" t="s">
        <v>75</v>
      </c>
      <c r="E72" s="180">
        <v>12000</v>
      </c>
      <c r="F72" s="21">
        <v>287.72160000000002</v>
      </c>
      <c r="G72" s="21">
        <v>288.85750000000002</v>
      </c>
      <c r="H72" s="18">
        <f>(G72-F72)*E72</f>
        <v>13630.799999999908</v>
      </c>
      <c r="I72" s="51"/>
      <c r="J72" s="58"/>
    </row>
    <row r="73" spans="1:10" ht="15.75" x14ac:dyDescent="0.25">
      <c r="A73" s="87" t="s">
        <v>93</v>
      </c>
      <c r="B73" s="180" t="s">
        <v>27</v>
      </c>
      <c r="C73" s="180"/>
      <c r="D73" s="181"/>
      <c r="E73" s="180"/>
      <c r="F73" s="21"/>
      <c r="G73" s="21"/>
      <c r="H73" s="48">
        <f>H71+ H72</f>
        <v>29937.599999999977</v>
      </c>
      <c r="I73" s="85">
        <f>H73-H81</f>
        <v>-54.479999999857682</v>
      </c>
      <c r="J73" s="25">
        <f>I73/H73</f>
        <v>-1.8197851531137341E-3</v>
      </c>
    </row>
    <row r="74" spans="1:10" ht="15.75" x14ac:dyDescent="0.25">
      <c r="A74" s="27" t="s">
        <v>94</v>
      </c>
      <c r="B74" s="180" t="s">
        <v>52</v>
      </c>
      <c r="C74" s="86">
        <v>51097676</v>
      </c>
      <c r="D74" s="88" t="s">
        <v>63</v>
      </c>
      <c r="E74" s="180">
        <v>2400</v>
      </c>
      <c r="F74" s="21">
        <v>763.66539999999998</v>
      </c>
      <c r="G74" s="21">
        <v>766.47400000000005</v>
      </c>
      <c r="H74" s="18">
        <f>(G74-F74)*E74</f>
        <v>6740.6400000001668</v>
      </c>
      <c r="I74" s="51"/>
      <c r="J74" s="58"/>
    </row>
    <row r="75" spans="1:10" ht="15.75" x14ac:dyDescent="0.25">
      <c r="A75" s="27" t="s">
        <v>95</v>
      </c>
      <c r="B75" s="180" t="s">
        <v>52</v>
      </c>
      <c r="C75" s="86">
        <v>51431355</v>
      </c>
      <c r="D75" s="181" t="s">
        <v>21</v>
      </c>
      <c r="E75" s="181">
        <v>3600</v>
      </c>
      <c r="F75" s="21">
        <v>392.41070000000002</v>
      </c>
      <c r="G75" s="21">
        <v>393.71350000000001</v>
      </c>
      <c r="H75" s="18">
        <f>(G75-F75)*E75</f>
        <v>4690.0799999999663</v>
      </c>
      <c r="I75" s="51"/>
      <c r="J75" s="52"/>
    </row>
    <row r="76" spans="1:10" ht="15.75" x14ac:dyDescent="0.25">
      <c r="A76" s="27" t="s">
        <v>96</v>
      </c>
      <c r="B76" s="180" t="s">
        <v>52</v>
      </c>
      <c r="C76" s="86">
        <v>51259331</v>
      </c>
      <c r="D76" s="88" t="s">
        <v>37</v>
      </c>
      <c r="E76" s="180">
        <v>600</v>
      </c>
      <c r="F76" s="21">
        <v>181.27789999999999</v>
      </c>
      <c r="G76" s="21">
        <v>181.9615</v>
      </c>
      <c r="H76" s="18">
        <f>(G76-F76)*E76</f>
        <v>410.16000000000759</v>
      </c>
      <c r="I76" s="51"/>
      <c r="J76" s="52"/>
    </row>
    <row r="77" spans="1:10" ht="15.75" x14ac:dyDescent="0.25">
      <c r="A77" s="27" t="s">
        <v>97</v>
      </c>
      <c r="B77" s="180" t="s">
        <v>52</v>
      </c>
      <c r="C77" s="86">
        <v>51259326</v>
      </c>
      <c r="D77" s="88" t="s">
        <v>14</v>
      </c>
      <c r="E77" s="180">
        <v>7200</v>
      </c>
      <c r="F77" s="21">
        <v>359.52080000000001</v>
      </c>
      <c r="G77" s="21">
        <v>360.85579999999999</v>
      </c>
      <c r="H77" s="18">
        <f>(G77-F77)*E77</f>
        <v>9611.9999999998527</v>
      </c>
      <c r="I77" s="51"/>
      <c r="J77" s="52"/>
    </row>
    <row r="78" spans="1:10" ht="15.75" x14ac:dyDescent="0.25">
      <c r="A78" s="27" t="s">
        <v>98</v>
      </c>
      <c r="B78" s="180" t="s">
        <v>52</v>
      </c>
      <c r="C78" s="86">
        <v>51431351</v>
      </c>
      <c r="D78" s="88" t="s">
        <v>14</v>
      </c>
      <c r="E78" s="180">
        <v>7200</v>
      </c>
      <c r="F78" s="21">
        <v>263.13720000000001</v>
      </c>
      <c r="G78" s="21">
        <v>264.32319999999999</v>
      </c>
      <c r="H78" s="18">
        <f>(G78-F78)*E78</f>
        <v>8539.1999999998461</v>
      </c>
      <c r="I78" s="51"/>
      <c r="J78" s="52"/>
    </row>
    <row r="79" spans="1:10" ht="15.75" x14ac:dyDescent="0.25">
      <c r="A79" s="89" t="s">
        <v>99</v>
      </c>
      <c r="B79" s="180" t="s">
        <v>52</v>
      </c>
      <c r="C79" s="90">
        <v>51097666</v>
      </c>
      <c r="D79" s="88" t="s">
        <v>63</v>
      </c>
      <c r="E79" s="180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80" t="s">
        <v>52</v>
      </c>
      <c r="C80" s="90">
        <v>51259323</v>
      </c>
      <c r="D80" s="88" t="s">
        <v>63</v>
      </c>
      <c r="E80" s="180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29992.079999999834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80" t="s">
        <v>52</v>
      </c>
      <c r="C83" s="106">
        <v>51431297</v>
      </c>
      <c r="D83" s="181" t="s">
        <v>53</v>
      </c>
      <c r="E83" s="100">
        <v>7000</v>
      </c>
      <c r="F83" s="17">
        <v>327.88760000000002</v>
      </c>
      <c r="G83" s="17">
        <v>328.72640000000001</v>
      </c>
      <c r="H83" s="18">
        <f>(G83-F83)*E83</f>
        <v>5871.599999999944</v>
      </c>
      <c r="I83" s="107"/>
      <c r="J83" s="108"/>
    </row>
    <row r="84" spans="1:10" ht="15.75" x14ac:dyDescent="0.25">
      <c r="A84" s="105" t="s">
        <v>86</v>
      </c>
      <c r="B84" s="180" t="s">
        <v>52</v>
      </c>
      <c r="C84" s="106">
        <v>51431332</v>
      </c>
      <c r="D84" s="181" t="s">
        <v>53</v>
      </c>
      <c r="E84" s="100">
        <v>7000</v>
      </c>
      <c r="F84" s="17">
        <v>361.03590000000003</v>
      </c>
      <c r="G84" s="17">
        <v>362.74380000000002</v>
      </c>
      <c r="H84" s="18">
        <f>(G84-F84)*E84</f>
        <v>11955.299999999967</v>
      </c>
      <c r="I84" s="180"/>
      <c r="J84" s="58"/>
    </row>
    <row r="85" spans="1:10" s="129" customFormat="1" ht="15.75" x14ac:dyDescent="0.25">
      <c r="A85" s="27" t="s">
        <v>87</v>
      </c>
      <c r="B85" s="180" t="s">
        <v>103</v>
      </c>
      <c r="C85" s="109">
        <v>150773</v>
      </c>
      <c r="D85" s="181" t="s">
        <v>53</v>
      </c>
      <c r="E85" s="109">
        <v>20</v>
      </c>
      <c r="F85" s="17">
        <v>15778.8</v>
      </c>
      <c r="G85" s="17">
        <v>15784.9</v>
      </c>
      <c r="H85" s="18">
        <f>(G85-F85)*E85</f>
        <v>122.00000000000728</v>
      </c>
      <c r="I85" s="51"/>
      <c r="J85" s="58"/>
    </row>
    <row r="86" spans="1:10" s="129" customFormat="1" ht="15.75" x14ac:dyDescent="0.25">
      <c r="A86" s="27" t="s">
        <v>89</v>
      </c>
      <c r="B86" s="180" t="s">
        <v>103</v>
      </c>
      <c r="C86" s="109">
        <v>150791</v>
      </c>
      <c r="D86" s="181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82"/>
      <c r="C87" s="32"/>
      <c r="D87" s="82"/>
      <c r="E87" s="82"/>
      <c r="F87" s="21"/>
      <c r="G87" s="21"/>
      <c r="H87" s="48">
        <f>H83+H84</f>
        <v>17826.899999999911</v>
      </c>
      <c r="I87" s="85">
        <f>H87-H90-H85-H86</f>
        <v>377.85999999986961</v>
      </c>
      <c r="J87" s="25">
        <f>I87/H87</f>
        <v>2.1196057643217359E-2</v>
      </c>
    </row>
    <row r="88" spans="1:10" ht="15.75" x14ac:dyDescent="0.25">
      <c r="A88" s="27" t="s">
        <v>104</v>
      </c>
      <c r="B88" s="180" t="s">
        <v>52</v>
      </c>
      <c r="C88" s="106">
        <v>51431342</v>
      </c>
      <c r="D88" s="88" t="s">
        <v>34</v>
      </c>
      <c r="E88" s="180">
        <v>4800</v>
      </c>
      <c r="F88" s="21">
        <v>466.57190000000003</v>
      </c>
      <c r="G88" s="21">
        <v>467.7663</v>
      </c>
      <c r="H88" s="18">
        <f>(G88-F88)*E88</f>
        <v>5733.1199999998717</v>
      </c>
      <c r="I88" s="51"/>
      <c r="J88" s="52"/>
    </row>
    <row r="89" spans="1:10" ht="15.75" x14ac:dyDescent="0.25">
      <c r="A89" s="27" t="s">
        <v>105</v>
      </c>
      <c r="B89" s="180" t="s">
        <v>52</v>
      </c>
      <c r="C89" s="106">
        <v>51431343</v>
      </c>
      <c r="D89" s="88" t="s">
        <v>34</v>
      </c>
      <c r="E89" s="180">
        <v>4800</v>
      </c>
      <c r="F89" s="21">
        <v>509.06529999999998</v>
      </c>
      <c r="G89" s="21">
        <v>511.48070000000001</v>
      </c>
      <c r="H89" s="18">
        <f>(G89-F89)*E89</f>
        <v>11593.920000000162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17327.040000000034</v>
      </c>
      <c r="I90" s="85">
        <f>H90-H98</f>
        <v>-115.93999999983862</v>
      </c>
      <c r="J90" s="25">
        <f>I90/H90</f>
        <v>-6.6912756015937167E-3</v>
      </c>
    </row>
    <row r="91" spans="1:10" ht="15.75" x14ac:dyDescent="0.25">
      <c r="A91" s="27" t="s">
        <v>107</v>
      </c>
      <c r="B91" s="180" t="s">
        <v>52</v>
      </c>
      <c r="C91" s="106">
        <v>51431347</v>
      </c>
      <c r="D91" s="181" t="s">
        <v>53</v>
      </c>
      <c r="E91" s="180">
        <v>1200</v>
      </c>
      <c r="F91" s="21">
        <v>1207.4567999999999</v>
      </c>
      <c r="G91" s="21">
        <v>1216.0346999999999</v>
      </c>
      <c r="H91" s="18">
        <f>(G91-F91)*E91</f>
        <v>10293.48</v>
      </c>
      <c r="I91" s="51"/>
      <c r="J91" s="52"/>
    </row>
    <row r="92" spans="1:10" ht="15.75" x14ac:dyDescent="0.25">
      <c r="A92" s="27" t="s">
        <v>108</v>
      </c>
      <c r="B92" s="180" t="s">
        <v>52</v>
      </c>
      <c r="C92" s="106">
        <v>51431339</v>
      </c>
      <c r="D92" s="181" t="s">
        <v>53</v>
      </c>
      <c r="E92" s="180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80" t="s">
        <v>52</v>
      </c>
      <c r="C93" s="106">
        <v>51217244</v>
      </c>
      <c r="D93" s="180" t="s">
        <v>37</v>
      </c>
      <c r="E93" s="180">
        <v>600</v>
      </c>
      <c r="F93" s="30">
        <v>351.2801</v>
      </c>
      <c r="G93" s="30">
        <v>353.26870000000002</v>
      </c>
      <c r="H93" s="18">
        <f t="shared" si="4"/>
        <v>1193.1600000000117</v>
      </c>
      <c r="I93" s="51"/>
      <c r="J93" s="52"/>
    </row>
    <row r="94" spans="1:10" ht="15.75" x14ac:dyDescent="0.25">
      <c r="A94" s="27" t="s">
        <v>110</v>
      </c>
      <c r="B94" s="180" t="s">
        <v>52</v>
      </c>
      <c r="C94" s="106">
        <v>51217267</v>
      </c>
      <c r="D94" s="88" t="s">
        <v>63</v>
      </c>
      <c r="E94" s="180">
        <v>2400</v>
      </c>
      <c r="F94" s="30">
        <v>20.918700000000001</v>
      </c>
      <c r="G94" s="30">
        <v>20.974499999999999</v>
      </c>
      <c r="H94" s="18">
        <f t="shared" si="4"/>
        <v>133.91999999999484</v>
      </c>
      <c r="I94" s="51"/>
      <c r="J94" s="52"/>
    </row>
    <row r="95" spans="1:10" ht="15.75" x14ac:dyDescent="0.25">
      <c r="A95" s="27" t="s">
        <v>111</v>
      </c>
      <c r="B95" s="180" t="s">
        <v>52</v>
      </c>
      <c r="C95" s="180">
        <v>51555165</v>
      </c>
      <c r="D95" s="181" t="s">
        <v>53</v>
      </c>
      <c r="E95" s="180">
        <v>1200</v>
      </c>
      <c r="F95" s="30">
        <v>1007.9848</v>
      </c>
      <c r="G95" s="30">
        <v>1007.9848</v>
      </c>
      <c r="H95" s="18">
        <f t="shared" si="4"/>
        <v>0</v>
      </c>
      <c r="I95" s="51" t="s">
        <v>27</v>
      </c>
      <c r="J95" s="52"/>
    </row>
    <row r="96" spans="1:10" ht="15.75" x14ac:dyDescent="0.25">
      <c r="A96" s="113" t="s">
        <v>112</v>
      </c>
      <c r="B96" s="180" t="s">
        <v>52</v>
      </c>
      <c r="C96" s="106">
        <v>51431346</v>
      </c>
      <c r="D96" s="114" t="s">
        <v>37</v>
      </c>
      <c r="E96" s="114">
        <v>600</v>
      </c>
      <c r="F96" s="30">
        <v>391.1671</v>
      </c>
      <c r="G96" s="30">
        <v>392.33260000000001</v>
      </c>
      <c r="H96" s="115">
        <f t="shared" si="4"/>
        <v>699.30000000000518</v>
      </c>
      <c r="I96" s="116"/>
      <c r="J96" s="117"/>
    </row>
    <row r="97" spans="1:10" ht="15.75" x14ac:dyDescent="0.25">
      <c r="A97" s="27" t="s">
        <v>113</v>
      </c>
      <c r="B97" s="180" t="s">
        <v>52</v>
      </c>
      <c r="C97" s="106">
        <v>51431352</v>
      </c>
      <c r="D97" s="88" t="s">
        <v>21</v>
      </c>
      <c r="E97" s="180">
        <v>3600</v>
      </c>
      <c r="F97" s="21">
        <v>261.01100000000002</v>
      </c>
      <c r="G97" s="21">
        <v>262.40019999999998</v>
      </c>
      <c r="H97" s="18">
        <f t="shared" si="4"/>
        <v>5001.1199999998553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17442.979999999872</v>
      </c>
      <c r="I98" s="51"/>
      <c r="J98" s="52"/>
    </row>
    <row r="99" spans="1:10" ht="15.75" x14ac:dyDescent="0.25">
      <c r="A99" s="45" t="s">
        <v>114</v>
      </c>
      <c r="B99" s="180" t="s">
        <v>52</v>
      </c>
      <c r="C99" s="120">
        <v>51431357</v>
      </c>
      <c r="D99" s="181" t="s">
        <v>63</v>
      </c>
      <c r="E99" s="181">
        <v>14000</v>
      </c>
      <c r="F99" s="28">
        <v>897.67290000000003</v>
      </c>
      <c r="G99" s="28">
        <v>901.36810000000003</v>
      </c>
      <c r="H99" s="121">
        <f t="shared" si="4"/>
        <v>51732.799999999996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opLeftCell="A66" workbookViewId="0">
      <selection sqref="A1:J99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135</v>
      </c>
      <c r="G2" s="4" t="s">
        <v>136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83" t="s">
        <v>13</v>
      </c>
      <c r="C4" s="183">
        <v>51555166</v>
      </c>
      <c r="D4" s="183" t="s">
        <v>14</v>
      </c>
      <c r="E4" s="183">
        <v>132000</v>
      </c>
      <c r="F4" s="17">
        <v>7.0458999999999996</v>
      </c>
      <c r="G4" s="17">
        <v>7.0529999999999999</v>
      </c>
      <c r="H4" s="18">
        <f>(G4-F4)*E4</f>
        <v>937.20000000004336</v>
      </c>
      <c r="I4" s="19"/>
      <c r="J4" s="20"/>
    </row>
    <row r="5" spans="1:10" ht="15.75" x14ac:dyDescent="0.25">
      <c r="A5" s="15" t="s">
        <v>15</v>
      </c>
      <c r="B5" s="183" t="s">
        <v>13</v>
      </c>
      <c r="C5" s="183">
        <v>51555191</v>
      </c>
      <c r="D5" s="183" t="s">
        <v>14</v>
      </c>
      <c r="E5" s="183">
        <v>132000</v>
      </c>
      <c r="F5" s="21">
        <v>408.49869999999999</v>
      </c>
      <c r="G5" s="21">
        <v>410.31900000000002</v>
      </c>
      <c r="H5" s="18">
        <f>(G5-F5)*E5</f>
        <v>240279.60000000417</v>
      </c>
      <c r="I5" s="19"/>
      <c r="J5" s="20"/>
    </row>
    <row r="6" spans="1:10" ht="15.75" x14ac:dyDescent="0.25">
      <c r="A6" s="218" t="s">
        <v>16</v>
      </c>
      <c r="B6" s="219"/>
      <c r="C6" s="183"/>
      <c r="D6" s="184"/>
      <c r="E6" s="183"/>
      <c r="H6" s="23">
        <f>H4+H5</f>
        <v>241216.80000000421</v>
      </c>
      <c r="I6" s="24">
        <f>H6-H9-H19</f>
        <v>1752.6000000119384</v>
      </c>
      <c r="J6" s="25">
        <f>I6/H6</f>
        <v>7.2656630881924797E-3</v>
      </c>
    </row>
    <row r="7" spans="1:10" ht="15.75" x14ac:dyDescent="0.25">
      <c r="A7" s="26" t="s">
        <v>17</v>
      </c>
      <c r="B7" s="183" t="s">
        <v>13</v>
      </c>
      <c r="C7" s="183">
        <v>51097629</v>
      </c>
      <c r="D7" s="184" t="s">
        <v>14</v>
      </c>
      <c r="E7" s="183">
        <v>42000</v>
      </c>
      <c r="F7" s="21">
        <v>1185.6101000000001</v>
      </c>
      <c r="G7" s="21">
        <v>1189.6189999999999</v>
      </c>
      <c r="H7" s="18">
        <f>(G7-F7)*E7</f>
        <v>168373.79999999213</v>
      </c>
      <c r="I7" s="19"/>
      <c r="J7" s="20"/>
    </row>
    <row r="8" spans="1:10" ht="15.75" x14ac:dyDescent="0.25">
      <c r="A8" s="26" t="s">
        <v>18</v>
      </c>
      <c r="B8" s="183" t="s">
        <v>13</v>
      </c>
      <c r="C8" s="183">
        <v>51616820</v>
      </c>
      <c r="D8" s="184" t="s">
        <v>14</v>
      </c>
      <c r="E8" s="183">
        <v>42000</v>
      </c>
      <c r="F8" s="21">
        <v>15.4572</v>
      </c>
      <c r="G8" s="21">
        <v>15.467000000000001</v>
      </c>
      <c r="H8" s="18">
        <f>(G8-F8)*E8</f>
        <v>411.6000000000106</v>
      </c>
      <c r="I8" s="19"/>
      <c r="J8" s="20"/>
    </row>
    <row r="9" spans="1:10" ht="15.75" x14ac:dyDescent="0.25">
      <c r="A9" s="218" t="s">
        <v>19</v>
      </c>
      <c r="B9" s="219"/>
      <c r="C9" s="183"/>
      <c r="D9" s="184"/>
      <c r="E9" s="183"/>
      <c r="F9" s="21"/>
      <c r="G9" s="21"/>
      <c r="H9" s="23">
        <f>H7+H8</f>
        <v>168785.39999999214</v>
      </c>
      <c r="I9" s="24">
        <f>H9-H16</f>
        <v>94.499999990104698</v>
      </c>
      <c r="J9" s="25">
        <f>I9/H9</f>
        <v>5.5988254902443631E-4</v>
      </c>
    </row>
    <row r="10" spans="1:10" ht="15.75" x14ac:dyDescent="0.25">
      <c r="A10" s="27" t="s">
        <v>20</v>
      </c>
      <c r="B10" s="183" t="s">
        <v>13</v>
      </c>
      <c r="C10" s="183">
        <v>51217286</v>
      </c>
      <c r="D10" s="184" t="s">
        <v>21</v>
      </c>
      <c r="E10" s="183">
        <v>21000</v>
      </c>
      <c r="F10" s="21">
        <v>934.01099999999997</v>
      </c>
      <c r="G10" s="21">
        <v>936.98500000000001</v>
      </c>
      <c r="H10" s="18">
        <f t="shared" ref="H10:H15" si="0">(G10-F10)*E10</f>
        <v>62454.000000000975</v>
      </c>
      <c r="I10" s="19"/>
      <c r="J10" s="20"/>
    </row>
    <row r="11" spans="1:10" ht="15.75" x14ac:dyDescent="0.25">
      <c r="A11" s="27" t="s">
        <v>22</v>
      </c>
      <c r="B11" s="183" t="s">
        <v>13</v>
      </c>
      <c r="C11" s="183">
        <v>51217292</v>
      </c>
      <c r="D11" s="184" t="s">
        <v>21</v>
      </c>
      <c r="E11" s="183">
        <v>21000</v>
      </c>
      <c r="F11" s="28">
        <v>3.9927999999999999</v>
      </c>
      <c r="G11" s="28">
        <v>3.9980000000000002</v>
      </c>
      <c r="H11" s="18">
        <f>(G11-F11)*E11</f>
        <v>109.20000000000663</v>
      </c>
      <c r="I11" s="19"/>
      <c r="J11" s="20"/>
    </row>
    <row r="12" spans="1:10" ht="15.75" x14ac:dyDescent="0.25">
      <c r="A12" s="27" t="s">
        <v>23</v>
      </c>
      <c r="B12" s="183" t="s">
        <v>13</v>
      </c>
      <c r="C12" s="183">
        <v>51217271</v>
      </c>
      <c r="D12" s="184" t="s">
        <v>21</v>
      </c>
      <c r="E12" s="183">
        <v>21000</v>
      </c>
      <c r="F12" s="21">
        <v>702.92639999999994</v>
      </c>
      <c r="G12" s="21">
        <v>705.16899999999998</v>
      </c>
      <c r="H12" s="18">
        <f t="shared" si="0"/>
        <v>47094.600000000806</v>
      </c>
      <c r="I12" s="19"/>
      <c r="J12" s="20"/>
    </row>
    <row r="13" spans="1:10" ht="15.75" x14ac:dyDescent="0.25">
      <c r="A13" s="27" t="s">
        <v>24</v>
      </c>
      <c r="B13" s="183" t="s">
        <v>13</v>
      </c>
      <c r="C13" s="183">
        <v>51217276</v>
      </c>
      <c r="D13" s="184" t="s">
        <v>21</v>
      </c>
      <c r="E13" s="183">
        <v>21000</v>
      </c>
      <c r="F13" s="28">
        <v>0.62260000000000004</v>
      </c>
      <c r="G13" s="28">
        <v>0.623</v>
      </c>
      <c r="H13" s="18">
        <f>(G13-F13)*E13</f>
        <v>8.3999999999990749</v>
      </c>
      <c r="I13" s="19"/>
      <c r="J13" s="20"/>
    </row>
    <row r="14" spans="1:10" ht="15.75" x14ac:dyDescent="0.25">
      <c r="A14" s="27" t="s">
        <v>25</v>
      </c>
      <c r="B14" s="183" t="s">
        <v>13</v>
      </c>
      <c r="C14" s="183">
        <v>51100990</v>
      </c>
      <c r="D14" s="184" t="s">
        <v>21</v>
      </c>
      <c r="E14" s="183">
        <v>21000</v>
      </c>
      <c r="F14" s="29">
        <v>753.65660000000003</v>
      </c>
      <c r="G14" s="29">
        <v>756.46</v>
      </c>
      <c r="H14" s="18">
        <f t="shared" si="0"/>
        <v>58871.40000000022</v>
      </c>
      <c r="I14" s="19"/>
      <c r="J14" s="20"/>
    </row>
    <row r="15" spans="1:10" ht="15.75" x14ac:dyDescent="0.25">
      <c r="A15" s="27" t="s">
        <v>26</v>
      </c>
      <c r="B15" s="183" t="s">
        <v>13</v>
      </c>
      <c r="C15" s="183">
        <v>51097622</v>
      </c>
      <c r="D15" s="184" t="s">
        <v>21</v>
      </c>
      <c r="E15" s="183">
        <v>21000</v>
      </c>
      <c r="F15" s="21">
        <v>9.4156999999999993</v>
      </c>
      <c r="G15" s="21">
        <v>9.423</v>
      </c>
      <c r="H15" s="18">
        <f t="shared" si="0"/>
        <v>153.30000000001576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83"/>
      <c r="D16" s="184"/>
      <c r="E16" s="183"/>
      <c r="F16" s="21"/>
      <c r="G16" s="21"/>
      <c r="H16" s="23">
        <f>H10+H11+H12+H13+H14+H15</f>
        <v>168690.90000000203</v>
      </c>
      <c r="I16" s="19"/>
      <c r="J16" s="20"/>
    </row>
    <row r="17" spans="1:10" ht="15.75" x14ac:dyDescent="0.25">
      <c r="A17" s="26" t="s">
        <v>29</v>
      </c>
      <c r="B17" s="183" t="s">
        <v>13</v>
      </c>
      <c r="C17" s="183">
        <v>51097617</v>
      </c>
      <c r="D17" s="184" t="s">
        <v>30</v>
      </c>
      <c r="E17" s="183">
        <v>18000</v>
      </c>
      <c r="F17" s="30">
        <v>931.12440000000004</v>
      </c>
      <c r="G17" s="30">
        <v>935.05100000000004</v>
      </c>
      <c r="H17" s="18">
        <f>(G17-F17)*E17</f>
        <v>70678.800000000134</v>
      </c>
      <c r="I17" s="19"/>
      <c r="J17" s="20"/>
    </row>
    <row r="18" spans="1:10" ht="15.75" x14ac:dyDescent="0.25">
      <c r="A18" s="26" t="s">
        <v>31</v>
      </c>
      <c r="B18" s="183" t="s">
        <v>13</v>
      </c>
      <c r="C18" s="183">
        <v>51097655</v>
      </c>
      <c r="D18" s="184" t="s">
        <v>30</v>
      </c>
      <c r="E18" s="183">
        <v>18000</v>
      </c>
      <c r="F18" s="30">
        <v>11.542</v>
      </c>
      <c r="G18" s="30">
        <v>11.542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83"/>
      <c r="D19" s="184"/>
      <c r="E19" s="183"/>
      <c r="F19" s="30"/>
      <c r="G19" s="30"/>
      <c r="H19" s="23">
        <f>H17+H18</f>
        <v>70678.800000000134</v>
      </c>
      <c r="I19" s="24">
        <f>H19-H34</f>
        <v>2262.0600000008853</v>
      </c>
      <c r="J19" s="25">
        <f>I19/H19</f>
        <v>3.2004787857191706E-2</v>
      </c>
    </row>
    <row r="20" spans="1:10" ht="15.75" x14ac:dyDescent="0.25">
      <c r="A20" s="15" t="s">
        <v>33</v>
      </c>
      <c r="B20" s="183" t="s">
        <v>13</v>
      </c>
      <c r="C20" s="183">
        <v>51217282</v>
      </c>
      <c r="D20" s="184" t="s">
        <v>34</v>
      </c>
      <c r="E20" s="183">
        <v>4800</v>
      </c>
      <c r="F20" s="21">
        <v>409.26949999999999</v>
      </c>
      <c r="G20" s="21">
        <v>415.27</v>
      </c>
      <c r="H20" s="18">
        <f t="shared" ref="H20:H33" si="1">(G20-F20)*E20</f>
        <v>28802.399999999943</v>
      </c>
      <c r="I20" s="19" t="s">
        <v>27</v>
      </c>
      <c r="J20" s="20"/>
    </row>
    <row r="21" spans="1:10" ht="15.75" x14ac:dyDescent="0.25">
      <c r="A21" s="15" t="s">
        <v>35</v>
      </c>
      <c r="B21" s="183" t="s">
        <v>13</v>
      </c>
      <c r="C21" s="183">
        <v>51217274</v>
      </c>
      <c r="D21" s="184" t="s">
        <v>34</v>
      </c>
      <c r="E21" s="183">
        <v>4800</v>
      </c>
      <c r="F21" s="21">
        <v>1428.0434</v>
      </c>
      <c r="G21" s="21">
        <v>1428.6369999999999</v>
      </c>
      <c r="H21" s="18">
        <f t="shared" si="1"/>
        <v>2849.279999999635</v>
      </c>
      <c r="I21" s="19"/>
      <c r="J21" s="20"/>
    </row>
    <row r="22" spans="1:10" ht="15.75" x14ac:dyDescent="0.25">
      <c r="A22" s="15" t="s">
        <v>36</v>
      </c>
      <c r="B22" s="183" t="s">
        <v>13</v>
      </c>
      <c r="C22" s="183">
        <v>51097664</v>
      </c>
      <c r="D22" s="184" t="s">
        <v>37</v>
      </c>
      <c r="E22" s="183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83" t="s">
        <v>13</v>
      </c>
      <c r="C23" s="183">
        <v>51097615</v>
      </c>
      <c r="D23" s="184" t="s">
        <v>37</v>
      </c>
      <c r="E23" s="183">
        <v>600</v>
      </c>
      <c r="F23" s="21">
        <v>49.331299999999999</v>
      </c>
      <c r="G23" s="21">
        <v>49.616999999999997</v>
      </c>
      <c r="H23" s="18">
        <f t="shared" si="1"/>
        <v>171.41999999999911</v>
      </c>
      <c r="I23" s="19"/>
      <c r="J23" s="20"/>
    </row>
    <row r="24" spans="1:10" ht="15.75" x14ac:dyDescent="0.25">
      <c r="A24" s="15" t="s">
        <v>39</v>
      </c>
      <c r="B24" s="183" t="s">
        <v>13</v>
      </c>
      <c r="C24" s="183">
        <v>51217264</v>
      </c>
      <c r="D24" s="184" t="s">
        <v>37</v>
      </c>
      <c r="E24" s="183">
        <v>600</v>
      </c>
      <c r="F24" s="21">
        <v>114.3018</v>
      </c>
      <c r="G24" s="21">
        <v>114.834</v>
      </c>
      <c r="H24" s="18">
        <f t="shared" si="1"/>
        <v>319.32000000000187</v>
      </c>
      <c r="I24" s="19"/>
      <c r="J24" s="20"/>
    </row>
    <row r="25" spans="1:10" ht="15.75" x14ac:dyDescent="0.25">
      <c r="A25" s="15" t="s">
        <v>40</v>
      </c>
      <c r="B25" s="183" t="s">
        <v>13</v>
      </c>
      <c r="C25" s="183">
        <v>51217288</v>
      </c>
      <c r="D25" s="184" t="s">
        <v>37</v>
      </c>
      <c r="E25" s="183">
        <v>600</v>
      </c>
      <c r="F25" s="21">
        <v>21.011199999999999</v>
      </c>
      <c r="G25" s="21">
        <v>21.041</v>
      </c>
      <c r="H25" s="18">
        <f t="shared" si="1"/>
        <v>17.880000000000962</v>
      </c>
      <c r="I25" s="19" t="s">
        <v>27</v>
      </c>
      <c r="J25" s="20"/>
    </row>
    <row r="26" spans="1:10" ht="15.75" x14ac:dyDescent="0.25">
      <c r="A26" s="15" t="s">
        <v>41</v>
      </c>
      <c r="B26" s="183" t="s">
        <v>13</v>
      </c>
      <c r="C26" s="183">
        <v>51217279</v>
      </c>
      <c r="D26" s="184" t="s">
        <v>37</v>
      </c>
      <c r="E26" s="183">
        <v>600</v>
      </c>
      <c r="F26" s="21">
        <v>16.235199999999999</v>
      </c>
      <c r="G26" s="21">
        <v>16.286999999999999</v>
      </c>
      <c r="H26" s="18">
        <f t="shared" si="1"/>
        <v>31.080000000000041</v>
      </c>
      <c r="I26" s="19" t="s">
        <v>27</v>
      </c>
      <c r="J26" s="20"/>
    </row>
    <row r="27" spans="1:10" ht="15.75" x14ac:dyDescent="0.25">
      <c r="A27" s="15" t="s">
        <v>42</v>
      </c>
      <c r="B27" s="183" t="s">
        <v>13</v>
      </c>
      <c r="C27" s="183">
        <v>51217272</v>
      </c>
      <c r="D27" s="184" t="s">
        <v>37</v>
      </c>
      <c r="E27" s="183">
        <v>600</v>
      </c>
      <c r="F27" s="31">
        <v>15.923400000000001</v>
      </c>
      <c r="G27" s="31">
        <v>15.975</v>
      </c>
      <c r="H27" s="18">
        <f t="shared" si="1"/>
        <v>30.959999999999255</v>
      </c>
      <c r="I27" s="19"/>
      <c r="J27" s="20"/>
    </row>
    <row r="28" spans="1:10" ht="15.75" x14ac:dyDescent="0.25">
      <c r="A28" s="15" t="s">
        <v>43</v>
      </c>
      <c r="B28" s="183" t="s">
        <v>13</v>
      </c>
      <c r="C28" s="183">
        <v>51616744</v>
      </c>
      <c r="D28" s="184">
        <f>300/5</f>
        <v>60</v>
      </c>
      <c r="E28" s="183">
        <v>3600</v>
      </c>
      <c r="F28" s="31">
        <v>109.78400000000001</v>
      </c>
      <c r="G28" s="31">
        <v>109.78400000000001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83" t="s">
        <v>13</v>
      </c>
      <c r="C29" s="183">
        <v>51555226</v>
      </c>
      <c r="D29" s="184">
        <f>300/5</f>
        <v>60</v>
      </c>
      <c r="E29" s="183">
        <v>3600</v>
      </c>
      <c r="F29" s="31">
        <v>582.97940000000006</v>
      </c>
      <c r="G29" s="31">
        <v>585.77099999999996</v>
      </c>
      <c r="H29" s="18">
        <f>(G29-F29)*E29</f>
        <v>10049.759999999651</v>
      </c>
      <c r="I29" s="19"/>
      <c r="J29" s="20"/>
    </row>
    <row r="30" spans="1:10" ht="15.75" x14ac:dyDescent="0.25">
      <c r="A30" s="15" t="s">
        <v>45</v>
      </c>
      <c r="B30" s="183" t="s">
        <v>13</v>
      </c>
      <c r="C30" s="183">
        <v>51097658</v>
      </c>
      <c r="D30" s="184" t="s">
        <v>34</v>
      </c>
      <c r="E30" s="183">
        <v>4800</v>
      </c>
      <c r="F30" s="31">
        <v>730.39440000000002</v>
      </c>
      <c r="G30" s="31">
        <v>733.37900000000002</v>
      </c>
      <c r="H30" s="18">
        <f t="shared" si="1"/>
        <v>14326.080000000002</v>
      </c>
      <c r="I30" s="19"/>
      <c r="J30" s="20"/>
    </row>
    <row r="31" spans="1:10" ht="15.75" x14ac:dyDescent="0.25">
      <c r="A31" s="15" t="s">
        <v>46</v>
      </c>
      <c r="B31" s="183" t="s">
        <v>13</v>
      </c>
      <c r="C31" s="183">
        <v>51097635</v>
      </c>
      <c r="D31" s="184" t="s">
        <v>34</v>
      </c>
      <c r="E31" s="183">
        <v>4800</v>
      </c>
      <c r="F31" s="31">
        <v>48.496699999999997</v>
      </c>
      <c r="G31" s="31">
        <v>48.499000000000002</v>
      </c>
      <c r="H31" s="18">
        <f t="shared" si="1"/>
        <v>11.040000000025429</v>
      </c>
      <c r="I31" s="19"/>
      <c r="J31" s="20"/>
    </row>
    <row r="32" spans="1:10" ht="15.75" x14ac:dyDescent="0.25">
      <c r="A32" s="15" t="s">
        <v>47</v>
      </c>
      <c r="B32" s="183" t="s">
        <v>13</v>
      </c>
      <c r="C32" s="32">
        <v>51097633</v>
      </c>
      <c r="D32" s="184" t="s">
        <v>34</v>
      </c>
      <c r="E32" s="183">
        <v>4800</v>
      </c>
      <c r="F32" s="31">
        <v>223.98500000000001</v>
      </c>
      <c r="G32" s="31">
        <v>226.40100000000001</v>
      </c>
      <c r="H32" s="33">
        <f t="shared" si="1"/>
        <v>11596.799999999985</v>
      </c>
      <c r="I32" s="34"/>
      <c r="J32" s="35"/>
    </row>
    <row r="33" spans="1:10" ht="15.75" x14ac:dyDescent="0.25">
      <c r="A33" s="15" t="s">
        <v>48</v>
      </c>
      <c r="B33" s="183" t="s">
        <v>13</v>
      </c>
      <c r="C33" s="32">
        <v>51097662</v>
      </c>
      <c r="D33" s="184" t="s">
        <v>34</v>
      </c>
      <c r="E33" s="183">
        <v>4800</v>
      </c>
      <c r="F33" s="31">
        <v>4.5141</v>
      </c>
      <c r="G33" s="31">
        <v>4.5579999999999998</v>
      </c>
      <c r="H33" s="33">
        <f t="shared" si="1"/>
        <v>210.71999999999917</v>
      </c>
      <c r="I33" s="34"/>
      <c r="J33" s="35"/>
    </row>
    <row r="34" spans="1:10" ht="15.75" x14ac:dyDescent="0.25">
      <c r="A34" s="218" t="s">
        <v>49</v>
      </c>
      <c r="B34" s="219"/>
      <c r="C34" s="183"/>
      <c r="D34" s="184"/>
      <c r="E34" s="183"/>
      <c r="F34" s="36"/>
      <c r="G34" s="36"/>
      <c r="H34" s="23">
        <f>H20+H21+H22+H23+H24+H25+H26+H27+H28+H29+H30+H31+H32+H33</f>
        <v>68416.739999999249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83" t="s">
        <v>52</v>
      </c>
      <c r="C36" s="183">
        <v>51555209</v>
      </c>
      <c r="D36" s="184" t="s">
        <v>53</v>
      </c>
      <c r="E36" s="183">
        <v>7000</v>
      </c>
      <c r="F36" s="17">
        <v>6.2695999999999996</v>
      </c>
      <c r="G36" s="17">
        <v>6.2839999999999998</v>
      </c>
      <c r="H36" s="41">
        <f>(G36-F36)*E36</f>
        <v>100.80000000000133</v>
      </c>
      <c r="I36" s="42"/>
      <c r="J36" s="14"/>
    </row>
    <row r="37" spans="1:10" ht="15.75" x14ac:dyDescent="0.25">
      <c r="A37" s="15" t="s">
        <v>54</v>
      </c>
      <c r="B37" s="183" t="s">
        <v>52</v>
      </c>
      <c r="C37" s="183">
        <v>51555209</v>
      </c>
      <c r="D37" s="184" t="s">
        <v>53</v>
      </c>
      <c r="E37" s="183">
        <v>7000</v>
      </c>
      <c r="F37" s="21">
        <v>11.2202</v>
      </c>
      <c r="G37" s="21">
        <v>11.27</v>
      </c>
      <c r="H37" s="18">
        <f>(G37-F37)*E37</f>
        <v>348.59999999999582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83" t="s">
        <v>52</v>
      </c>
      <c r="C39" s="183">
        <v>51097674</v>
      </c>
      <c r="D39" s="183" t="s">
        <v>14</v>
      </c>
      <c r="E39" s="183">
        <v>7200</v>
      </c>
      <c r="F39" s="21">
        <v>641.61210000000005</v>
      </c>
      <c r="G39" s="21">
        <v>643.80899999999997</v>
      </c>
      <c r="H39" s="18">
        <f>(G39-F39)*E39</f>
        <v>15817.679999999382</v>
      </c>
      <c r="I39" s="47"/>
      <c r="J39" s="20"/>
    </row>
    <row r="40" spans="1:10" ht="15.75" x14ac:dyDescent="0.25">
      <c r="A40" s="27" t="s">
        <v>57</v>
      </c>
      <c r="B40" s="183" t="s">
        <v>52</v>
      </c>
      <c r="C40" s="183">
        <v>51259257</v>
      </c>
      <c r="D40" s="183" t="s">
        <v>14</v>
      </c>
      <c r="E40" s="183">
        <v>7200</v>
      </c>
      <c r="F40" s="21">
        <v>1.0549999999999999</v>
      </c>
      <c r="G40" s="21">
        <v>1.0549999999999999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83"/>
      <c r="C41" s="183"/>
      <c r="D41" s="183"/>
      <c r="E41" s="183"/>
      <c r="F41" s="21"/>
      <c r="G41" s="21"/>
      <c r="H41" s="48">
        <f>H39+H40</f>
        <v>15817.679999999382</v>
      </c>
      <c r="I41" s="24">
        <f>H41-H49</f>
        <v>-119.00000000030195</v>
      </c>
      <c r="J41" s="25">
        <f>I41/H41</f>
        <v>-7.5232271736630531E-3</v>
      </c>
    </row>
    <row r="42" spans="1:10" ht="15.75" x14ac:dyDescent="0.25">
      <c r="A42" s="15" t="s">
        <v>59</v>
      </c>
      <c r="B42" s="183"/>
      <c r="C42" s="183"/>
      <c r="D42" s="184"/>
      <c r="E42" s="183"/>
      <c r="H42" s="18"/>
      <c r="I42" s="43"/>
      <c r="J42" s="20"/>
    </row>
    <row r="43" spans="1:10" ht="15.75" x14ac:dyDescent="0.25">
      <c r="A43" s="27" t="s">
        <v>60</v>
      </c>
      <c r="B43" s="183" t="s">
        <v>52</v>
      </c>
      <c r="C43" s="32">
        <v>51097648</v>
      </c>
      <c r="D43" s="183" t="s">
        <v>53</v>
      </c>
      <c r="E43" s="183">
        <v>1200</v>
      </c>
      <c r="F43" s="21">
        <v>524.83699999999999</v>
      </c>
      <c r="G43" s="21">
        <v>526.61500000000001</v>
      </c>
      <c r="H43" s="33">
        <f>(G43-F43)*E43</f>
        <v>2133.600000000024</v>
      </c>
      <c r="I43" s="43"/>
      <c r="J43" s="20"/>
    </row>
    <row r="44" spans="1:10" ht="15.75" x14ac:dyDescent="0.25">
      <c r="A44" s="27" t="s">
        <v>61</v>
      </c>
      <c r="B44" s="183" t="s">
        <v>52</v>
      </c>
      <c r="C44" s="32">
        <v>50555043</v>
      </c>
      <c r="D44" s="183" t="s">
        <v>53</v>
      </c>
      <c r="E44" s="183">
        <v>1200</v>
      </c>
      <c r="F44" s="21">
        <v>2196.6233000000002</v>
      </c>
      <c r="G44" s="21">
        <v>2204.1469999999999</v>
      </c>
      <c r="H44" s="33">
        <f>(G44-F44)*E44</f>
        <v>9028.4399999996822</v>
      </c>
      <c r="I44" s="43"/>
      <c r="J44" s="20"/>
    </row>
    <row r="45" spans="1:10" ht="15.75" x14ac:dyDescent="0.25">
      <c r="A45" s="27" t="s">
        <v>62</v>
      </c>
      <c r="B45" s="183" t="s">
        <v>52</v>
      </c>
      <c r="C45" s="32">
        <v>51259336</v>
      </c>
      <c r="D45" s="183" t="s">
        <v>63</v>
      </c>
      <c r="E45" s="183">
        <v>2400</v>
      </c>
      <c r="F45" s="21">
        <v>4.4067999999999996</v>
      </c>
      <c r="G45" s="21">
        <v>4.42</v>
      </c>
      <c r="H45" s="33">
        <f>(G45-F45)*E45</f>
        <v>31.680000000000774</v>
      </c>
      <c r="I45" s="43"/>
      <c r="J45" s="20"/>
    </row>
    <row r="46" spans="1:10" ht="15.75" x14ac:dyDescent="0.25">
      <c r="A46" s="27" t="s">
        <v>64</v>
      </c>
      <c r="B46" s="183" t="s">
        <v>52</v>
      </c>
      <c r="C46" s="32">
        <v>51259266</v>
      </c>
      <c r="D46" s="183" t="s">
        <v>53</v>
      </c>
      <c r="E46" s="183">
        <v>1200</v>
      </c>
      <c r="F46" s="21">
        <v>1066.0165</v>
      </c>
      <c r="G46" s="21">
        <v>1069.6569999999999</v>
      </c>
      <c r="H46" s="33">
        <f>(G46-F46)*E46</f>
        <v>4368.5999999999694</v>
      </c>
      <c r="I46" s="43"/>
      <c r="J46" s="20"/>
    </row>
    <row r="47" spans="1:10" ht="15.75" x14ac:dyDescent="0.25">
      <c r="A47" s="27" t="s">
        <v>65</v>
      </c>
      <c r="B47" s="183" t="s">
        <v>52</v>
      </c>
      <c r="C47" s="32">
        <v>51431336</v>
      </c>
      <c r="D47" s="183" t="s">
        <v>53</v>
      </c>
      <c r="E47" s="183">
        <v>1200</v>
      </c>
      <c r="F47" s="21">
        <v>64.906700000000001</v>
      </c>
      <c r="G47" s="21">
        <v>65.177000000000007</v>
      </c>
      <c r="H47" s="33">
        <f>(G47-F47)*E47</f>
        <v>324.36000000000718</v>
      </c>
      <c r="I47" s="43"/>
      <c r="J47" s="20"/>
    </row>
    <row r="48" spans="1:10" ht="15.75" x14ac:dyDescent="0.25">
      <c r="A48" s="15" t="s">
        <v>66</v>
      </c>
      <c r="B48" s="183" t="s">
        <v>67</v>
      </c>
      <c r="C48" s="183">
        <v>49174</v>
      </c>
      <c r="D48" s="184" t="s">
        <v>53</v>
      </c>
      <c r="E48" s="183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15936.679999999684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83" t="s">
        <v>52</v>
      </c>
      <c r="C51" s="183">
        <v>51097603</v>
      </c>
      <c r="D51" s="184" t="s">
        <v>53</v>
      </c>
      <c r="E51" s="183">
        <v>7000</v>
      </c>
      <c r="F51" s="17">
        <v>2083.3515000000002</v>
      </c>
      <c r="G51" s="17">
        <v>2089.8449999999998</v>
      </c>
      <c r="H51" s="18">
        <f>(G51-F51)*E51</f>
        <v>45454.499999997097</v>
      </c>
      <c r="I51" s="43"/>
      <c r="J51" s="20"/>
    </row>
    <row r="52" spans="1:10" ht="15.75" x14ac:dyDescent="0.25">
      <c r="A52" s="27" t="s">
        <v>72</v>
      </c>
      <c r="B52" s="183" t="s">
        <v>52</v>
      </c>
      <c r="C52" s="183">
        <v>51097590</v>
      </c>
      <c r="D52" s="184" t="s">
        <v>53</v>
      </c>
      <c r="E52" s="183">
        <v>7000</v>
      </c>
      <c r="F52" s="21">
        <v>13.135199999999999</v>
      </c>
      <c r="G52" s="21">
        <v>13.157999999999999</v>
      </c>
      <c r="H52" s="18">
        <f>(G52-F52)*E52</f>
        <v>159.60000000000107</v>
      </c>
      <c r="I52" s="43"/>
      <c r="J52" s="20"/>
    </row>
    <row r="53" spans="1:10" ht="15.75" x14ac:dyDescent="0.25">
      <c r="A53" s="15" t="s">
        <v>66</v>
      </c>
      <c r="B53" s="183" t="s">
        <v>67</v>
      </c>
      <c r="C53" s="183">
        <v>49174</v>
      </c>
      <c r="D53" s="184" t="s">
        <v>53</v>
      </c>
      <c r="E53" s="183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83"/>
      <c r="D54" s="184"/>
      <c r="E54" s="183"/>
      <c r="F54" s="21"/>
      <c r="G54" s="21"/>
      <c r="H54" s="48">
        <f>H51+H52+H53</f>
        <v>45714.099999997095</v>
      </c>
      <c r="I54" s="47"/>
      <c r="J54" s="59"/>
    </row>
    <row r="55" spans="1:10" ht="15.75" x14ac:dyDescent="0.25">
      <c r="A55" s="27" t="s">
        <v>74</v>
      </c>
      <c r="B55" s="183" t="s">
        <v>52</v>
      </c>
      <c r="C55" s="183">
        <v>51100980</v>
      </c>
      <c r="D55" s="183" t="s">
        <v>75</v>
      </c>
      <c r="E55" s="183">
        <v>12000</v>
      </c>
      <c r="F55" s="21">
        <v>1225.3893</v>
      </c>
      <c r="G55" s="21">
        <v>1229.183</v>
      </c>
      <c r="H55" s="18">
        <f>(G55-F55)*E55</f>
        <v>45524.399999999332</v>
      </c>
      <c r="I55" s="47"/>
      <c r="J55" s="58"/>
    </row>
    <row r="56" spans="1:10" ht="15.75" x14ac:dyDescent="0.25">
      <c r="A56" s="27" t="s">
        <v>76</v>
      </c>
      <c r="B56" s="183" t="s">
        <v>52</v>
      </c>
      <c r="C56" s="183">
        <v>51097623</v>
      </c>
      <c r="D56" s="183" t="s">
        <v>75</v>
      </c>
      <c r="E56" s="183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83"/>
      <c r="C57" s="183"/>
      <c r="D57" s="183"/>
      <c r="E57" s="183"/>
      <c r="F57" s="21"/>
      <c r="G57" s="21"/>
      <c r="H57" s="48">
        <f>H55+H56</f>
        <v>45524.399999999332</v>
      </c>
      <c r="I57" s="61">
        <f>H54-H64-H53</f>
        <v>-36.66000000412896</v>
      </c>
      <c r="J57" s="25">
        <f>I57/H57</f>
        <v>-8.0528244203393121E-4</v>
      </c>
    </row>
    <row r="58" spans="1:10" ht="15.75" x14ac:dyDescent="0.25">
      <c r="A58" s="27" t="s">
        <v>78</v>
      </c>
      <c r="B58" s="183" t="s">
        <v>52</v>
      </c>
      <c r="C58" s="183">
        <v>51097675</v>
      </c>
      <c r="D58" s="183" t="s">
        <v>34</v>
      </c>
      <c r="E58" s="183">
        <v>4800</v>
      </c>
      <c r="F58" s="21">
        <v>570.31309999999996</v>
      </c>
      <c r="G58" s="21">
        <v>572.38900000000001</v>
      </c>
      <c r="H58" s="18">
        <f t="shared" ref="H58:H63" si="2">(G58-F58)*E58</f>
        <v>9964.3200000002253</v>
      </c>
      <c r="I58" s="62"/>
      <c r="J58" s="59"/>
    </row>
    <row r="59" spans="1:10" ht="15.75" x14ac:dyDescent="0.25">
      <c r="A59" s="27" t="s">
        <v>79</v>
      </c>
      <c r="B59" s="183" t="s">
        <v>52</v>
      </c>
      <c r="C59" s="183">
        <v>51100997</v>
      </c>
      <c r="D59" s="183" t="s">
        <v>21</v>
      </c>
      <c r="E59" s="183">
        <v>3600</v>
      </c>
      <c r="F59" s="21">
        <v>1436.3391999999999</v>
      </c>
      <c r="G59" s="21">
        <v>1438.8720000000001</v>
      </c>
      <c r="H59" s="18">
        <f t="shared" si="2"/>
        <v>9118.0800000006457</v>
      </c>
      <c r="I59" s="62"/>
      <c r="J59" s="59"/>
    </row>
    <row r="60" spans="1:10" ht="15.75" x14ac:dyDescent="0.25">
      <c r="A60" s="27" t="s">
        <v>80</v>
      </c>
      <c r="B60" s="183" t="s">
        <v>52</v>
      </c>
      <c r="C60" s="183">
        <v>51555218</v>
      </c>
      <c r="D60" s="183">
        <f>400/5</f>
        <v>80</v>
      </c>
      <c r="E60" s="183">
        <v>4800</v>
      </c>
      <c r="F60" s="21">
        <v>74.226100000000002</v>
      </c>
      <c r="G60" s="21">
        <v>74.557000000000002</v>
      </c>
      <c r="H60" s="18">
        <f t="shared" si="2"/>
        <v>1588.3199999999988</v>
      </c>
      <c r="I60" s="62"/>
      <c r="J60" s="59"/>
    </row>
    <row r="61" spans="1:10" ht="15.75" x14ac:dyDescent="0.25">
      <c r="A61" s="27" t="s">
        <v>81</v>
      </c>
      <c r="B61" s="183" t="s">
        <v>52</v>
      </c>
      <c r="C61" s="183">
        <v>51555151</v>
      </c>
      <c r="D61" s="183">
        <f>400/5</f>
        <v>80</v>
      </c>
      <c r="E61" s="183">
        <v>4800</v>
      </c>
      <c r="F61" s="63">
        <v>0.30690000000000001</v>
      </c>
      <c r="G61" s="63">
        <v>0.307</v>
      </c>
      <c r="H61" s="18">
        <f t="shared" si="2"/>
        <v>0.47999999999994714</v>
      </c>
      <c r="I61" s="62"/>
      <c r="J61" s="59"/>
    </row>
    <row r="62" spans="1:10" ht="15.75" x14ac:dyDescent="0.25">
      <c r="A62" s="27" t="s">
        <v>82</v>
      </c>
      <c r="B62" s="183" t="s">
        <v>52</v>
      </c>
      <c r="C62" s="183">
        <v>51097599</v>
      </c>
      <c r="D62" s="183" t="s">
        <v>21</v>
      </c>
      <c r="E62" s="183">
        <v>3600</v>
      </c>
      <c r="F62" s="21">
        <v>1017.1061</v>
      </c>
      <c r="G62" s="21">
        <v>1020.263</v>
      </c>
      <c r="H62" s="18">
        <f t="shared" si="2"/>
        <v>11364.840000000231</v>
      </c>
      <c r="I62" s="62"/>
      <c r="J62" s="59"/>
    </row>
    <row r="63" spans="1:10" ht="15.75" x14ac:dyDescent="0.25">
      <c r="A63" s="27" t="s">
        <v>83</v>
      </c>
      <c r="B63" s="183" t="s">
        <v>52</v>
      </c>
      <c r="C63" s="183">
        <v>51097620</v>
      </c>
      <c r="D63" s="183" t="s">
        <v>34</v>
      </c>
      <c r="E63" s="183">
        <v>4800</v>
      </c>
      <c r="F63" s="21">
        <v>568.84559999999999</v>
      </c>
      <c r="G63" s="21">
        <v>571.68200000000002</v>
      </c>
      <c r="H63" s="18">
        <f t="shared" si="2"/>
        <v>13614.720000000125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45650.760000001224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83" t="s">
        <v>52</v>
      </c>
      <c r="C66" s="9">
        <v>51259238</v>
      </c>
      <c r="D66" s="74" t="s">
        <v>53</v>
      </c>
      <c r="E66" s="74">
        <v>7000</v>
      </c>
      <c r="F66" s="75">
        <v>612.38819999999998</v>
      </c>
      <c r="G66" s="75">
        <v>614.649</v>
      </c>
      <c r="H66" s="76">
        <f>(G66-F66)*E66</f>
        <v>15825.600000000122</v>
      </c>
      <c r="I66" s="77"/>
      <c r="J66" s="78"/>
    </row>
    <row r="67" spans="1:10" ht="15.75" x14ac:dyDescent="0.25">
      <c r="A67" s="27" t="s">
        <v>86</v>
      </c>
      <c r="B67" s="183" t="s">
        <v>52</v>
      </c>
      <c r="C67" s="183">
        <v>51259324</v>
      </c>
      <c r="D67" s="184" t="s">
        <v>53</v>
      </c>
      <c r="E67" s="184">
        <v>7000</v>
      </c>
      <c r="F67" s="21">
        <v>473.36630000000002</v>
      </c>
      <c r="G67" s="21">
        <v>475.20400000000001</v>
      </c>
      <c r="H67" s="18">
        <f>(G67-F67)*E67</f>
        <v>12863.899999999887</v>
      </c>
      <c r="I67" s="51"/>
      <c r="J67" s="58"/>
    </row>
    <row r="68" spans="1:10" ht="15.75" x14ac:dyDescent="0.25">
      <c r="A68" s="27" t="s">
        <v>87</v>
      </c>
      <c r="B68" s="79" t="s">
        <v>88</v>
      </c>
      <c r="C68" s="183">
        <v>51491618</v>
      </c>
      <c r="D68" s="184" t="s">
        <v>63</v>
      </c>
      <c r="E68" s="183">
        <v>40</v>
      </c>
      <c r="F68" s="28">
        <v>1432.1465000000001</v>
      </c>
      <c r="G68" s="28">
        <v>1438.079</v>
      </c>
      <c r="H68" s="18">
        <f>(G68-F68)*E68</f>
        <v>237.29999999999563</v>
      </c>
      <c r="I68" s="51"/>
      <c r="J68" s="58"/>
    </row>
    <row r="69" spans="1:10" ht="15.75" x14ac:dyDescent="0.25">
      <c r="A69" s="27" t="s">
        <v>89</v>
      </c>
      <c r="B69" s="79" t="s">
        <v>88</v>
      </c>
      <c r="C69" s="183">
        <v>51491624</v>
      </c>
      <c r="D69" s="184" t="s">
        <v>63</v>
      </c>
      <c r="E69" s="183">
        <v>40</v>
      </c>
      <c r="F69" s="28">
        <v>187.97049999999999</v>
      </c>
      <c r="G69" s="28">
        <v>188.41399999999999</v>
      </c>
      <c r="H69" s="18">
        <f>(G69-F69)*E69</f>
        <v>17.740000000000009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28689.500000000007</v>
      </c>
      <c r="I70" s="85">
        <f>H70-H73-H68-H69</f>
        <v>-829.9399999997861</v>
      </c>
      <c r="J70" s="25">
        <f>I70/H70</f>
        <v>-2.8928353578828E-2</v>
      </c>
    </row>
    <row r="71" spans="1:10" ht="15.75" x14ac:dyDescent="0.25">
      <c r="A71" s="27" t="s">
        <v>91</v>
      </c>
      <c r="B71" s="183" t="s">
        <v>52</v>
      </c>
      <c r="C71" s="86">
        <v>51097588</v>
      </c>
      <c r="D71" s="184" t="s">
        <v>75</v>
      </c>
      <c r="E71" s="183">
        <v>12000</v>
      </c>
      <c r="F71" s="21">
        <v>365.52480000000003</v>
      </c>
      <c r="G71" s="21">
        <v>366.82600000000002</v>
      </c>
      <c r="H71" s="18">
        <f>(G71-F71)*E71</f>
        <v>15614.399999999932</v>
      </c>
      <c r="I71" s="51"/>
      <c r="J71" s="58"/>
    </row>
    <row r="72" spans="1:10" ht="15.75" x14ac:dyDescent="0.25">
      <c r="A72" s="27" t="s">
        <v>92</v>
      </c>
      <c r="B72" s="183" t="s">
        <v>52</v>
      </c>
      <c r="C72" s="86">
        <v>51431335</v>
      </c>
      <c r="D72" s="184" t="s">
        <v>75</v>
      </c>
      <c r="E72" s="183">
        <v>12000</v>
      </c>
      <c r="F72" s="21">
        <v>288.85750000000002</v>
      </c>
      <c r="G72" s="21">
        <v>289.995</v>
      </c>
      <c r="H72" s="18">
        <f>(G72-F72)*E72</f>
        <v>13649.999999999864</v>
      </c>
      <c r="I72" s="51"/>
      <c r="J72" s="58"/>
    </row>
    <row r="73" spans="1:10" ht="15.75" x14ac:dyDescent="0.25">
      <c r="A73" s="87" t="s">
        <v>93</v>
      </c>
      <c r="B73" s="183" t="s">
        <v>27</v>
      </c>
      <c r="C73" s="183"/>
      <c r="D73" s="184"/>
      <c r="E73" s="183"/>
      <c r="F73" s="21"/>
      <c r="G73" s="21"/>
      <c r="H73" s="48">
        <f>H71+ H72</f>
        <v>29264.399999999798</v>
      </c>
      <c r="I73" s="85">
        <f>H73-H81</f>
        <v>-38.700000000411819</v>
      </c>
      <c r="J73" s="25">
        <f>I73/H73</f>
        <v>-1.322425882656473E-3</v>
      </c>
    </row>
    <row r="74" spans="1:10" ht="15.75" x14ac:dyDescent="0.25">
      <c r="A74" s="27" t="s">
        <v>94</v>
      </c>
      <c r="B74" s="183" t="s">
        <v>52</v>
      </c>
      <c r="C74" s="86">
        <v>51097676</v>
      </c>
      <c r="D74" s="88" t="s">
        <v>63</v>
      </c>
      <c r="E74" s="183">
        <v>2400</v>
      </c>
      <c r="F74" s="21">
        <v>766.47400000000005</v>
      </c>
      <c r="G74" s="21">
        <v>769.12900000000002</v>
      </c>
      <c r="H74" s="18">
        <f>(G74-F74)*E74</f>
        <v>6371.9999999999345</v>
      </c>
      <c r="I74" s="51"/>
      <c r="J74" s="58"/>
    </row>
    <row r="75" spans="1:10" ht="15.75" x14ac:dyDescent="0.25">
      <c r="A75" s="27" t="s">
        <v>95</v>
      </c>
      <c r="B75" s="183" t="s">
        <v>52</v>
      </c>
      <c r="C75" s="86">
        <v>51431355</v>
      </c>
      <c r="D75" s="184" t="s">
        <v>21</v>
      </c>
      <c r="E75" s="184">
        <v>3600</v>
      </c>
      <c r="F75" s="21">
        <v>393.71350000000001</v>
      </c>
      <c r="G75" s="21">
        <v>394.99299999999999</v>
      </c>
      <c r="H75" s="18">
        <f>(G75-F75)*E75</f>
        <v>4606.1999999999443</v>
      </c>
      <c r="I75" s="51"/>
      <c r="J75" s="52"/>
    </row>
    <row r="76" spans="1:10" ht="15.75" x14ac:dyDescent="0.25">
      <c r="A76" s="27" t="s">
        <v>96</v>
      </c>
      <c r="B76" s="183" t="s">
        <v>52</v>
      </c>
      <c r="C76" s="86">
        <v>51259331</v>
      </c>
      <c r="D76" s="88" t="s">
        <v>37</v>
      </c>
      <c r="E76" s="183">
        <v>600</v>
      </c>
      <c r="F76" s="21">
        <v>181.9615</v>
      </c>
      <c r="G76" s="21">
        <v>182.52699999999999</v>
      </c>
      <c r="H76" s="18">
        <f>(G76-F76)*E76</f>
        <v>339.29999999999154</v>
      </c>
      <c r="I76" s="51"/>
      <c r="J76" s="52"/>
    </row>
    <row r="77" spans="1:10" ht="15.75" x14ac:dyDescent="0.25">
      <c r="A77" s="27" t="s">
        <v>97</v>
      </c>
      <c r="B77" s="183" t="s">
        <v>52</v>
      </c>
      <c r="C77" s="86">
        <v>51259326</v>
      </c>
      <c r="D77" s="88" t="s">
        <v>14</v>
      </c>
      <c r="E77" s="183">
        <v>7200</v>
      </c>
      <c r="F77" s="21">
        <v>360.85579999999999</v>
      </c>
      <c r="G77" s="21">
        <v>362.14400000000001</v>
      </c>
      <c r="H77" s="18">
        <f>(G77-F77)*E77</f>
        <v>9275.0400000001264</v>
      </c>
      <c r="I77" s="51"/>
      <c r="J77" s="52"/>
    </row>
    <row r="78" spans="1:10" ht="15.75" x14ac:dyDescent="0.25">
      <c r="A78" s="27" t="s">
        <v>98</v>
      </c>
      <c r="B78" s="183" t="s">
        <v>52</v>
      </c>
      <c r="C78" s="86">
        <v>51431351</v>
      </c>
      <c r="D78" s="88" t="s">
        <v>14</v>
      </c>
      <c r="E78" s="183">
        <v>7200</v>
      </c>
      <c r="F78" s="21">
        <v>264.32319999999999</v>
      </c>
      <c r="G78" s="21">
        <v>265.53300000000002</v>
      </c>
      <c r="H78" s="18">
        <f>(G78-F78)*E78</f>
        <v>8710.5600000002141</v>
      </c>
      <c r="I78" s="51"/>
      <c r="J78" s="52"/>
    </row>
    <row r="79" spans="1:10" ht="15.75" x14ac:dyDescent="0.25">
      <c r="A79" s="89" t="s">
        <v>99</v>
      </c>
      <c r="B79" s="183" t="s">
        <v>52</v>
      </c>
      <c r="C79" s="90">
        <v>51097666</v>
      </c>
      <c r="D79" s="88" t="s">
        <v>63</v>
      </c>
      <c r="E79" s="183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83" t="s">
        <v>52</v>
      </c>
      <c r="C80" s="90">
        <v>51259323</v>
      </c>
      <c r="D80" s="88" t="s">
        <v>63</v>
      </c>
      <c r="E80" s="183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29303.10000000021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83" t="s">
        <v>52</v>
      </c>
      <c r="C83" s="106">
        <v>51431297</v>
      </c>
      <c r="D83" s="184" t="s">
        <v>53</v>
      </c>
      <c r="E83" s="100">
        <v>7000</v>
      </c>
      <c r="F83" s="17">
        <v>328.72640000000001</v>
      </c>
      <c r="G83" s="17">
        <v>329.48700000000002</v>
      </c>
      <c r="H83" s="18">
        <f>(G83-F83)*E83</f>
        <v>5324.2000000000753</v>
      </c>
      <c r="I83" s="107"/>
      <c r="J83" s="108"/>
    </row>
    <row r="84" spans="1:10" ht="15.75" x14ac:dyDescent="0.25">
      <c r="A84" s="105" t="s">
        <v>86</v>
      </c>
      <c r="B84" s="183" t="s">
        <v>52</v>
      </c>
      <c r="C84" s="106">
        <v>51431332</v>
      </c>
      <c r="D84" s="184" t="s">
        <v>53</v>
      </c>
      <c r="E84" s="100">
        <v>7000</v>
      </c>
      <c r="F84" s="17">
        <v>362.74380000000002</v>
      </c>
      <c r="G84" s="17">
        <v>364.50200000000001</v>
      </c>
      <c r="H84" s="18">
        <f>(G84-F84)*E84</f>
        <v>12307.399999999916</v>
      </c>
      <c r="I84" s="183"/>
      <c r="J84" s="58"/>
    </row>
    <row r="85" spans="1:10" ht="15.75" x14ac:dyDescent="0.25">
      <c r="A85" s="27" t="s">
        <v>87</v>
      </c>
      <c r="B85" s="183" t="s">
        <v>103</v>
      </c>
      <c r="C85" s="109">
        <v>150773</v>
      </c>
      <c r="D85" s="184" t="s">
        <v>53</v>
      </c>
      <c r="E85" s="109">
        <v>20</v>
      </c>
      <c r="F85" s="17">
        <v>15784.9</v>
      </c>
      <c r="G85" s="17">
        <v>15788.5</v>
      </c>
      <c r="H85" s="18">
        <f>(G85-F85)*E85</f>
        <v>72.000000000007276</v>
      </c>
      <c r="I85" s="51"/>
      <c r="J85" s="58"/>
    </row>
    <row r="86" spans="1:10" ht="15.75" x14ac:dyDescent="0.25">
      <c r="A86" s="27" t="s">
        <v>89</v>
      </c>
      <c r="B86" s="183" t="s">
        <v>103</v>
      </c>
      <c r="C86" s="109">
        <v>150791</v>
      </c>
      <c r="D86" s="184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85"/>
      <c r="C87" s="32"/>
      <c r="D87" s="82"/>
      <c r="E87" s="82"/>
      <c r="F87" s="21"/>
      <c r="G87" s="21"/>
      <c r="H87" s="48">
        <f>H83+H84</f>
        <v>17631.599999999991</v>
      </c>
      <c r="I87" s="85">
        <f>H87-H90-H85-H86</f>
        <v>351.60000000008222</v>
      </c>
      <c r="J87" s="25">
        <f>I87/H87</f>
        <v>1.9941468726609179E-2</v>
      </c>
    </row>
    <row r="88" spans="1:10" ht="15.75" x14ac:dyDescent="0.25">
      <c r="A88" s="27" t="s">
        <v>104</v>
      </c>
      <c r="B88" s="183" t="s">
        <v>52</v>
      </c>
      <c r="C88" s="106">
        <v>51431342</v>
      </c>
      <c r="D88" s="88" t="s">
        <v>34</v>
      </c>
      <c r="E88" s="183">
        <v>4800</v>
      </c>
      <c r="F88" s="21">
        <v>467.7663</v>
      </c>
      <c r="G88" s="21">
        <v>468.84699999999998</v>
      </c>
      <c r="H88" s="18">
        <f>(G88-F88)*E88</f>
        <v>5187.3599999998987</v>
      </c>
      <c r="I88" s="51"/>
      <c r="J88" s="52"/>
    </row>
    <row r="89" spans="1:10" ht="15.75" x14ac:dyDescent="0.25">
      <c r="A89" s="27" t="s">
        <v>105</v>
      </c>
      <c r="B89" s="183" t="s">
        <v>52</v>
      </c>
      <c r="C89" s="106">
        <v>51431343</v>
      </c>
      <c r="D89" s="88" t="s">
        <v>34</v>
      </c>
      <c r="E89" s="183">
        <v>4800</v>
      </c>
      <c r="F89" s="21">
        <v>511.48070000000001</v>
      </c>
      <c r="G89" s="21">
        <v>513.98500000000001</v>
      </c>
      <c r="H89" s="18">
        <f>(G89-F89)*E89</f>
        <v>12020.640000000003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17207.999999999902</v>
      </c>
      <c r="I90" s="85">
        <f>H90-H98</f>
        <v>-66.660000000170839</v>
      </c>
      <c r="J90" s="25">
        <f>I90/H90</f>
        <v>-3.8737796373879137E-3</v>
      </c>
    </row>
    <row r="91" spans="1:10" ht="15.75" x14ac:dyDescent="0.25">
      <c r="A91" s="27" t="s">
        <v>107</v>
      </c>
      <c r="B91" s="183" t="s">
        <v>52</v>
      </c>
      <c r="C91" s="106">
        <v>51431347</v>
      </c>
      <c r="D91" s="184" t="s">
        <v>53</v>
      </c>
      <c r="E91" s="183">
        <v>1200</v>
      </c>
      <c r="F91" s="21">
        <v>1216.0346999999999</v>
      </c>
      <c r="G91" s="21">
        <v>1224.5989999999999</v>
      </c>
      <c r="H91" s="18">
        <f>(G91-F91)*E91</f>
        <v>10277.160000000003</v>
      </c>
      <c r="I91" s="51"/>
      <c r="J91" s="52"/>
    </row>
    <row r="92" spans="1:10" ht="15.75" x14ac:dyDescent="0.25">
      <c r="A92" s="27" t="s">
        <v>108</v>
      </c>
      <c r="B92" s="183" t="s">
        <v>52</v>
      </c>
      <c r="C92" s="106">
        <v>51431339</v>
      </c>
      <c r="D92" s="184" t="s">
        <v>53</v>
      </c>
      <c r="E92" s="183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83" t="s">
        <v>52</v>
      </c>
      <c r="C93" s="106">
        <v>51217244</v>
      </c>
      <c r="D93" s="183" t="s">
        <v>37</v>
      </c>
      <c r="E93" s="183">
        <v>600</v>
      </c>
      <c r="F93" s="30">
        <v>353.26870000000002</v>
      </c>
      <c r="G93" s="30">
        <v>355.99799999999999</v>
      </c>
      <c r="H93" s="18">
        <f t="shared" si="4"/>
        <v>1637.5799999999799</v>
      </c>
      <c r="I93" s="51"/>
      <c r="J93" s="52"/>
    </row>
    <row r="94" spans="1:10" ht="15.75" x14ac:dyDescent="0.25">
      <c r="A94" s="27" t="s">
        <v>110</v>
      </c>
      <c r="B94" s="183" t="s">
        <v>52</v>
      </c>
      <c r="C94" s="106">
        <v>51217267</v>
      </c>
      <c r="D94" s="88" t="s">
        <v>63</v>
      </c>
      <c r="E94" s="183">
        <v>2400</v>
      </c>
      <c r="F94" s="30">
        <v>20.974499999999999</v>
      </c>
      <c r="G94" s="30">
        <v>21.03</v>
      </c>
      <c r="H94" s="18">
        <f t="shared" si="4"/>
        <v>133.20000000000505</v>
      </c>
      <c r="I94" s="51"/>
      <c r="J94" s="52"/>
    </row>
    <row r="95" spans="1:10" ht="15.75" x14ac:dyDescent="0.25">
      <c r="A95" s="27" t="s">
        <v>111</v>
      </c>
      <c r="B95" s="183" t="s">
        <v>52</v>
      </c>
      <c r="C95" s="183">
        <v>51555165</v>
      </c>
      <c r="D95" s="184" t="s">
        <v>53</v>
      </c>
      <c r="E95" s="183">
        <v>1200</v>
      </c>
      <c r="F95" s="30">
        <v>1007.984</v>
      </c>
      <c r="G95" s="30">
        <v>1007.984</v>
      </c>
      <c r="H95" s="18">
        <f t="shared" si="4"/>
        <v>0</v>
      </c>
      <c r="I95" s="51" t="s">
        <v>27</v>
      </c>
      <c r="J95" s="52"/>
    </row>
    <row r="96" spans="1:10" ht="15.75" x14ac:dyDescent="0.25">
      <c r="A96" s="113" t="s">
        <v>112</v>
      </c>
      <c r="B96" s="183" t="s">
        <v>52</v>
      </c>
      <c r="C96" s="106">
        <v>51431346</v>
      </c>
      <c r="D96" s="114" t="s">
        <v>37</v>
      </c>
      <c r="E96" s="114">
        <v>600</v>
      </c>
      <c r="F96" s="30">
        <v>392.33260000000001</v>
      </c>
      <c r="G96" s="30">
        <v>392.63900000000001</v>
      </c>
      <c r="H96" s="115">
        <f t="shared" si="4"/>
        <v>183.83999999999787</v>
      </c>
      <c r="I96" s="116"/>
      <c r="J96" s="117"/>
    </row>
    <row r="97" spans="1:10" ht="15.75" x14ac:dyDescent="0.25">
      <c r="A97" s="27" t="s">
        <v>113</v>
      </c>
      <c r="B97" s="183" t="s">
        <v>52</v>
      </c>
      <c r="C97" s="106">
        <v>51431352</v>
      </c>
      <c r="D97" s="88" t="s">
        <v>21</v>
      </c>
      <c r="E97" s="183">
        <v>3600</v>
      </c>
      <c r="F97" s="21">
        <v>262.40019999999998</v>
      </c>
      <c r="G97" s="21">
        <v>263.78100000000001</v>
      </c>
      <c r="H97" s="18">
        <f t="shared" si="4"/>
        <v>4970.8800000000792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17274.660000000073</v>
      </c>
      <c r="I98" s="51"/>
      <c r="J98" s="52"/>
    </row>
    <row r="99" spans="1:10" ht="15.75" x14ac:dyDescent="0.25">
      <c r="A99" s="45" t="s">
        <v>114</v>
      </c>
      <c r="B99" s="183" t="s">
        <v>52</v>
      </c>
      <c r="C99" s="120">
        <v>51431357</v>
      </c>
      <c r="D99" s="184" t="s">
        <v>63</v>
      </c>
      <c r="E99" s="184">
        <v>14000</v>
      </c>
      <c r="F99" s="28">
        <v>901.36810000000003</v>
      </c>
      <c r="G99" s="28">
        <v>905.02099999999996</v>
      </c>
      <c r="H99" s="121">
        <f t="shared" si="4"/>
        <v>51140.599999999038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>
      <selection sqref="A1:J99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136</v>
      </c>
      <c r="G2" s="4" t="s">
        <v>137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86" t="s">
        <v>13</v>
      </c>
      <c r="C4" s="186">
        <v>51555166</v>
      </c>
      <c r="D4" s="186" t="s">
        <v>14</v>
      </c>
      <c r="E4" s="186">
        <v>132000</v>
      </c>
      <c r="F4" s="17">
        <v>7.0529999999999999</v>
      </c>
      <c r="G4" s="17">
        <v>7.0609999999999999</v>
      </c>
      <c r="H4" s="18">
        <f>(G4-F4)*E4</f>
        <v>1056.0000000000009</v>
      </c>
      <c r="I4" s="19"/>
      <c r="J4" s="20"/>
    </row>
    <row r="5" spans="1:10" ht="15.75" x14ac:dyDescent="0.25">
      <c r="A5" s="15" t="s">
        <v>15</v>
      </c>
      <c r="B5" s="186" t="s">
        <v>13</v>
      </c>
      <c r="C5" s="186">
        <v>51555191</v>
      </c>
      <c r="D5" s="186" t="s">
        <v>14</v>
      </c>
      <c r="E5" s="186">
        <v>132000</v>
      </c>
      <c r="F5" s="21">
        <v>410.31900000000002</v>
      </c>
      <c r="G5" s="21">
        <v>412.13799999999998</v>
      </c>
      <c r="H5" s="18">
        <f>(G5-F5)*E5</f>
        <v>240107.9999999947</v>
      </c>
      <c r="I5" s="19"/>
      <c r="J5" s="20"/>
    </row>
    <row r="6" spans="1:10" ht="15.75" x14ac:dyDescent="0.25">
      <c r="A6" s="218" t="s">
        <v>16</v>
      </c>
      <c r="B6" s="219"/>
      <c r="C6" s="186"/>
      <c r="D6" s="187"/>
      <c r="E6" s="186"/>
      <c r="H6" s="23">
        <f>H4+H5</f>
        <v>241163.9999999947</v>
      </c>
      <c r="I6" s="24">
        <f>H6-H9-H19</f>
        <v>2087.9999999930587</v>
      </c>
      <c r="J6" s="25">
        <f>I6/H6</f>
        <v>8.6580086579800663E-3</v>
      </c>
    </row>
    <row r="7" spans="1:10" ht="15.75" x14ac:dyDescent="0.25">
      <c r="A7" s="26" t="s">
        <v>17</v>
      </c>
      <c r="B7" s="186" t="s">
        <v>13</v>
      </c>
      <c r="C7" s="186">
        <v>51097629</v>
      </c>
      <c r="D7" s="187" t="s">
        <v>14</v>
      </c>
      <c r="E7" s="186">
        <v>42000</v>
      </c>
      <c r="F7" s="21">
        <v>1189.6189999999999</v>
      </c>
      <c r="G7" s="21">
        <v>1193.636</v>
      </c>
      <c r="H7" s="18">
        <f>(G7-F7)*E7</f>
        <v>168714.00000000221</v>
      </c>
      <c r="I7" s="19"/>
      <c r="J7" s="20"/>
    </row>
    <row r="8" spans="1:10" ht="15.75" x14ac:dyDescent="0.25">
      <c r="A8" s="26" t="s">
        <v>18</v>
      </c>
      <c r="B8" s="186" t="s">
        <v>13</v>
      </c>
      <c r="C8" s="186">
        <v>51616820</v>
      </c>
      <c r="D8" s="187" t="s">
        <v>14</v>
      </c>
      <c r="E8" s="186">
        <v>42000</v>
      </c>
      <c r="F8" s="21">
        <v>15.467000000000001</v>
      </c>
      <c r="G8" s="21">
        <v>15.478999999999999</v>
      </c>
      <c r="H8" s="18">
        <f>(G8-F8)*E8</f>
        <v>503.99999999994452</v>
      </c>
      <c r="I8" s="19"/>
      <c r="J8" s="20"/>
    </row>
    <row r="9" spans="1:10" ht="15.75" x14ac:dyDescent="0.25">
      <c r="A9" s="218" t="s">
        <v>19</v>
      </c>
      <c r="B9" s="219"/>
      <c r="C9" s="186"/>
      <c r="D9" s="187"/>
      <c r="E9" s="186"/>
      <c r="F9" s="21"/>
      <c r="G9" s="21"/>
      <c r="H9" s="23">
        <f>H7+H8</f>
        <v>169218.00000000215</v>
      </c>
      <c r="I9" s="24">
        <f>H9-H16</f>
        <v>147.00000000043656</v>
      </c>
      <c r="J9" s="25">
        <f>I9/H9</f>
        <v>8.6870191114677331E-4</v>
      </c>
    </row>
    <row r="10" spans="1:10" ht="15.75" x14ac:dyDescent="0.25">
      <c r="A10" s="27" t="s">
        <v>20</v>
      </c>
      <c r="B10" s="186" t="s">
        <v>13</v>
      </c>
      <c r="C10" s="186">
        <v>51217286</v>
      </c>
      <c r="D10" s="187" t="s">
        <v>21</v>
      </c>
      <c r="E10" s="186">
        <v>21000</v>
      </c>
      <c r="F10" s="21">
        <v>936.98500000000001</v>
      </c>
      <c r="G10" s="21">
        <v>939.92600000000004</v>
      </c>
      <c r="H10" s="18">
        <f t="shared" ref="H10:H15" si="0">(G10-F10)*E10</f>
        <v>61761.000000000648</v>
      </c>
      <c r="I10" s="19"/>
      <c r="J10" s="20"/>
    </row>
    <row r="11" spans="1:10" ht="15.75" x14ac:dyDescent="0.25">
      <c r="A11" s="27" t="s">
        <v>22</v>
      </c>
      <c r="B11" s="186" t="s">
        <v>13</v>
      </c>
      <c r="C11" s="186">
        <v>51217292</v>
      </c>
      <c r="D11" s="187" t="s">
        <v>21</v>
      </c>
      <c r="E11" s="186">
        <v>21000</v>
      </c>
      <c r="F11" s="28">
        <v>3.9980000000000002</v>
      </c>
      <c r="G11" s="28">
        <v>4.0030000000000001</v>
      </c>
      <c r="H11" s="18">
        <f>(G11-F11)*E11</f>
        <v>104.99999999999775</v>
      </c>
      <c r="I11" s="19"/>
      <c r="J11" s="20"/>
    </row>
    <row r="12" spans="1:10" ht="15.75" x14ac:dyDescent="0.25">
      <c r="A12" s="27" t="s">
        <v>23</v>
      </c>
      <c r="B12" s="186" t="s">
        <v>13</v>
      </c>
      <c r="C12" s="186">
        <v>51217271</v>
      </c>
      <c r="D12" s="187" t="s">
        <v>21</v>
      </c>
      <c r="E12" s="186">
        <v>21000</v>
      </c>
      <c r="F12" s="21">
        <v>705.16899999999998</v>
      </c>
      <c r="G12" s="21">
        <v>707.43600000000004</v>
      </c>
      <c r="H12" s="18">
        <f t="shared" si="0"/>
        <v>47607.000000001106</v>
      </c>
      <c r="I12" s="19"/>
      <c r="J12" s="20"/>
    </row>
    <row r="13" spans="1:10" ht="15.75" x14ac:dyDescent="0.25">
      <c r="A13" s="27" t="s">
        <v>24</v>
      </c>
      <c r="B13" s="186" t="s">
        <v>13</v>
      </c>
      <c r="C13" s="186">
        <v>51217276</v>
      </c>
      <c r="D13" s="187" t="s">
        <v>21</v>
      </c>
      <c r="E13" s="186">
        <v>21000</v>
      </c>
      <c r="F13" s="28">
        <v>0.623</v>
      </c>
      <c r="G13" s="28">
        <v>0.625</v>
      </c>
      <c r="H13" s="18">
        <f>(G13-F13)*E13</f>
        <v>42.000000000000036</v>
      </c>
      <c r="I13" s="19"/>
      <c r="J13" s="20"/>
    </row>
    <row r="14" spans="1:10" ht="15.75" x14ac:dyDescent="0.25">
      <c r="A14" s="27" t="s">
        <v>25</v>
      </c>
      <c r="B14" s="186" t="s">
        <v>13</v>
      </c>
      <c r="C14" s="186">
        <v>51100990</v>
      </c>
      <c r="D14" s="187" t="s">
        <v>21</v>
      </c>
      <c r="E14" s="186">
        <v>21000</v>
      </c>
      <c r="F14" s="29">
        <v>756.46</v>
      </c>
      <c r="G14" s="29">
        <v>759.28700000000003</v>
      </c>
      <c r="H14" s="18">
        <f t="shared" si="0"/>
        <v>59366.999999999964</v>
      </c>
      <c r="I14" s="19"/>
      <c r="J14" s="20"/>
    </row>
    <row r="15" spans="1:10" ht="15.75" x14ac:dyDescent="0.25">
      <c r="A15" s="27" t="s">
        <v>26</v>
      </c>
      <c r="B15" s="186" t="s">
        <v>13</v>
      </c>
      <c r="C15" s="186">
        <v>51097622</v>
      </c>
      <c r="D15" s="187" t="s">
        <v>21</v>
      </c>
      <c r="E15" s="186">
        <v>21000</v>
      </c>
      <c r="F15" s="21">
        <v>9.423</v>
      </c>
      <c r="G15" s="21">
        <v>9.4320000000000004</v>
      </c>
      <c r="H15" s="18">
        <f t="shared" si="0"/>
        <v>189.00000000000716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86"/>
      <c r="D16" s="187"/>
      <c r="E16" s="186"/>
      <c r="F16" s="21"/>
      <c r="G16" s="21"/>
      <c r="H16" s="23">
        <f>H10+H11+H12+H13+H14+H15</f>
        <v>169071.00000000172</v>
      </c>
      <c r="I16" s="19"/>
      <c r="J16" s="20"/>
    </row>
    <row r="17" spans="1:10" ht="15.75" x14ac:dyDescent="0.25">
      <c r="A17" s="26" t="s">
        <v>29</v>
      </c>
      <c r="B17" s="186" t="s">
        <v>13</v>
      </c>
      <c r="C17" s="186">
        <v>51097617</v>
      </c>
      <c r="D17" s="187" t="s">
        <v>30</v>
      </c>
      <c r="E17" s="186">
        <v>18000</v>
      </c>
      <c r="F17" s="30">
        <v>935.05100000000004</v>
      </c>
      <c r="G17" s="30">
        <v>938.93200000000002</v>
      </c>
      <c r="H17" s="18">
        <f>(G17-F17)*E17</f>
        <v>69857.999999999491</v>
      </c>
      <c r="I17" s="19"/>
      <c r="J17" s="20"/>
    </row>
    <row r="18" spans="1:10" ht="15.75" x14ac:dyDescent="0.25">
      <c r="A18" s="26" t="s">
        <v>31</v>
      </c>
      <c r="B18" s="186" t="s">
        <v>13</v>
      </c>
      <c r="C18" s="186">
        <v>51097655</v>
      </c>
      <c r="D18" s="187" t="s">
        <v>30</v>
      </c>
      <c r="E18" s="186">
        <v>18000</v>
      </c>
      <c r="F18" s="30">
        <v>11.542</v>
      </c>
      <c r="G18" s="30">
        <v>11.542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86"/>
      <c r="D19" s="187"/>
      <c r="E19" s="186"/>
      <c r="F19" s="30"/>
      <c r="G19" s="30"/>
      <c r="H19" s="23">
        <f>H17+H18</f>
        <v>69857.999999999491</v>
      </c>
      <c r="I19" s="24">
        <f>H19-H34</f>
        <v>1725.5999999985506</v>
      </c>
      <c r="J19" s="25">
        <f>I19/H19</f>
        <v>2.4701537404428459E-2</v>
      </c>
    </row>
    <row r="20" spans="1:10" ht="15.75" x14ac:dyDescent="0.25">
      <c r="A20" s="15" t="s">
        <v>33</v>
      </c>
      <c r="B20" s="186" t="s">
        <v>13</v>
      </c>
      <c r="C20" s="186">
        <v>51217282</v>
      </c>
      <c r="D20" s="187" t="s">
        <v>34</v>
      </c>
      <c r="E20" s="186">
        <v>4800</v>
      </c>
      <c r="F20" s="21">
        <v>415.27</v>
      </c>
      <c r="G20" s="21">
        <v>421.62799999999999</v>
      </c>
      <c r="H20" s="18">
        <f t="shared" ref="H20:H33" si="1">(G20-F20)*E20</f>
        <v>30518.40000000002</v>
      </c>
      <c r="I20" s="19" t="s">
        <v>27</v>
      </c>
      <c r="J20" s="20"/>
    </row>
    <row r="21" spans="1:10" ht="15.75" x14ac:dyDescent="0.25">
      <c r="A21" s="15" t="s">
        <v>35</v>
      </c>
      <c r="B21" s="186" t="s">
        <v>13</v>
      </c>
      <c r="C21" s="186">
        <v>51217274</v>
      </c>
      <c r="D21" s="187" t="s">
        <v>34</v>
      </c>
      <c r="E21" s="186">
        <v>4800</v>
      </c>
      <c r="F21" s="21">
        <v>1428.6369999999999</v>
      </c>
      <c r="G21" s="21">
        <v>1429.1890000000001</v>
      </c>
      <c r="H21" s="18">
        <f t="shared" si="1"/>
        <v>2649.6000000006461</v>
      </c>
      <c r="I21" s="19"/>
      <c r="J21" s="20"/>
    </row>
    <row r="22" spans="1:10" ht="15.75" x14ac:dyDescent="0.25">
      <c r="A22" s="15" t="s">
        <v>36</v>
      </c>
      <c r="B22" s="186" t="s">
        <v>13</v>
      </c>
      <c r="C22" s="186">
        <v>51097664</v>
      </c>
      <c r="D22" s="187" t="s">
        <v>37</v>
      </c>
      <c r="E22" s="186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86" t="s">
        <v>13</v>
      </c>
      <c r="C23" s="186">
        <v>51097615</v>
      </c>
      <c r="D23" s="187" t="s">
        <v>37</v>
      </c>
      <c r="E23" s="186">
        <v>600</v>
      </c>
      <c r="F23" s="21">
        <v>49.616999999999997</v>
      </c>
      <c r="G23" s="21">
        <v>49.904000000000003</v>
      </c>
      <c r="H23" s="18">
        <f t="shared" si="1"/>
        <v>172.20000000000368</v>
      </c>
      <c r="I23" s="19"/>
      <c r="J23" s="20"/>
    </row>
    <row r="24" spans="1:10" ht="15.75" x14ac:dyDescent="0.25">
      <c r="A24" s="15" t="s">
        <v>39</v>
      </c>
      <c r="B24" s="186" t="s">
        <v>13</v>
      </c>
      <c r="C24" s="186">
        <v>51217264</v>
      </c>
      <c r="D24" s="187" t="s">
        <v>37</v>
      </c>
      <c r="E24" s="186">
        <v>600</v>
      </c>
      <c r="F24" s="21">
        <v>114.834</v>
      </c>
      <c r="G24" s="21">
        <v>115.316</v>
      </c>
      <c r="H24" s="18">
        <f t="shared" si="1"/>
        <v>289.19999999999959</v>
      </c>
      <c r="I24" s="19"/>
      <c r="J24" s="20"/>
    </row>
    <row r="25" spans="1:10" ht="15.75" x14ac:dyDescent="0.25">
      <c r="A25" s="15" t="s">
        <v>40</v>
      </c>
      <c r="B25" s="186" t="s">
        <v>13</v>
      </c>
      <c r="C25" s="186">
        <v>51217288</v>
      </c>
      <c r="D25" s="187" t="s">
        <v>37</v>
      </c>
      <c r="E25" s="186">
        <v>600</v>
      </c>
      <c r="F25" s="21">
        <v>21.041</v>
      </c>
      <c r="G25" s="21">
        <v>21.071999999999999</v>
      </c>
      <c r="H25" s="18">
        <f t="shared" si="1"/>
        <v>18.599999999999284</v>
      </c>
      <c r="I25" s="19" t="s">
        <v>27</v>
      </c>
      <c r="J25" s="20"/>
    </row>
    <row r="26" spans="1:10" ht="15.75" x14ac:dyDescent="0.25">
      <c r="A26" s="15" t="s">
        <v>41</v>
      </c>
      <c r="B26" s="186" t="s">
        <v>13</v>
      </c>
      <c r="C26" s="186">
        <v>51217279</v>
      </c>
      <c r="D26" s="187" t="s">
        <v>37</v>
      </c>
      <c r="E26" s="186">
        <v>600</v>
      </c>
      <c r="F26" s="21">
        <v>16.286999999999999</v>
      </c>
      <c r="G26" s="21">
        <v>16.341000000000001</v>
      </c>
      <c r="H26" s="18">
        <f t="shared" si="1"/>
        <v>32.400000000001228</v>
      </c>
      <c r="I26" s="19" t="s">
        <v>27</v>
      </c>
      <c r="J26" s="20"/>
    </row>
    <row r="27" spans="1:10" ht="15.75" x14ac:dyDescent="0.25">
      <c r="A27" s="15" t="s">
        <v>42</v>
      </c>
      <c r="B27" s="186" t="s">
        <v>13</v>
      </c>
      <c r="C27" s="186">
        <v>51217272</v>
      </c>
      <c r="D27" s="187" t="s">
        <v>37</v>
      </c>
      <c r="E27" s="186">
        <v>600</v>
      </c>
      <c r="F27" s="31">
        <v>15.975</v>
      </c>
      <c r="G27" s="31">
        <v>16.027000000000001</v>
      </c>
      <c r="H27" s="18">
        <f t="shared" si="1"/>
        <v>31.200000000000827</v>
      </c>
      <c r="I27" s="19"/>
      <c r="J27" s="20"/>
    </row>
    <row r="28" spans="1:10" ht="15.75" x14ac:dyDescent="0.25">
      <c r="A28" s="15" t="s">
        <v>43</v>
      </c>
      <c r="B28" s="186" t="s">
        <v>13</v>
      </c>
      <c r="C28" s="186">
        <v>51616744</v>
      </c>
      <c r="D28" s="187">
        <f>300/5</f>
        <v>60</v>
      </c>
      <c r="E28" s="186">
        <v>3600</v>
      </c>
      <c r="F28" s="31">
        <v>109.78400000000001</v>
      </c>
      <c r="G28" s="31">
        <v>109.78400000000001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86" t="s">
        <v>13</v>
      </c>
      <c r="C29" s="186">
        <v>51555226</v>
      </c>
      <c r="D29" s="187">
        <f>300/5</f>
        <v>60</v>
      </c>
      <c r="E29" s="186">
        <v>3600</v>
      </c>
      <c r="F29" s="31">
        <v>585.77099999999996</v>
      </c>
      <c r="G29" s="31">
        <v>588.40700000000004</v>
      </c>
      <c r="H29" s="18">
        <f>(G29-F29)*E29</f>
        <v>9489.6000000002914</v>
      </c>
      <c r="I29" s="19"/>
      <c r="J29" s="20"/>
    </row>
    <row r="30" spans="1:10" ht="15.75" x14ac:dyDescent="0.25">
      <c r="A30" s="15" t="s">
        <v>45</v>
      </c>
      <c r="B30" s="186" t="s">
        <v>13</v>
      </c>
      <c r="C30" s="186">
        <v>51097658</v>
      </c>
      <c r="D30" s="187" t="s">
        <v>34</v>
      </c>
      <c r="E30" s="186">
        <v>4800</v>
      </c>
      <c r="F30" s="31">
        <v>733.37900000000002</v>
      </c>
      <c r="G30" s="31">
        <v>736.23400000000004</v>
      </c>
      <c r="H30" s="18">
        <f t="shared" si="1"/>
        <v>13704.000000000087</v>
      </c>
      <c r="I30" s="19"/>
      <c r="J30" s="20"/>
    </row>
    <row r="31" spans="1:10" ht="15.75" x14ac:dyDescent="0.25">
      <c r="A31" s="15" t="s">
        <v>46</v>
      </c>
      <c r="B31" s="186" t="s">
        <v>13</v>
      </c>
      <c r="C31" s="186">
        <v>51097635</v>
      </c>
      <c r="D31" s="187" t="s">
        <v>34</v>
      </c>
      <c r="E31" s="186">
        <v>4800</v>
      </c>
      <c r="F31" s="31">
        <v>48.499000000000002</v>
      </c>
      <c r="G31" s="31">
        <v>48.500999999999998</v>
      </c>
      <c r="H31" s="18">
        <f t="shared" si="1"/>
        <v>9.5999999999776264</v>
      </c>
      <c r="I31" s="19"/>
      <c r="J31" s="20"/>
    </row>
    <row r="32" spans="1:10" ht="15.75" x14ac:dyDescent="0.25">
      <c r="A32" s="15" t="s">
        <v>47</v>
      </c>
      <c r="B32" s="186" t="s">
        <v>13</v>
      </c>
      <c r="C32" s="32">
        <v>51097633</v>
      </c>
      <c r="D32" s="187" t="s">
        <v>34</v>
      </c>
      <c r="E32" s="186">
        <v>4800</v>
      </c>
      <c r="F32" s="31">
        <v>226.40100000000001</v>
      </c>
      <c r="G32" s="31">
        <v>228.69499999999999</v>
      </c>
      <c r="H32" s="33">
        <f t="shared" si="1"/>
        <v>11011.199999999917</v>
      </c>
      <c r="I32" s="34"/>
      <c r="J32" s="35"/>
    </row>
    <row r="33" spans="1:10" ht="15.75" x14ac:dyDescent="0.25">
      <c r="A33" s="15" t="s">
        <v>48</v>
      </c>
      <c r="B33" s="186" t="s">
        <v>13</v>
      </c>
      <c r="C33" s="32">
        <v>51097662</v>
      </c>
      <c r="D33" s="187" t="s">
        <v>34</v>
      </c>
      <c r="E33" s="186">
        <v>4800</v>
      </c>
      <c r="F33" s="31">
        <v>4.5579999999999998</v>
      </c>
      <c r="G33" s="31">
        <v>4.601</v>
      </c>
      <c r="H33" s="33">
        <f t="shared" si="1"/>
        <v>206.40000000000072</v>
      </c>
      <c r="I33" s="34"/>
      <c r="J33" s="35"/>
    </row>
    <row r="34" spans="1:10" ht="15.75" x14ac:dyDescent="0.25">
      <c r="A34" s="218" t="s">
        <v>49</v>
      </c>
      <c r="B34" s="219"/>
      <c r="C34" s="186"/>
      <c r="D34" s="187"/>
      <c r="E34" s="186"/>
      <c r="F34" s="36"/>
      <c r="G34" s="36"/>
      <c r="H34" s="23">
        <f>H20+H21+H22+H23+H24+H25+H26+H27+H28+H29+H30+H31+H32+H33</f>
        <v>68132.40000000094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86" t="s">
        <v>52</v>
      </c>
      <c r="C36" s="186">
        <v>51555209</v>
      </c>
      <c r="D36" s="187" t="s">
        <v>53</v>
      </c>
      <c r="E36" s="186">
        <v>7000</v>
      </c>
      <c r="F36" s="17">
        <v>6.2839999999999998</v>
      </c>
      <c r="G36" s="17">
        <v>6.298</v>
      </c>
      <c r="H36" s="41">
        <f>(G36-F36)*E36</f>
        <v>98.000000000001648</v>
      </c>
      <c r="I36" s="42"/>
      <c r="J36" s="14"/>
    </row>
    <row r="37" spans="1:10" ht="15.75" x14ac:dyDescent="0.25">
      <c r="A37" s="15" t="s">
        <v>54</v>
      </c>
      <c r="B37" s="186" t="s">
        <v>52</v>
      </c>
      <c r="C37" s="186">
        <v>51555209</v>
      </c>
      <c r="D37" s="187" t="s">
        <v>53</v>
      </c>
      <c r="E37" s="186">
        <v>7000</v>
      </c>
      <c r="F37" s="21">
        <v>11.27</v>
      </c>
      <c r="G37" s="21">
        <v>11.319000000000001</v>
      </c>
      <c r="H37" s="18">
        <f>(G37-F37)*E37</f>
        <v>343.00000000000887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86" t="s">
        <v>52</v>
      </c>
      <c r="C39" s="186">
        <v>51097674</v>
      </c>
      <c r="D39" s="186" t="s">
        <v>14</v>
      </c>
      <c r="E39" s="186">
        <v>7200</v>
      </c>
      <c r="F39" s="21">
        <v>643.80899999999997</v>
      </c>
      <c r="G39" s="21">
        <v>645.97799999999995</v>
      </c>
      <c r="H39" s="18">
        <f>(G39-F39)*E39</f>
        <v>15616.799999999876</v>
      </c>
      <c r="I39" s="47"/>
      <c r="J39" s="20"/>
    </row>
    <row r="40" spans="1:10" ht="15.75" x14ac:dyDescent="0.25">
      <c r="A40" s="27" t="s">
        <v>57</v>
      </c>
      <c r="B40" s="186" t="s">
        <v>52</v>
      </c>
      <c r="C40" s="186">
        <v>51259257</v>
      </c>
      <c r="D40" s="186" t="s">
        <v>14</v>
      </c>
      <c r="E40" s="186">
        <v>7200</v>
      </c>
      <c r="F40" s="21">
        <v>1.0549999999999999</v>
      </c>
      <c r="G40" s="21">
        <v>1.0549999999999999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86"/>
      <c r="C41" s="186"/>
      <c r="D41" s="186"/>
      <c r="E41" s="186"/>
      <c r="F41" s="21"/>
      <c r="G41" s="21"/>
      <c r="H41" s="48">
        <f>H39+H40</f>
        <v>15616.799999999876</v>
      </c>
      <c r="I41" s="24">
        <f>H41-H49</f>
        <v>-105.20000000035179</v>
      </c>
      <c r="J41" s="25">
        <f>I41/H41</f>
        <v>-6.736335228750617E-3</v>
      </c>
    </row>
    <row r="42" spans="1:10" ht="15.75" x14ac:dyDescent="0.25">
      <c r="A42" s="15" t="s">
        <v>59</v>
      </c>
      <c r="B42" s="186"/>
      <c r="C42" s="186"/>
      <c r="D42" s="187"/>
      <c r="E42" s="186"/>
      <c r="H42" s="18"/>
      <c r="I42" s="43"/>
      <c r="J42" s="20"/>
    </row>
    <row r="43" spans="1:10" ht="15.75" x14ac:dyDescent="0.25">
      <c r="A43" s="27" t="s">
        <v>60</v>
      </c>
      <c r="B43" s="186" t="s">
        <v>52</v>
      </c>
      <c r="C43" s="32">
        <v>51097648</v>
      </c>
      <c r="D43" s="186" t="s">
        <v>53</v>
      </c>
      <c r="E43" s="186">
        <v>1200</v>
      </c>
      <c r="F43" s="21">
        <v>526.61500000000001</v>
      </c>
      <c r="G43" s="21">
        <v>528.35500000000002</v>
      </c>
      <c r="H43" s="33">
        <f>(G43-F43)*E43</f>
        <v>2088.0000000000109</v>
      </c>
      <c r="I43" s="43"/>
      <c r="J43" s="20"/>
    </row>
    <row r="44" spans="1:10" ht="15.75" x14ac:dyDescent="0.25">
      <c r="A44" s="27" t="s">
        <v>61</v>
      </c>
      <c r="B44" s="186" t="s">
        <v>52</v>
      </c>
      <c r="C44" s="32">
        <v>50555043</v>
      </c>
      <c r="D44" s="186" t="s">
        <v>53</v>
      </c>
      <c r="E44" s="186">
        <v>1200</v>
      </c>
      <c r="F44" s="21">
        <v>2204.1469999999999</v>
      </c>
      <c r="G44" s="21">
        <v>2211.723</v>
      </c>
      <c r="H44" s="33">
        <f>(G44-F44)*E44</f>
        <v>9091.2000000000262</v>
      </c>
      <c r="I44" s="43"/>
      <c r="J44" s="20"/>
    </row>
    <row r="45" spans="1:10" ht="15.75" x14ac:dyDescent="0.25">
      <c r="A45" s="27" t="s">
        <v>62</v>
      </c>
      <c r="B45" s="186" t="s">
        <v>52</v>
      </c>
      <c r="C45" s="32">
        <v>51259336</v>
      </c>
      <c r="D45" s="186" t="s">
        <v>63</v>
      </c>
      <c r="E45" s="186">
        <v>2400</v>
      </c>
      <c r="F45" s="21">
        <v>4.42</v>
      </c>
      <c r="G45" s="21">
        <v>4.4329999999999998</v>
      </c>
      <c r="H45" s="33">
        <f>(G45-F45)*E45</f>
        <v>31.199999999999761</v>
      </c>
      <c r="I45" s="43"/>
      <c r="J45" s="20"/>
    </row>
    <row r="46" spans="1:10" ht="15.75" x14ac:dyDescent="0.25">
      <c r="A46" s="27" t="s">
        <v>64</v>
      </c>
      <c r="B46" s="186" t="s">
        <v>52</v>
      </c>
      <c r="C46" s="32">
        <v>51259266</v>
      </c>
      <c r="D46" s="186" t="s">
        <v>53</v>
      </c>
      <c r="E46" s="186">
        <v>1200</v>
      </c>
      <c r="F46" s="21">
        <v>1069.6569999999999</v>
      </c>
      <c r="G46" s="21">
        <v>1073.1210000000001</v>
      </c>
      <c r="H46" s="33">
        <f>(G46-F46)*E46</f>
        <v>4156.800000000203</v>
      </c>
      <c r="I46" s="43"/>
      <c r="J46" s="20"/>
    </row>
    <row r="47" spans="1:10" ht="15.75" x14ac:dyDescent="0.25">
      <c r="A47" s="27" t="s">
        <v>65</v>
      </c>
      <c r="B47" s="186" t="s">
        <v>52</v>
      </c>
      <c r="C47" s="32">
        <v>51431336</v>
      </c>
      <c r="D47" s="186" t="s">
        <v>53</v>
      </c>
      <c r="E47" s="186">
        <v>1200</v>
      </c>
      <c r="F47" s="21">
        <v>65.177000000000007</v>
      </c>
      <c r="G47" s="21">
        <v>65.430999999999997</v>
      </c>
      <c r="H47" s="33">
        <f>(G47-F47)*E47</f>
        <v>304.79999999998881</v>
      </c>
      <c r="I47" s="43"/>
      <c r="J47" s="20"/>
    </row>
    <row r="48" spans="1:10" ht="15.75" x14ac:dyDescent="0.25">
      <c r="A48" s="15" t="s">
        <v>66</v>
      </c>
      <c r="B48" s="186" t="s">
        <v>67</v>
      </c>
      <c r="C48" s="186">
        <v>49174</v>
      </c>
      <c r="D48" s="187" t="s">
        <v>53</v>
      </c>
      <c r="E48" s="186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15722.000000000227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86" t="s">
        <v>52</v>
      </c>
      <c r="C51" s="186">
        <v>51097603</v>
      </c>
      <c r="D51" s="187" t="s">
        <v>53</v>
      </c>
      <c r="E51" s="186">
        <v>7000</v>
      </c>
      <c r="F51" s="17">
        <v>2089.8449999999998</v>
      </c>
      <c r="G51" s="17">
        <v>2096.2710000000002</v>
      </c>
      <c r="H51" s="18">
        <f>(G51-F51)*E51</f>
        <v>44982.000000002699</v>
      </c>
      <c r="I51" s="43"/>
      <c r="J51" s="20"/>
    </row>
    <row r="52" spans="1:10" ht="15.75" x14ac:dyDescent="0.25">
      <c r="A52" s="27" t="s">
        <v>72</v>
      </c>
      <c r="B52" s="186" t="s">
        <v>52</v>
      </c>
      <c r="C52" s="186">
        <v>51097590</v>
      </c>
      <c r="D52" s="187" t="s">
        <v>53</v>
      </c>
      <c r="E52" s="186">
        <v>7000</v>
      </c>
      <c r="F52" s="21">
        <v>13.157999999999999</v>
      </c>
      <c r="G52" s="21">
        <v>13.180999999999999</v>
      </c>
      <c r="H52" s="18">
        <f>(G52-F52)*E52</f>
        <v>160.99999999999781</v>
      </c>
      <c r="I52" s="43"/>
      <c r="J52" s="20"/>
    </row>
    <row r="53" spans="1:10" ht="15.75" x14ac:dyDescent="0.25">
      <c r="A53" s="15" t="s">
        <v>66</v>
      </c>
      <c r="B53" s="186" t="s">
        <v>67</v>
      </c>
      <c r="C53" s="186">
        <v>49174</v>
      </c>
      <c r="D53" s="187" t="s">
        <v>53</v>
      </c>
      <c r="E53" s="186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86"/>
      <c r="D54" s="187"/>
      <c r="E54" s="186"/>
      <c r="F54" s="21"/>
      <c r="G54" s="21"/>
      <c r="H54" s="48">
        <f>H51+H52+H53</f>
        <v>45243.000000002699</v>
      </c>
      <c r="I54" s="47"/>
      <c r="J54" s="59"/>
    </row>
    <row r="55" spans="1:10" ht="15.75" x14ac:dyDescent="0.25">
      <c r="A55" s="27" t="s">
        <v>74</v>
      </c>
      <c r="B55" s="186" t="s">
        <v>52</v>
      </c>
      <c r="C55" s="186">
        <v>51100980</v>
      </c>
      <c r="D55" s="186" t="s">
        <v>75</v>
      </c>
      <c r="E55" s="186">
        <v>12000</v>
      </c>
      <c r="F55" s="21">
        <v>1229.183</v>
      </c>
      <c r="G55" s="21">
        <v>1232.9359999999999</v>
      </c>
      <c r="H55" s="18">
        <f>(G55-F55)*E55</f>
        <v>45035.999999999149</v>
      </c>
      <c r="I55" s="47"/>
      <c r="J55" s="58"/>
    </row>
    <row r="56" spans="1:10" ht="15.75" x14ac:dyDescent="0.25">
      <c r="A56" s="27" t="s">
        <v>76</v>
      </c>
      <c r="B56" s="186" t="s">
        <v>52</v>
      </c>
      <c r="C56" s="186">
        <v>51097623</v>
      </c>
      <c r="D56" s="186" t="s">
        <v>75</v>
      </c>
      <c r="E56" s="186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86"/>
      <c r="C57" s="186"/>
      <c r="D57" s="186"/>
      <c r="E57" s="186"/>
      <c r="F57" s="21"/>
      <c r="G57" s="21"/>
      <c r="H57" s="48">
        <f>H55+H56</f>
        <v>45035.999999999149</v>
      </c>
      <c r="I57" s="61">
        <f>H54-H64-H53</f>
        <v>-17.799999996634142</v>
      </c>
      <c r="J57" s="25">
        <f>I57/H57</f>
        <v>-3.9523936398957451E-4</v>
      </c>
    </row>
    <row r="58" spans="1:10" ht="15.75" x14ac:dyDescent="0.25">
      <c r="A58" s="27" t="s">
        <v>78</v>
      </c>
      <c r="B58" s="186" t="s">
        <v>52</v>
      </c>
      <c r="C58" s="186">
        <v>51097675</v>
      </c>
      <c r="D58" s="186" t="s">
        <v>34</v>
      </c>
      <c r="E58" s="186">
        <v>4800</v>
      </c>
      <c r="F58" s="21">
        <v>572.38900000000001</v>
      </c>
      <c r="G58" s="21">
        <v>574.36500000000001</v>
      </c>
      <c r="H58" s="18">
        <f t="shared" ref="H58:H63" si="2">(G58-F58)*E58</f>
        <v>9484.7999999999956</v>
      </c>
      <c r="I58" s="62"/>
      <c r="J58" s="59"/>
    </row>
    <row r="59" spans="1:10" ht="15.75" x14ac:dyDescent="0.25">
      <c r="A59" s="27" t="s">
        <v>79</v>
      </c>
      <c r="B59" s="186" t="s">
        <v>52</v>
      </c>
      <c r="C59" s="186">
        <v>51100997</v>
      </c>
      <c r="D59" s="186" t="s">
        <v>21</v>
      </c>
      <c r="E59" s="186">
        <v>3600</v>
      </c>
      <c r="F59" s="21">
        <v>1438.8720000000001</v>
      </c>
      <c r="G59" s="21">
        <v>1441.422</v>
      </c>
      <c r="H59" s="18">
        <f t="shared" si="2"/>
        <v>9179.9999999998363</v>
      </c>
      <c r="I59" s="62"/>
      <c r="J59" s="59"/>
    </row>
    <row r="60" spans="1:10" ht="15.75" x14ac:dyDescent="0.25">
      <c r="A60" s="27" t="s">
        <v>80</v>
      </c>
      <c r="B60" s="186" t="s">
        <v>52</v>
      </c>
      <c r="C60" s="186">
        <v>51555218</v>
      </c>
      <c r="D60" s="186">
        <f>400/5</f>
        <v>80</v>
      </c>
      <c r="E60" s="186">
        <v>4800</v>
      </c>
      <c r="F60" s="21">
        <v>74.557000000000002</v>
      </c>
      <c r="G60" s="21">
        <v>74.841999999999999</v>
      </c>
      <c r="H60" s="18">
        <f t="shared" si="2"/>
        <v>1367.9999999999836</v>
      </c>
      <c r="I60" s="62"/>
      <c r="J60" s="59"/>
    </row>
    <row r="61" spans="1:10" ht="15.75" x14ac:dyDescent="0.25">
      <c r="A61" s="27" t="s">
        <v>81</v>
      </c>
      <c r="B61" s="186" t="s">
        <v>52</v>
      </c>
      <c r="C61" s="186">
        <v>51555151</v>
      </c>
      <c r="D61" s="186">
        <f>400/5</f>
        <v>80</v>
      </c>
      <c r="E61" s="186">
        <v>4800</v>
      </c>
      <c r="F61" s="63">
        <v>0.30599999999999999</v>
      </c>
      <c r="G61" s="63">
        <v>0.30599999999999999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86" t="s">
        <v>52</v>
      </c>
      <c r="C62" s="186">
        <v>51097599</v>
      </c>
      <c r="D62" s="186" t="s">
        <v>21</v>
      </c>
      <c r="E62" s="186">
        <v>3600</v>
      </c>
      <c r="F62" s="21">
        <v>1020.263</v>
      </c>
      <c r="G62" s="21">
        <v>1023.4589999999999</v>
      </c>
      <c r="H62" s="18">
        <f t="shared" si="2"/>
        <v>11505.599999999686</v>
      </c>
      <c r="I62" s="62"/>
      <c r="J62" s="59"/>
    </row>
    <row r="63" spans="1:10" ht="15.75" x14ac:dyDescent="0.25">
      <c r="A63" s="27" t="s">
        <v>83</v>
      </c>
      <c r="B63" s="186" t="s">
        <v>52</v>
      </c>
      <c r="C63" s="186">
        <v>51097620</v>
      </c>
      <c r="D63" s="186" t="s">
        <v>34</v>
      </c>
      <c r="E63" s="186">
        <v>4800</v>
      </c>
      <c r="F63" s="21">
        <v>571.68200000000002</v>
      </c>
      <c r="G63" s="21">
        <v>574.52</v>
      </c>
      <c r="H63" s="18">
        <f t="shared" si="2"/>
        <v>13622.399999999834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45160.799999999334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86" t="s">
        <v>52</v>
      </c>
      <c r="C66" s="9">
        <v>51259238</v>
      </c>
      <c r="D66" s="74" t="s">
        <v>53</v>
      </c>
      <c r="E66" s="74">
        <v>7000</v>
      </c>
      <c r="F66" s="75">
        <v>614.649</v>
      </c>
      <c r="G66" s="75">
        <v>616.93200000000002</v>
      </c>
      <c r="H66" s="76">
        <f>(G66-F66)*E66</f>
        <v>15981.000000000109</v>
      </c>
      <c r="I66" s="77"/>
      <c r="J66" s="78"/>
    </row>
    <row r="67" spans="1:10" ht="15.75" x14ac:dyDescent="0.25">
      <c r="A67" s="27" t="s">
        <v>86</v>
      </c>
      <c r="B67" s="186" t="s">
        <v>52</v>
      </c>
      <c r="C67" s="186">
        <v>51259324</v>
      </c>
      <c r="D67" s="187" t="s">
        <v>53</v>
      </c>
      <c r="E67" s="187">
        <v>7000</v>
      </c>
      <c r="F67" s="21">
        <v>475.20400000000001</v>
      </c>
      <c r="G67" s="21">
        <v>477.07499999999999</v>
      </c>
      <c r="H67" s="18">
        <f>(G67-F67)*E67</f>
        <v>13096.999999999865</v>
      </c>
      <c r="I67" s="51"/>
      <c r="J67" s="58"/>
    </row>
    <row r="68" spans="1:10" ht="15.75" x14ac:dyDescent="0.25">
      <c r="A68" s="27" t="s">
        <v>87</v>
      </c>
      <c r="B68" s="79" t="s">
        <v>88</v>
      </c>
      <c r="C68" s="186">
        <v>51491618</v>
      </c>
      <c r="D68" s="187" t="s">
        <v>63</v>
      </c>
      <c r="E68" s="186">
        <v>40</v>
      </c>
      <c r="F68" s="28">
        <v>1438.079</v>
      </c>
      <c r="G68" s="28">
        <v>1443.9090000000001</v>
      </c>
      <c r="H68" s="18">
        <f>(G68-F68)*E68</f>
        <v>233.20000000000618</v>
      </c>
      <c r="I68" s="51"/>
      <c r="J68" s="58"/>
    </row>
    <row r="69" spans="1:10" ht="15.75" x14ac:dyDescent="0.25">
      <c r="A69" s="27" t="s">
        <v>89</v>
      </c>
      <c r="B69" s="79" t="s">
        <v>88</v>
      </c>
      <c r="C69" s="186">
        <v>51491624</v>
      </c>
      <c r="D69" s="187" t="s">
        <v>63</v>
      </c>
      <c r="E69" s="186">
        <v>40</v>
      </c>
      <c r="F69" s="28">
        <v>188.41399999999999</v>
      </c>
      <c r="G69" s="28">
        <v>188.85</v>
      </c>
      <c r="H69" s="18">
        <f>(G69-F69)*E69</f>
        <v>17.440000000000282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29077.999999999975</v>
      </c>
      <c r="I70" s="85">
        <f>H70-H73-H68-H69</f>
        <v>-836.63999999979183</v>
      </c>
      <c r="J70" s="25">
        <f>I70/H70</f>
        <v>-2.8772267693781984E-2</v>
      </c>
    </row>
    <row r="71" spans="1:10" ht="15.75" x14ac:dyDescent="0.25">
      <c r="A71" s="27" t="s">
        <v>91</v>
      </c>
      <c r="B71" s="186" t="s">
        <v>52</v>
      </c>
      <c r="C71" s="86">
        <v>51097588</v>
      </c>
      <c r="D71" s="187" t="s">
        <v>75</v>
      </c>
      <c r="E71" s="186">
        <v>12000</v>
      </c>
      <c r="F71" s="21">
        <v>366.82600000000002</v>
      </c>
      <c r="G71" s="21">
        <v>368.14699999999999</v>
      </c>
      <c r="H71" s="18">
        <f>(G71-F71)*E71</f>
        <v>15851.999999999634</v>
      </c>
      <c r="I71" s="51"/>
      <c r="J71" s="58"/>
    </row>
    <row r="72" spans="1:10" ht="15.75" x14ac:dyDescent="0.25">
      <c r="A72" s="27" t="s">
        <v>92</v>
      </c>
      <c r="B72" s="186" t="s">
        <v>52</v>
      </c>
      <c r="C72" s="86">
        <v>51431335</v>
      </c>
      <c r="D72" s="187" t="s">
        <v>75</v>
      </c>
      <c r="E72" s="186">
        <v>12000</v>
      </c>
      <c r="F72" s="21">
        <v>289.995</v>
      </c>
      <c r="G72" s="21">
        <v>291.14600000000002</v>
      </c>
      <c r="H72" s="18">
        <f>(G72-F72)*E72</f>
        <v>13812.000000000126</v>
      </c>
      <c r="I72" s="51"/>
      <c r="J72" s="58"/>
    </row>
    <row r="73" spans="1:10" ht="15.75" x14ac:dyDescent="0.25">
      <c r="A73" s="87" t="s">
        <v>93</v>
      </c>
      <c r="B73" s="186" t="s">
        <v>27</v>
      </c>
      <c r="C73" s="186"/>
      <c r="D73" s="187"/>
      <c r="E73" s="186"/>
      <c r="F73" s="21"/>
      <c r="G73" s="21"/>
      <c r="H73" s="48">
        <f>H71+ H72</f>
        <v>29663.99999999976</v>
      </c>
      <c r="I73" s="85">
        <f>H73-H81</f>
        <v>-46.200000000288128</v>
      </c>
      <c r="J73" s="25">
        <f>I73/H73</f>
        <v>-1.5574433657055185E-3</v>
      </c>
    </row>
    <row r="74" spans="1:10" ht="15.75" x14ac:dyDescent="0.25">
      <c r="A74" s="27" t="s">
        <v>94</v>
      </c>
      <c r="B74" s="186" t="s">
        <v>52</v>
      </c>
      <c r="C74" s="86">
        <v>51097676</v>
      </c>
      <c r="D74" s="88" t="s">
        <v>63</v>
      </c>
      <c r="E74" s="186">
        <v>2400</v>
      </c>
      <c r="F74" s="21">
        <v>769.12900000000002</v>
      </c>
      <c r="G74" s="21">
        <v>771.87199999999996</v>
      </c>
      <c r="H74" s="18">
        <f>(G74-F74)*E74</f>
        <v>6583.1999999998516</v>
      </c>
      <c r="I74" s="51"/>
      <c r="J74" s="58"/>
    </row>
    <row r="75" spans="1:10" ht="15.75" x14ac:dyDescent="0.25">
      <c r="A75" s="27" t="s">
        <v>95</v>
      </c>
      <c r="B75" s="186" t="s">
        <v>52</v>
      </c>
      <c r="C75" s="86">
        <v>51431355</v>
      </c>
      <c r="D75" s="187" t="s">
        <v>21</v>
      </c>
      <c r="E75" s="187">
        <v>3600</v>
      </c>
      <c r="F75" s="21">
        <v>394.99299999999999</v>
      </c>
      <c r="G75" s="21">
        <v>396.27300000000002</v>
      </c>
      <c r="H75" s="18">
        <f>(G75-F75)*E75</f>
        <v>4608.0000000001064</v>
      </c>
      <c r="I75" s="51"/>
      <c r="J75" s="52"/>
    </row>
    <row r="76" spans="1:10" ht="15.75" x14ac:dyDescent="0.25">
      <c r="A76" s="27" t="s">
        <v>96</v>
      </c>
      <c r="B76" s="186" t="s">
        <v>52</v>
      </c>
      <c r="C76" s="86">
        <v>51259331</v>
      </c>
      <c r="D76" s="88" t="s">
        <v>37</v>
      </c>
      <c r="E76" s="186">
        <v>600</v>
      </c>
      <c r="F76" s="21">
        <v>182.52699999999999</v>
      </c>
      <c r="G76" s="21">
        <v>183.08</v>
      </c>
      <c r="H76" s="18">
        <f>(G76-F76)*E76</f>
        <v>331.80000000001542</v>
      </c>
      <c r="I76" s="51"/>
      <c r="J76" s="52"/>
    </row>
    <row r="77" spans="1:10" ht="15.75" x14ac:dyDescent="0.25">
      <c r="A77" s="27" t="s">
        <v>97</v>
      </c>
      <c r="B77" s="186" t="s">
        <v>52</v>
      </c>
      <c r="C77" s="86">
        <v>51259326</v>
      </c>
      <c r="D77" s="88" t="s">
        <v>14</v>
      </c>
      <c r="E77" s="186">
        <v>7200</v>
      </c>
      <c r="F77" s="21">
        <v>362.14400000000001</v>
      </c>
      <c r="G77" s="21">
        <v>363.43700000000001</v>
      </c>
      <c r="H77" s="18">
        <f>(G77-F77)*E77</f>
        <v>9309.6000000000458</v>
      </c>
      <c r="I77" s="51"/>
      <c r="J77" s="52"/>
    </row>
    <row r="78" spans="1:10" ht="15.75" x14ac:dyDescent="0.25">
      <c r="A78" s="27" t="s">
        <v>98</v>
      </c>
      <c r="B78" s="186" t="s">
        <v>52</v>
      </c>
      <c r="C78" s="86">
        <v>51431351</v>
      </c>
      <c r="D78" s="88" t="s">
        <v>14</v>
      </c>
      <c r="E78" s="186">
        <v>7200</v>
      </c>
      <c r="F78" s="21">
        <v>265.53300000000002</v>
      </c>
      <c r="G78" s="21">
        <v>266.76600000000002</v>
      </c>
      <c r="H78" s="18">
        <f>(G78-F78)*E78</f>
        <v>8877.6000000000295</v>
      </c>
      <c r="I78" s="51"/>
      <c r="J78" s="52"/>
    </row>
    <row r="79" spans="1:10" ht="15.75" x14ac:dyDescent="0.25">
      <c r="A79" s="89" t="s">
        <v>99</v>
      </c>
      <c r="B79" s="186" t="s">
        <v>52</v>
      </c>
      <c r="C79" s="90">
        <v>51097666</v>
      </c>
      <c r="D79" s="88" t="s">
        <v>63</v>
      </c>
      <c r="E79" s="186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86" t="s">
        <v>52</v>
      </c>
      <c r="C80" s="90">
        <v>51259323</v>
      </c>
      <c r="D80" s="88" t="s">
        <v>63</v>
      </c>
      <c r="E80" s="186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29710.200000000048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86" t="s">
        <v>52</v>
      </c>
      <c r="C83" s="106">
        <v>51431297</v>
      </c>
      <c r="D83" s="187" t="s">
        <v>53</v>
      </c>
      <c r="E83" s="100">
        <v>7000</v>
      </c>
      <c r="F83" s="17">
        <v>329.48700000000002</v>
      </c>
      <c r="G83" s="17">
        <v>330.24700000000001</v>
      </c>
      <c r="H83" s="18">
        <f>(G83-F83)*E83</f>
        <v>5319.9999999999363</v>
      </c>
      <c r="I83" s="107"/>
      <c r="J83" s="108"/>
    </row>
    <row r="84" spans="1:10" ht="15.75" x14ac:dyDescent="0.25">
      <c r="A84" s="105" t="s">
        <v>86</v>
      </c>
      <c r="B84" s="186" t="s">
        <v>52</v>
      </c>
      <c r="C84" s="106">
        <v>51431332</v>
      </c>
      <c r="D84" s="187" t="s">
        <v>53</v>
      </c>
      <c r="E84" s="100">
        <v>7000</v>
      </c>
      <c r="F84" s="17">
        <v>364.50200000000001</v>
      </c>
      <c r="G84" s="17">
        <v>366.49299999999999</v>
      </c>
      <c r="H84" s="18">
        <f>(G84-F84)*E84</f>
        <v>13936.999999999898</v>
      </c>
      <c r="I84" s="186"/>
      <c r="J84" s="58"/>
    </row>
    <row r="85" spans="1:10" ht="15.75" x14ac:dyDescent="0.25">
      <c r="A85" s="27" t="s">
        <v>87</v>
      </c>
      <c r="B85" s="186" t="s">
        <v>103</v>
      </c>
      <c r="C85" s="109">
        <v>150773</v>
      </c>
      <c r="D85" s="187" t="s">
        <v>53</v>
      </c>
      <c r="E85" s="109">
        <v>20</v>
      </c>
      <c r="F85" s="17">
        <v>15788.5</v>
      </c>
      <c r="G85" s="17">
        <v>15790.3</v>
      </c>
      <c r="H85" s="18">
        <f>(G85-F85)*E85</f>
        <v>35.999999999985448</v>
      </c>
      <c r="I85" s="51"/>
      <c r="J85" s="58"/>
    </row>
    <row r="86" spans="1:10" ht="15.75" x14ac:dyDescent="0.25">
      <c r="A86" s="27" t="s">
        <v>89</v>
      </c>
      <c r="B86" s="186" t="s">
        <v>103</v>
      </c>
      <c r="C86" s="109">
        <v>150791</v>
      </c>
      <c r="D86" s="187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88"/>
      <c r="C87" s="32"/>
      <c r="D87" s="82"/>
      <c r="E87" s="82"/>
      <c r="F87" s="21"/>
      <c r="G87" s="21"/>
      <c r="H87" s="48">
        <f>H83+H84</f>
        <v>19256.999999999833</v>
      </c>
      <c r="I87" s="85">
        <f>H87-H90-H85-H86</f>
        <v>347.40000000004147</v>
      </c>
      <c r="J87" s="25">
        <f>I87/H87</f>
        <v>1.8040193176509553E-2</v>
      </c>
    </row>
    <row r="88" spans="1:10" ht="15.75" x14ac:dyDescent="0.25">
      <c r="A88" s="27" t="s">
        <v>104</v>
      </c>
      <c r="B88" s="186" t="s">
        <v>52</v>
      </c>
      <c r="C88" s="106">
        <v>51431342</v>
      </c>
      <c r="D88" s="88" t="s">
        <v>34</v>
      </c>
      <c r="E88" s="186">
        <v>4800</v>
      </c>
      <c r="F88" s="21">
        <v>468.84699999999998</v>
      </c>
      <c r="G88" s="21">
        <v>469.92599999999999</v>
      </c>
      <c r="H88" s="18">
        <f>(G88-F88)*E88</f>
        <v>5179.2000000000371</v>
      </c>
      <c r="I88" s="51"/>
      <c r="J88" s="52"/>
    </row>
    <row r="89" spans="1:10" ht="15.75" x14ac:dyDescent="0.25">
      <c r="A89" s="27" t="s">
        <v>105</v>
      </c>
      <c r="B89" s="186" t="s">
        <v>52</v>
      </c>
      <c r="C89" s="106">
        <v>51431343</v>
      </c>
      <c r="D89" s="88" t="s">
        <v>34</v>
      </c>
      <c r="E89" s="186">
        <v>4800</v>
      </c>
      <c r="F89" s="21">
        <v>513.98500000000001</v>
      </c>
      <c r="G89" s="21">
        <v>516.83799999999997</v>
      </c>
      <c r="H89" s="18">
        <f>(G89-F89)*E89</f>
        <v>13694.399999999769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18873.599999999806</v>
      </c>
      <c r="I90" s="85">
        <f>H90-H98</f>
        <v>-14.400000000336149</v>
      </c>
      <c r="J90" s="25">
        <f>I90/H90</f>
        <v>-7.6297049849187741E-4</v>
      </c>
    </row>
    <row r="91" spans="1:10" ht="15.75" x14ac:dyDescent="0.25">
      <c r="A91" s="27" t="s">
        <v>107</v>
      </c>
      <c r="B91" s="186" t="s">
        <v>52</v>
      </c>
      <c r="C91" s="106">
        <v>51431347</v>
      </c>
      <c r="D91" s="187" t="s">
        <v>53</v>
      </c>
      <c r="E91" s="186">
        <v>1200</v>
      </c>
      <c r="F91" s="21">
        <v>1224.5989999999999</v>
      </c>
      <c r="G91" s="21">
        <v>1233.1690000000001</v>
      </c>
      <c r="H91" s="18">
        <f>(G91-F91)*E91</f>
        <v>10284.000000000196</v>
      </c>
      <c r="I91" s="51"/>
      <c r="J91" s="52"/>
    </row>
    <row r="92" spans="1:10" ht="15.75" x14ac:dyDescent="0.25">
      <c r="A92" s="27" t="s">
        <v>108</v>
      </c>
      <c r="B92" s="186" t="s">
        <v>52</v>
      </c>
      <c r="C92" s="106">
        <v>51431339</v>
      </c>
      <c r="D92" s="187" t="s">
        <v>53</v>
      </c>
      <c r="E92" s="186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86" t="s">
        <v>52</v>
      </c>
      <c r="C93" s="106">
        <v>51217244</v>
      </c>
      <c r="D93" s="186" t="s">
        <v>37</v>
      </c>
      <c r="E93" s="186">
        <v>600</v>
      </c>
      <c r="F93" s="30">
        <v>355.99799999999999</v>
      </c>
      <c r="G93" s="30">
        <v>358.67099999999999</v>
      </c>
      <c r="H93" s="18">
        <f t="shared" si="4"/>
        <v>1603.8000000000011</v>
      </c>
      <c r="I93" s="51"/>
      <c r="J93" s="52"/>
    </row>
    <row r="94" spans="1:10" ht="15.75" x14ac:dyDescent="0.25">
      <c r="A94" s="27" t="s">
        <v>110</v>
      </c>
      <c r="B94" s="186" t="s">
        <v>52</v>
      </c>
      <c r="C94" s="106">
        <v>51217267</v>
      </c>
      <c r="D94" s="88" t="s">
        <v>63</v>
      </c>
      <c r="E94" s="186">
        <v>2400</v>
      </c>
      <c r="F94" s="30">
        <v>21.03</v>
      </c>
      <c r="G94" s="30">
        <v>21.788</v>
      </c>
      <c r="H94" s="18">
        <f t="shared" si="4"/>
        <v>1819.199999999998</v>
      </c>
      <c r="I94" s="51"/>
      <c r="J94" s="52"/>
    </row>
    <row r="95" spans="1:10" ht="15.75" x14ac:dyDescent="0.25">
      <c r="A95" s="27" t="s">
        <v>111</v>
      </c>
      <c r="B95" s="186" t="s">
        <v>52</v>
      </c>
      <c r="C95" s="186">
        <v>51555165</v>
      </c>
      <c r="D95" s="187" t="s">
        <v>53</v>
      </c>
      <c r="E95" s="186">
        <v>1200</v>
      </c>
      <c r="F95" s="30">
        <v>1007.984</v>
      </c>
      <c r="G95" s="30">
        <v>1007.984</v>
      </c>
      <c r="H95" s="18">
        <f t="shared" si="4"/>
        <v>0</v>
      </c>
      <c r="I95" s="51" t="s">
        <v>27</v>
      </c>
      <c r="J95" s="52"/>
    </row>
    <row r="96" spans="1:10" ht="15.75" x14ac:dyDescent="0.25">
      <c r="A96" s="113" t="s">
        <v>112</v>
      </c>
      <c r="B96" s="186" t="s">
        <v>52</v>
      </c>
      <c r="C96" s="106">
        <v>51431346</v>
      </c>
      <c r="D96" s="114" t="s">
        <v>37</v>
      </c>
      <c r="E96" s="114">
        <v>600</v>
      </c>
      <c r="F96" s="30">
        <v>392.63900000000001</v>
      </c>
      <c r="G96" s="30">
        <v>392.94600000000003</v>
      </c>
      <c r="H96" s="115">
        <f t="shared" si="4"/>
        <v>184.20000000000982</v>
      </c>
      <c r="I96" s="116"/>
      <c r="J96" s="117"/>
    </row>
    <row r="97" spans="1:10" ht="15.75" x14ac:dyDescent="0.25">
      <c r="A97" s="27" t="s">
        <v>113</v>
      </c>
      <c r="B97" s="186" t="s">
        <v>52</v>
      </c>
      <c r="C97" s="106">
        <v>51431352</v>
      </c>
      <c r="D97" s="88" t="s">
        <v>21</v>
      </c>
      <c r="E97" s="186">
        <v>3600</v>
      </c>
      <c r="F97" s="21">
        <v>263.78100000000001</v>
      </c>
      <c r="G97" s="21">
        <v>265.15899999999999</v>
      </c>
      <c r="H97" s="18">
        <f t="shared" si="4"/>
        <v>4960.7999999999493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18888.000000000142</v>
      </c>
      <c r="I98" s="51"/>
      <c r="J98" s="52"/>
    </row>
    <row r="99" spans="1:10" ht="15.75" x14ac:dyDescent="0.25">
      <c r="A99" s="45" t="s">
        <v>114</v>
      </c>
      <c r="B99" s="186" t="s">
        <v>52</v>
      </c>
      <c r="C99" s="120">
        <v>51431357</v>
      </c>
      <c r="D99" s="187" t="s">
        <v>63</v>
      </c>
      <c r="E99" s="187">
        <v>14000</v>
      </c>
      <c r="F99" s="28">
        <v>905.02099999999996</v>
      </c>
      <c r="G99" s="28">
        <v>908.78399999999999</v>
      </c>
      <c r="H99" s="121">
        <f t="shared" si="4"/>
        <v>52682.000000000473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zoomScale="85" zoomScaleNormal="85" workbookViewId="0">
      <selection activeCell="H23" sqref="H23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137</v>
      </c>
      <c r="G2" s="4" t="s">
        <v>138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89" t="s">
        <v>13</v>
      </c>
      <c r="C4" s="189">
        <v>51555166</v>
      </c>
      <c r="D4" s="189" t="s">
        <v>14</v>
      </c>
      <c r="E4" s="189">
        <v>132000</v>
      </c>
      <c r="F4" s="17">
        <v>7.0609999999999999</v>
      </c>
      <c r="G4" s="17">
        <v>7.069</v>
      </c>
      <c r="H4" s="18">
        <f>(G4-F4)*E4</f>
        <v>1056.0000000000009</v>
      </c>
      <c r="I4" s="19"/>
      <c r="J4" s="20"/>
    </row>
    <row r="5" spans="1:10" ht="15.75" x14ac:dyDescent="0.25">
      <c r="A5" s="15" t="s">
        <v>15</v>
      </c>
      <c r="B5" s="189" t="s">
        <v>13</v>
      </c>
      <c r="C5" s="189">
        <v>51555191</v>
      </c>
      <c r="D5" s="189" t="s">
        <v>14</v>
      </c>
      <c r="E5" s="189">
        <v>132000</v>
      </c>
      <c r="F5" s="21">
        <v>412.13799999999998</v>
      </c>
      <c r="G5" s="21">
        <v>413.91</v>
      </c>
      <c r="H5" s="18">
        <f>(G5-F5)*E5</f>
        <v>233904.00000000637</v>
      </c>
      <c r="I5" s="19"/>
      <c r="J5" s="20"/>
    </row>
    <row r="6" spans="1:10" ht="15.75" x14ac:dyDescent="0.25">
      <c r="A6" s="218" t="s">
        <v>16</v>
      </c>
      <c r="B6" s="219"/>
      <c r="C6" s="189"/>
      <c r="D6" s="190"/>
      <c r="E6" s="189"/>
      <c r="H6" s="23">
        <f>H4+H5</f>
        <v>234960.00000000637</v>
      </c>
      <c r="I6" s="24">
        <f>H6-H9-H19</f>
        <v>2004.0000000024011</v>
      </c>
      <c r="J6" s="25">
        <f>I6/H6</f>
        <v>8.5291113381100892E-3</v>
      </c>
    </row>
    <row r="7" spans="1:10" ht="15.75" x14ac:dyDescent="0.25">
      <c r="A7" s="26" t="s">
        <v>17</v>
      </c>
      <c r="B7" s="189" t="s">
        <v>13</v>
      </c>
      <c r="C7" s="189">
        <v>51097629</v>
      </c>
      <c r="D7" s="190" t="s">
        <v>14</v>
      </c>
      <c r="E7" s="189">
        <v>42000</v>
      </c>
      <c r="F7" s="21">
        <v>1193.636</v>
      </c>
      <c r="G7" s="21">
        <v>1197.5260000000001</v>
      </c>
      <c r="H7" s="18">
        <f>(G7-F7)*E7</f>
        <v>163380.00000000419</v>
      </c>
      <c r="I7" s="19"/>
      <c r="J7" s="20"/>
    </row>
    <row r="8" spans="1:10" ht="15.75" x14ac:dyDescent="0.25">
      <c r="A8" s="26" t="s">
        <v>18</v>
      </c>
      <c r="B8" s="189" t="s">
        <v>13</v>
      </c>
      <c r="C8" s="189">
        <v>51616820</v>
      </c>
      <c r="D8" s="190" t="s">
        <v>14</v>
      </c>
      <c r="E8" s="189">
        <v>42000</v>
      </c>
      <c r="F8" s="21">
        <v>15.478999999999999</v>
      </c>
      <c r="G8" s="21">
        <v>15.489000000000001</v>
      </c>
      <c r="H8" s="18">
        <f>(G8-F8)*E8</f>
        <v>420.00000000006565</v>
      </c>
      <c r="I8" s="19"/>
      <c r="J8" s="20"/>
    </row>
    <row r="9" spans="1:10" ht="15.75" x14ac:dyDescent="0.25">
      <c r="A9" s="218" t="s">
        <v>19</v>
      </c>
      <c r="B9" s="219"/>
      <c r="C9" s="189"/>
      <c r="D9" s="190"/>
      <c r="E9" s="189"/>
      <c r="F9" s="21"/>
      <c r="G9" s="21"/>
      <c r="H9" s="23">
        <f>H7+H8</f>
        <v>163800.00000000425</v>
      </c>
      <c r="I9" s="24">
        <f>H9-H16</f>
        <v>7.3050614446401596E-9</v>
      </c>
      <c r="J9" s="25">
        <f>I9/H9</f>
        <v>4.4597444716971733E-14</v>
      </c>
    </row>
    <row r="10" spans="1:10" ht="15.75" x14ac:dyDescent="0.25">
      <c r="A10" s="27" t="s">
        <v>20</v>
      </c>
      <c r="B10" s="189" t="s">
        <v>13</v>
      </c>
      <c r="C10" s="189">
        <v>51217286</v>
      </c>
      <c r="D10" s="190" t="s">
        <v>21</v>
      </c>
      <c r="E10" s="189">
        <v>21000</v>
      </c>
      <c r="F10" s="21">
        <v>939.92600000000004</v>
      </c>
      <c r="G10" s="21">
        <v>942.82799999999997</v>
      </c>
      <c r="H10" s="18">
        <f t="shared" ref="H10:H15" si="0">(G10-F10)*E10</f>
        <v>60941.99999999853</v>
      </c>
      <c r="I10" s="19"/>
      <c r="J10" s="20"/>
    </row>
    <row r="11" spans="1:10" ht="15.75" x14ac:dyDescent="0.25">
      <c r="A11" s="27" t="s">
        <v>22</v>
      </c>
      <c r="B11" s="189" t="s">
        <v>13</v>
      </c>
      <c r="C11" s="189">
        <v>51217292</v>
      </c>
      <c r="D11" s="190" t="s">
        <v>21</v>
      </c>
      <c r="E11" s="189">
        <v>21000</v>
      </c>
      <c r="F11" s="28">
        <v>4.0030000000000001</v>
      </c>
      <c r="G11" s="28">
        <v>4.0069999999999997</v>
      </c>
      <c r="H11" s="18">
        <f>(G11-F11)*E11</f>
        <v>83.999999999990749</v>
      </c>
      <c r="I11" s="19"/>
      <c r="J11" s="20"/>
    </row>
    <row r="12" spans="1:10" ht="15.75" x14ac:dyDescent="0.25">
      <c r="A12" s="27" t="s">
        <v>23</v>
      </c>
      <c r="B12" s="189" t="s">
        <v>13</v>
      </c>
      <c r="C12" s="189">
        <v>51217271</v>
      </c>
      <c r="D12" s="190" t="s">
        <v>21</v>
      </c>
      <c r="E12" s="189">
        <v>21000</v>
      </c>
      <c r="F12" s="21">
        <v>707.43600000000004</v>
      </c>
      <c r="G12" s="21">
        <v>709.64099999999996</v>
      </c>
      <c r="H12" s="18">
        <f t="shared" si="0"/>
        <v>46304.999999998472</v>
      </c>
      <c r="I12" s="19"/>
      <c r="J12" s="20"/>
    </row>
    <row r="13" spans="1:10" ht="15.75" x14ac:dyDescent="0.25">
      <c r="A13" s="27" t="s">
        <v>24</v>
      </c>
      <c r="B13" s="189" t="s">
        <v>13</v>
      </c>
      <c r="C13" s="189">
        <v>51217276</v>
      </c>
      <c r="D13" s="190" t="s">
        <v>21</v>
      </c>
      <c r="E13" s="189">
        <v>21000</v>
      </c>
      <c r="F13" s="28">
        <v>0.625</v>
      </c>
      <c r="G13" s="28">
        <v>0.626</v>
      </c>
      <c r="H13" s="18">
        <f>(G13-F13)*E13</f>
        <v>21.000000000000018</v>
      </c>
      <c r="I13" s="19"/>
      <c r="J13" s="20"/>
    </row>
    <row r="14" spans="1:10" ht="15.75" x14ac:dyDescent="0.25">
      <c r="A14" s="27" t="s">
        <v>25</v>
      </c>
      <c r="B14" s="189" t="s">
        <v>13</v>
      </c>
      <c r="C14" s="189">
        <v>51100990</v>
      </c>
      <c r="D14" s="190" t="s">
        <v>21</v>
      </c>
      <c r="E14" s="189">
        <v>21000</v>
      </c>
      <c r="F14" s="29">
        <v>759.28700000000003</v>
      </c>
      <c r="G14" s="29">
        <v>761.96500000000003</v>
      </c>
      <c r="H14" s="18">
        <f t="shared" si="0"/>
        <v>56237.999999999942</v>
      </c>
      <c r="I14" s="19"/>
      <c r="J14" s="20"/>
    </row>
    <row r="15" spans="1:10" ht="15.75" x14ac:dyDescent="0.25">
      <c r="A15" s="27" t="s">
        <v>26</v>
      </c>
      <c r="B15" s="189" t="s">
        <v>13</v>
      </c>
      <c r="C15" s="189">
        <v>51097622</v>
      </c>
      <c r="D15" s="190" t="s">
        <v>21</v>
      </c>
      <c r="E15" s="189">
        <v>21000</v>
      </c>
      <c r="F15" s="21">
        <v>9.4320000000000004</v>
      </c>
      <c r="G15" s="21">
        <v>9.4420000000000002</v>
      </c>
      <c r="H15" s="18">
        <f t="shared" si="0"/>
        <v>209.99999999999551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89"/>
      <c r="D16" s="190"/>
      <c r="E16" s="189"/>
      <c r="F16" s="21"/>
      <c r="G16" s="21"/>
      <c r="H16" s="23">
        <f>H10+H11+H12+H13+H14+H15</f>
        <v>163799.99999999694</v>
      </c>
      <c r="I16" s="19"/>
      <c r="J16" s="20"/>
    </row>
    <row r="17" spans="1:10" ht="15.75" x14ac:dyDescent="0.25">
      <c r="A17" s="26" t="s">
        <v>29</v>
      </c>
      <c r="B17" s="189" t="s">
        <v>13</v>
      </c>
      <c r="C17" s="189">
        <v>51097617</v>
      </c>
      <c r="D17" s="190" t="s">
        <v>30</v>
      </c>
      <c r="E17" s="189">
        <v>18000</v>
      </c>
      <c r="F17" s="30">
        <v>938.93200000000002</v>
      </c>
      <c r="G17" s="30">
        <v>942.774</v>
      </c>
      <c r="H17" s="18">
        <f>(G17-F17)*E17</f>
        <v>69155.999999999724</v>
      </c>
      <c r="I17" s="19"/>
      <c r="J17" s="20"/>
    </row>
    <row r="18" spans="1:10" ht="15.75" x14ac:dyDescent="0.25">
      <c r="A18" s="26" t="s">
        <v>31</v>
      </c>
      <c r="B18" s="189" t="s">
        <v>13</v>
      </c>
      <c r="C18" s="189">
        <v>51097655</v>
      </c>
      <c r="D18" s="190" t="s">
        <v>30</v>
      </c>
      <c r="E18" s="189">
        <v>18000</v>
      </c>
      <c r="F18" s="30">
        <v>11.542</v>
      </c>
      <c r="G18" s="30">
        <v>11.542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89"/>
      <c r="D19" s="190"/>
      <c r="E19" s="189"/>
      <c r="F19" s="30"/>
      <c r="G19" s="30"/>
      <c r="H19" s="23">
        <f>H17+H18</f>
        <v>69155.999999999724</v>
      </c>
      <c r="I19" s="24">
        <f>H19-H34</f>
        <v>1135.7999999997992</v>
      </c>
      <c r="J19" s="25">
        <f>I19/H19</f>
        <v>1.6423737636644741E-2</v>
      </c>
    </row>
    <row r="20" spans="1:10" ht="15.75" x14ac:dyDescent="0.25">
      <c r="A20" s="15" t="s">
        <v>33</v>
      </c>
      <c r="B20" s="189" t="s">
        <v>13</v>
      </c>
      <c r="C20" s="189">
        <v>51217282</v>
      </c>
      <c r="D20" s="190" t="s">
        <v>34</v>
      </c>
      <c r="E20" s="189">
        <v>4800</v>
      </c>
      <c r="F20" s="21">
        <v>421.62799999999999</v>
      </c>
      <c r="G20" s="21">
        <v>428.03500000000003</v>
      </c>
      <c r="H20" s="18">
        <f t="shared" ref="H20:H33" si="1">(G20-F20)*E20</f>
        <v>30753.600000000188</v>
      </c>
      <c r="I20" s="19" t="s">
        <v>27</v>
      </c>
      <c r="J20" s="20"/>
    </row>
    <row r="21" spans="1:10" ht="15.75" x14ac:dyDescent="0.25">
      <c r="A21" s="15" t="s">
        <v>35</v>
      </c>
      <c r="B21" s="189" t="s">
        <v>13</v>
      </c>
      <c r="C21" s="189">
        <v>51217274</v>
      </c>
      <c r="D21" s="190" t="s">
        <v>34</v>
      </c>
      <c r="E21" s="189">
        <v>4800</v>
      </c>
      <c r="F21" s="21">
        <v>1429.1890000000001</v>
      </c>
      <c r="G21" s="21">
        <v>1429.7180000000001</v>
      </c>
      <c r="H21" s="18">
        <f t="shared" si="1"/>
        <v>2539.1999999999825</v>
      </c>
      <c r="I21" s="19"/>
      <c r="J21" s="20"/>
    </row>
    <row r="22" spans="1:10" ht="15.75" x14ac:dyDescent="0.25">
      <c r="A22" s="15" t="s">
        <v>36</v>
      </c>
      <c r="B22" s="189" t="s">
        <v>13</v>
      </c>
      <c r="C22" s="189">
        <v>51097664</v>
      </c>
      <c r="D22" s="190" t="s">
        <v>37</v>
      </c>
      <c r="E22" s="189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89" t="s">
        <v>13</v>
      </c>
      <c r="C23" s="189">
        <v>51097615</v>
      </c>
      <c r="D23" s="190" t="s">
        <v>37</v>
      </c>
      <c r="E23" s="189">
        <v>600</v>
      </c>
      <c r="F23" s="21">
        <v>49.904000000000003</v>
      </c>
      <c r="G23" s="21">
        <v>50.19</v>
      </c>
      <c r="H23" s="18">
        <f t="shared" si="1"/>
        <v>171.59999999999656</v>
      </c>
      <c r="I23" s="19"/>
      <c r="J23" s="20"/>
    </row>
    <row r="24" spans="1:10" ht="15.75" x14ac:dyDescent="0.25">
      <c r="A24" s="15" t="s">
        <v>39</v>
      </c>
      <c r="B24" s="189" t="s">
        <v>13</v>
      </c>
      <c r="C24" s="189">
        <v>51217264</v>
      </c>
      <c r="D24" s="190" t="s">
        <v>37</v>
      </c>
      <c r="E24" s="189">
        <v>600</v>
      </c>
      <c r="F24" s="21">
        <v>115.316</v>
      </c>
      <c r="G24" s="21">
        <v>115.771</v>
      </c>
      <c r="H24" s="18">
        <f t="shared" si="1"/>
        <v>272.99999999999898</v>
      </c>
      <c r="I24" s="19"/>
      <c r="J24" s="20"/>
    </row>
    <row r="25" spans="1:10" ht="15.75" x14ac:dyDescent="0.25">
      <c r="A25" s="15" t="s">
        <v>40</v>
      </c>
      <c r="B25" s="189" t="s">
        <v>13</v>
      </c>
      <c r="C25" s="189">
        <v>51217288</v>
      </c>
      <c r="D25" s="190" t="s">
        <v>37</v>
      </c>
      <c r="E25" s="189">
        <v>600</v>
      </c>
      <c r="F25" s="21">
        <v>21.071999999999999</v>
      </c>
      <c r="G25" s="21">
        <v>21.103000000000002</v>
      </c>
      <c r="H25" s="18">
        <f t="shared" si="1"/>
        <v>18.600000000001415</v>
      </c>
      <c r="I25" s="19" t="s">
        <v>27</v>
      </c>
      <c r="J25" s="20"/>
    </row>
    <row r="26" spans="1:10" ht="15.75" x14ac:dyDescent="0.25">
      <c r="A26" s="15" t="s">
        <v>41</v>
      </c>
      <c r="B26" s="189" t="s">
        <v>13</v>
      </c>
      <c r="C26" s="189">
        <v>51217279</v>
      </c>
      <c r="D26" s="190" t="s">
        <v>37</v>
      </c>
      <c r="E26" s="189">
        <v>600</v>
      </c>
      <c r="F26" s="21">
        <v>16.341000000000001</v>
      </c>
      <c r="G26" s="21">
        <v>16.393999999999998</v>
      </c>
      <c r="H26" s="18">
        <f t="shared" si="1"/>
        <v>31.799999999998363</v>
      </c>
      <c r="I26" s="19" t="s">
        <v>27</v>
      </c>
      <c r="J26" s="20"/>
    </row>
    <row r="27" spans="1:10" ht="15.75" x14ac:dyDescent="0.25">
      <c r="A27" s="15" t="s">
        <v>42</v>
      </c>
      <c r="B27" s="189" t="s">
        <v>13</v>
      </c>
      <c r="C27" s="189">
        <v>51217272</v>
      </c>
      <c r="D27" s="190" t="s">
        <v>37</v>
      </c>
      <c r="E27" s="189">
        <v>600</v>
      </c>
      <c r="F27" s="31">
        <v>16.027000000000001</v>
      </c>
      <c r="G27" s="31">
        <v>16.079000000000001</v>
      </c>
      <c r="H27" s="18">
        <f t="shared" si="1"/>
        <v>31.199999999999761</v>
      </c>
      <c r="I27" s="19"/>
      <c r="J27" s="20"/>
    </row>
    <row r="28" spans="1:10" ht="15.75" x14ac:dyDescent="0.25">
      <c r="A28" s="15" t="s">
        <v>43</v>
      </c>
      <c r="B28" s="189" t="s">
        <v>13</v>
      </c>
      <c r="C28" s="189">
        <v>51616744</v>
      </c>
      <c r="D28" s="190">
        <f>300/5</f>
        <v>60</v>
      </c>
      <c r="E28" s="189">
        <v>3600</v>
      </c>
      <c r="F28" s="31">
        <v>109.78400000000001</v>
      </c>
      <c r="G28" s="31">
        <v>109.78400000000001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89" t="s">
        <v>13</v>
      </c>
      <c r="C29" s="189">
        <v>51555226</v>
      </c>
      <c r="D29" s="190">
        <f>300/5</f>
        <v>60</v>
      </c>
      <c r="E29" s="189">
        <v>3600</v>
      </c>
      <c r="F29" s="31">
        <v>588.40700000000004</v>
      </c>
      <c r="G29" s="31">
        <v>590.99400000000003</v>
      </c>
      <c r="H29" s="18">
        <f>(G29-F29)*E29</f>
        <v>9313.1999999999607</v>
      </c>
      <c r="I29" s="19"/>
      <c r="J29" s="20"/>
    </row>
    <row r="30" spans="1:10" ht="15.75" x14ac:dyDescent="0.25">
      <c r="A30" s="15" t="s">
        <v>45</v>
      </c>
      <c r="B30" s="189" t="s">
        <v>13</v>
      </c>
      <c r="C30" s="189">
        <v>51097658</v>
      </c>
      <c r="D30" s="190" t="s">
        <v>34</v>
      </c>
      <c r="E30" s="189">
        <v>4800</v>
      </c>
      <c r="F30" s="31">
        <v>736.23400000000004</v>
      </c>
      <c r="G30" s="31">
        <v>739.06799999999998</v>
      </c>
      <c r="H30" s="18">
        <f t="shared" si="1"/>
        <v>13603.199999999742</v>
      </c>
      <c r="I30" s="19"/>
      <c r="J30" s="20"/>
    </row>
    <row r="31" spans="1:10" ht="15.75" x14ac:dyDescent="0.25">
      <c r="A31" s="15" t="s">
        <v>46</v>
      </c>
      <c r="B31" s="189" t="s">
        <v>13</v>
      </c>
      <c r="C31" s="189">
        <v>51097635</v>
      </c>
      <c r="D31" s="190" t="s">
        <v>34</v>
      </c>
      <c r="E31" s="189">
        <v>4800</v>
      </c>
      <c r="F31" s="31">
        <v>48.500999999999998</v>
      </c>
      <c r="G31" s="31">
        <v>48.503999999999998</v>
      </c>
      <c r="H31" s="18">
        <f t="shared" si="1"/>
        <v>14.400000000000546</v>
      </c>
      <c r="I31" s="19"/>
      <c r="J31" s="20"/>
    </row>
    <row r="32" spans="1:10" ht="15.75" x14ac:dyDescent="0.25">
      <c r="A32" s="15" t="s">
        <v>47</v>
      </c>
      <c r="B32" s="189" t="s">
        <v>13</v>
      </c>
      <c r="C32" s="32">
        <v>51097633</v>
      </c>
      <c r="D32" s="190" t="s">
        <v>34</v>
      </c>
      <c r="E32" s="189">
        <v>4800</v>
      </c>
      <c r="F32" s="31">
        <v>228.69499999999999</v>
      </c>
      <c r="G32" s="31">
        <v>231.01300000000001</v>
      </c>
      <c r="H32" s="33">
        <f t="shared" si="1"/>
        <v>11126.400000000058</v>
      </c>
      <c r="I32" s="34"/>
      <c r="J32" s="35"/>
    </row>
    <row r="33" spans="1:10" ht="15.75" x14ac:dyDescent="0.25">
      <c r="A33" s="15" t="s">
        <v>48</v>
      </c>
      <c r="B33" s="189" t="s">
        <v>13</v>
      </c>
      <c r="C33" s="32">
        <v>51097662</v>
      </c>
      <c r="D33" s="190" t="s">
        <v>34</v>
      </c>
      <c r="E33" s="189">
        <v>4800</v>
      </c>
      <c r="F33" s="31">
        <v>4.601</v>
      </c>
      <c r="G33" s="31">
        <v>4.6310000000000002</v>
      </c>
      <c r="H33" s="33">
        <f t="shared" si="1"/>
        <v>144.00000000000119</v>
      </c>
      <c r="I33" s="34"/>
      <c r="J33" s="35"/>
    </row>
    <row r="34" spans="1:10" ht="15.75" x14ac:dyDescent="0.25">
      <c r="A34" s="218" t="s">
        <v>49</v>
      </c>
      <c r="B34" s="219"/>
      <c r="C34" s="189"/>
      <c r="D34" s="190"/>
      <c r="E34" s="189"/>
      <c r="F34" s="36"/>
      <c r="G34" s="36"/>
      <c r="H34" s="23">
        <f>H20+H21+H22+H23+H24+H25+H26+H27+H28+H29+H30+H31+H32+H33</f>
        <v>68020.199999999924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89" t="s">
        <v>52</v>
      </c>
      <c r="C36" s="189">
        <v>51555209</v>
      </c>
      <c r="D36" s="190" t="s">
        <v>53</v>
      </c>
      <c r="E36" s="189">
        <v>7000</v>
      </c>
      <c r="F36" s="17">
        <v>6.298</v>
      </c>
      <c r="G36" s="17">
        <v>6.3129999999999997</v>
      </c>
      <c r="H36" s="41">
        <f>(G36-F36)*E36</f>
        <v>104.99999999999775</v>
      </c>
      <c r="I36" s="42"/>
      <c r="J36" s="14"/>
    </row>
    <row r="37" spans="1:10" ht="15.75" x14ac:dyDescent="0.25">
      <c r="A37" s="15" t="s">
        <v>54</v>
      </c>
      <c r="B37" s="189" t="s">
        <v>52</v>
      </c>
      <c r="C37" s="189">
        <v>51555209</v>
      </c>
      <c r="D37" s="190" t="s">
        <v>53</v>
      </c>
      <c r="E37" s="189">
        <v>7000</v>
      </c>
      <c r="F37" s="21">
        <v>11.319000000000001</v>
      </c>
      <c r="G37" s="21">
        <v>11.369</v>
      </c>
      <c r="H37" s="18">
        <f>(G37-F37)*E37</f>
        <v>349.99999999999255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89" t="s">
        <v>52</v>
      </c>
      <c r="C39" s="189">
        <v>51097674</v>
      </c>
      <c r="D39" s="189" t="s">
        <v>14</v>
      </c>
      <c r="E39" s="189">
        <v>7200</v>
      </c>
      <c r="F39" s="21">
        <v>645.97799999999995</v>
      </c>
      <c r="G39" s="21">
        <v>648.18100000000004</v>
      </c>
      <c r="H39" s="18">
        <f>(G39-F39)*E39</f>
        <v>15861.600000000635</v>
      </c>
      <c r="I39" s="47"/>
      <c r="J39" s="20"/>
    </row>
    <row r="40" spans="1:10" ht="15.75" x14ac:dyDescent="0.25">
      <c r="A40" s="27" t="s">
        <v>57</v>
      </c>
      <c r="B40" s="189" t="s">
        <v>52</v>
      </c>
      <c r="C40" s="189">
        <v>51259257</v>
      </c>
      <c r="D40" s="189" t="s">
        <v>14</v>
      </c>
      <c r="E40" s="189">
        <v>7200</v>
      </c>
      <c r="F40" s="21">
        <v>1.0549999999999999</v>
      </c>
      <c r="G40" s="21">
        <v>1.0549999999999999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89"/>
      <c r="C41" s="189"/>
      <c r="D41" s="189"/>
      <c r="E41" s="189"/>
      <c r="F41" s="21"/>
      <c r="G41" s="21"/>
      <c r="H41" s="48">
        <f>H39+H40</f>
        <v>15861.600000000635</v>
      </c>
      <c r="I41" s="24">
        <f>H41-H49</f>
        <v>-112.39999999931933</v>
      </c>
      <c r="J41" s="25">
        <f>I41/H41</f>
        <v>-7.0862964643740121E-3</v>
      </c>
    </row>
    <row r="42" spans="1:10" ht="15.75" x14ac:dyDescent="0.25">
      <c r="A42" s="15" t="s">
        <v>59</v>
      </c>
      <c r="B42" s="189"/>
      <c r="C42" s="189"/>
      <c r="D42" s="190"/>
      <c r="E42" s="189"/>
      <c r="H42" s="18"/>
      <c r="I42" s="43"/>
      <c r="J42" s="20"/>
    </row>
    <row r="43" spans="1:10" ht="15.75" x14ac:dyDescent="0.25">
      <c r="A43" s="27" t="s">
        <v>60</v>
      </c>
      <c r="B43" s="189" t="s">
        <v>52</v>
      </c>
      <c r="C43" s="32">
        <v>51097648</v>
      </c>
      <c r="D43" s="189" t="s">
        <v>53</v>
      </c>
      <c r="E43" s="189">
        <v>1200</v>
      </c>
      <c r="F43" s="21">
        <v>528.35500000000002</v>
      </c>
      <c r="G43" s="21">
        <v>530.10299999999995</v>
      </c>
      <c r="H43" s="33">
        <f>(G43-F43)*E43</f>
        <v>2097.5999999999203</v>
      </c>
      <c r="I43" s="43"/>
      <c r="J43" s="20"/>
    </row>
    <row r="44" spans="1:10" ht="15.75" x14ac:dyDescent="0.25">
      <c r="A44" s="27" t="s">
        <v>61</v>
      </c>
      <c r="B44" s="189" t="s">
        <v>52</v>
      </c>
      <c r="C44" s="32">
        <v>50555043</v>
      </c>
      <c r="D44" s="189" t="s">
        <v>53</v>
      </c>
      <c r="E44" s="189">
        <v>1200</v>
      </c>
      <c r="F44" s="21">
        <v>2211.723</v>
      </c>
      <c r="G44" s="21">
        <v>2219.3000000000002</v>
      </c>
      <c r="H44" s="33">
        <f>(G44-F44)*E44</f>
        <v>9092.4000000002707</v>
      </c>
      <c r="I44" s="43"/>
      <c r="J44" s="20"/>
    </row>
    <row r="45" spans="1:10" ht="15.75" x14ac:dyDescent="0.25">
      <c r="A45" s="27" t="s">
        <v>62</v>
      </c>
      <c r="B45" s="189" t="s">
        <v>52</v>
      </c>
      <c r="C45" s="32">
        <v>51259336</v>
      </c>
      <c r="D45" s="189" t="s">
        <v>63</v>
      </c>
      <c r="E45" s="189">
        <v>2400</v>
      </c>
      <c r="F45" s="21">
        <v>4.4329999999999998</v>
      </c>
      <c r="G45" s="21">
        <v>4.4470000000000001</v>
      </c>
      <c r="H45" s="33">
        <f>(G45-F45)*E45</f>
        <v>33.600000000000563</v>
      </c>
      <c r="I45" s="43"/>
      <c r="J45" s="20"/>
    </row>
    <row r="46" spans="1:10" ht="15.75" x14ac:dyDescent="0.25">
      <c r="A46" s="27" t="s">
        <v>64</v>
      </c>
      <c r="B46" s="189" t="s">
        <v>52</v>
      </c>
      <c r="C46" s="32">
        <v>51259266</v>
      </c>
      <c r="D46" s="189" t="s">
        <v>53</v>
      </c>
      <c r="E46" s="189">
        <v>1200</v>
      </c>
      <c r="F46" s="21">
        <v>1073.1210000000001</v>
      </c>
      <c r="G46" s="21">
        <v>1076.7349999999999</v>
      </c>
      <c r="H46" s="33">
        <f>(G46-F46)*E46</f>
        <v>4336.7999999997664</v>
      </c>
      <c r="I46" s="43"/>
      <c r="J46" s="20"/>
    </row>
    <row r="47" spans="1:10" ht="15.75" x14ac:dyDescent="0.25">
      <c r="A47" s="27" t="s">
        <v>65</v>
      </c>
      <c r="B47" s="189" t="s">
        <v>52</v>
      </c>
      <c r="C47" s="32">
        <v>51431336</v>
      </c>
      <c r="D47" s="189" t="s">
        <v>53</v>
      </c>
      <c r="E47" s="189">
        <v>1200</v>
      </c>
      <c r="F47" s="21">
        <v>65.430999999999997</v>
      </c>
      <c r="G47" s="21">
        <v>65.733999999999995</v>
      </c>
      <c r="H47" s="33">
        <f>(G47-F47)*E47</f>
        <v>363.59999999999673</v>
      </c>
      <c r="I47" s="43"/>
      <c r="J47" s="20"/>
    </row>
    <row r="48" spans="1:10" ht="15.75" x14ac:dyDescent="0.25">
      <c r="A48" s="15" t="s">
        <v>66</v>
      </c>
      <c r="B48" s="189" t="s">
        <v>67</v>
      </c>
      <c r="C48" s="189">
        <v>49174</v>
      </c>
      <c r="D48" s="190" t="s">
        <v>53</v>
      </c>
      <c r="E48" s="189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15973.999999999955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89" t="s">
        <v>52</v>
      </c>
      <c r="C51" s="189">
        <v>51097603</v>
      </c>
      <c r="D51" s="190" t="s">
        <v>53</v>
      </c>
      <c r="E51" s="189">
        <v>7000</v>
      </c>
      <c r="F51" s="17">
        <v>2096.2710000000002</v>
      </c>
      <c r="G51" s="17">
        <v>2102.5450000000001</v>
      </c>
      <c r="H51" s="18">
        <f>(G51-F51)*E51</f>
        <v>43917.999999999214</v>
      </c>
      <c r="I51" s="43"/>
      <c r="J51" s="20"/>
    </row>
    <row r="52" spans="1:10" ht="15.75" x14ac:dyDescent="0.25">
      <c r="A52" s="27" t="s">
        <v>72</v>
      </c>
      <c r="B52" s="189" t="s">
        <v>52</v>
      </c>
      <c r="C52" s="189">
        <v>51097590</v>
      </c>
      <c r="D52" s="190" t="s">
        <v>53</v>
      </c>
      <c r="E52" s="189">
        <v>7000</v>
      </c>
      <c r="F52" s="21">
        <v>13.180999999999999</v>
      </c>
      <c r="G52" s="21">
        <v>13.204000000000001</v>
      </c>
      <c r="H52" s="18">
        <f>(G52-F52)*E52</f>
        <v>161.00000000001023</v>
      </c>
      <c r="I52" s="43"/>
      <c r="J52" s="20"/>
    </row>
    <row r="53" spans="1:10" ht="15.75" x14ac:dyDescent="0.25">
      <c r="A53" s="15" t="s">
        <v>66</v>
      </c>
      <c r="B53" s="189" t="s">
        <v>67</v>
      </c>
      <c r="C53" s="189">
        <v>49174</v>
      </c>
      <c r="D53" s="190" t="s">
        <v>53</v>
      </c>
      <c r="E53" s="189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89"/>
      <c r="D54" s="190"/>
      <c r="E54" s="189"/>
      <c r="F54" s="21"/>
      <c r="G54" s="21"/>
      <c r="H54" s="48">
        <f>H51+H52+H53</f>
        <v>44178.999999999221</v>
      </c>
      <c r="I54" s="47"/>
      <c r="J54" s="59"/>
    </row>
    <row r="55" spans="1:10" ht="15.75" x14ac:dyDescent="0.25">
      <c r="A55" s="27" t="s">
        <v>74</v>
      </c>
      <c r="B55" s="189" t="s">
        <v>52</v>
      </c>
      <c r="C55" s="189">
        <v>51100980</v>
      </c>
      <c r="D55" s="189" t="s">
        <v>75</v>
      </c>
      <c r="E55" s="189">
        <v>12000</v>
      </c>
      <c r="F55" s="21">
        <v>1232.9359999999999</v>
      </c>
      <c r="G55" s="21">
        <v>1236.598</v>
      </c>
      <c r="H55" s="18">
        <f>(G55-F55)*E55</f>
        <v>43944.000000000415</v>
      </c>
      <c r="I55" s="47"/>
      <c r="J55" s="58"/>
    </row>
    <row r="56" spans="1:10" ht="15.75" x14ac:dyDescent="0.25">
      <c r="A56" s="27" t="s">
        <v>76</v>
      </c>
      <c r="B56" s="189" t="s">
        <v>52</v>
      </c>
      <c r="C56" s="189">
        <v>51097623</v>
      </c>
      <c r="D56" s="189" t="s">
        <v>75</v>
      </c>
      <c r="E56" s="189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89"/>
      <c r="C57" s="189"/>
      <c r="D57" s="189"/>
      <c r="E57" s="189"/>
      <c r="F57" s="21"/>
      <c r="G57" s="21"/>
      <c r="H57" s="48">
        <f>H55+H56</f>
        <v>43944.000000000415</v>
      </c>
      <c r="I57" s="61">
        <f>H54-H64-H53</f>
        <v>5.3999999992083758</v>
      </c>
      <c r="J57" s="25">
        <f>I57/H57</f>
        <v>1.2288367010759887E-4</v>
      </c>
    </row>
    <row r="58" spans="1:10" ht="15.75" x14ac:dyDescent="0.25">
      <c r="A58" s="27" t="s">
        <v>78</v>
      </c>
      <c r="B58" s="189" t="s">
        <v>52</v>
      </c>
      <c r="C58" s="189">
        <v>51097675</v>
      </c>
      <c r="D58" s="189" t="s">
        <v>34</v>
      </c>
      <c r="E58" s="189">
        <v>4800</v>
      </c>
      <c r="F58" s="21">
        <v>574.36500000000001</v>
      </c>
      <c r="G58" s="21">
        <v>576.22</v>
      </c>
      <c r="H58" s="18">
        <f t="shared" ref="H58:H63" si="2">(G58-F58)*E58</f>
        <v>8904.0000000000873</v>
      </c>
      <c r="I58" s="62"/>
      <c r="J58" s="59"/>
    </row>
    <row r="59" spans="1:10" ht="15.75" x14ac:dyDescent="0.25">
      <c r="A59" s="27" t="s">
        <v>79</v>
      </c>
      <c r="B59" s="189" t="s">
        <v>52</v>
      </c>
      <c r="C59" s="189">
        <v>51100997</v>
      </c>
      <c r="D59" s="189" t="s">
        <v>21</v>
      </c>
      <c r="E59" s="189">
        <v>3600</v>
      </c>
      <c r="F59" s="21">
        <v>1441.422</v>
      </c>
      <c r="G59" s="21">
        <v>1443.9929999999999</v>
      </c>
      <c r="H59" s="18">
        <f t="shared" si="2"/>
        <v>9255.5999999996857</v>
      </c>
      <c r="I59" s="62"/>
      <c r="J59" s="59"/>
    </row>
    <row r="60" spans="1:10" ht="15.75" x14ac:dyDescent="0.25">
      <c r="A60" s="27" t="s">
        <v>80</v>
      </c>
      <c r="B60" s="189" t="s">
        <v>52</v>
      </c>
      <c r="C60" s="189">
        <v>51555218</v>
      </c>
      <c r="D60" s="189">
        <f>400/5</f>
        <v>80</v>
      </c>
      <c r="E60" s="189">
        <v>4800</v>
      </c>
      <c r="F60" s="21">
        <v>74.841999999999999</v>
      </c>
      <c r="G60" s="21">
        <v>75.119</v>
      </c>
      <c r="H60" s="18">
        <f t="shared" si="2"/>
        <v>1329.6000000000049</v>
      </c>
      <c r="I60" s="62"/>
      <c r="J60" s="59"/>
    </row>
    <row r="61" spans="1:10" ht="15.75" x14ac:dyDescent="0.25">
      <c r="A61" s="27" t="s">
        <v>81</v>
      </c>
      <c r="B61" s="189" t="s">
        <v>52</v>
      </c>
      <c r="C61" s="189">
        <v>51555151</v>
      </c>
      <c r="D61" s="189">
        <f>400/5</f>
        <v>80</v>
      </c>
      <c r="E61" s="189">
        <v>4800</v>
      </c>
      <c r="F61" s="63">
        <v>0.30599999999999999</v>
      </c>
      <c r="G61" s="63">
        <v>0.30599999999999999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89" t="s">
        <v>52</v>
      </c>
      <c r="C62" s="189">
        <v>51097599</v>
      </c>
      <c r="D62" s="189" t="s">
        <v>21</v>
      </c>
      <c r="E62" s="189">
        <v>3600</v>
      </c>
      <c r="F62" s="21">
        <v>1023.4589999999999</v>
      </c>
      <c r="G62" s="21">
        <v>1026.6320000000001</v>
      </c>
      <c r="H62" s="18">
        <f t="shared" si="2"/>
        <v>11422.800000000416</v>
      </c>
      <c r="I62" s="62"/>
      <c r="J62" s="59"/>
    </row>
    <row r="63" spans="1:10" ht="15.75" x14ac:dyDescent="0.25">
      <c r="A63" s="27" t="s">
        <v>83</v>
      </c>
      <c r="B63" s="189" t="s">
        <v>52</v>
      </c>
      <c r="C63" s="189">
        <v>51097620</v>
      </c>
      <c r="D63" s="189" t="s">
        <v>34</v>
      </c>
      <c r="E63" s="189">
        <v>4800</v>
      </c>
      <c r="F63" s="21">
        <v>574.52</v>
      </c>
      <c r="G63" s="21">
        <v>577.26199999999994</v>
      </c>
      <c r="H63" s="18">
        <f t="shared" si="2"/>
        <v>13161.599999999817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44073.600000000013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89" t="s">
        <v>52</v>
      </c>
      <c r="C66" s="9">
        <v>51259238</v>
      </c>
      <c r="D66" s="74" t="s">
        <v>53</v>
      </c>
      <c r="E66" s="74">
        <v>7000</v>
      </c>
      <c r="F66" s="75">
        <v>616.93200000000002</v>
      </c>
      <c r="G66" s="75">
        <v>619.02</v>
      </c>
      <c r="H66" s="76">
        <f>(G66-F66)*E66</f>
        <v>14615.999999999758</v>
      </c>
      <c r="I66" s="77"/>
      <c r="J66" s="78"/>
    </row>
    <row r="67" spans="1:10" ht="15.75" x14ac:dyDescent="0.25">
      <c r="A67" s="27" t="s">
        <v>86</v>
      </c>
      <c r="B67" s="189" t="s">
        <v>52</v>
      </c>
      <c r="C67" s="189">
        <v>51259324</v>
      </c>
      <c r="D67" s="190" t="s">
        <v>53</v>
      </c>
      <c r="E67" s="190">
        <v>7000</v>
      </c>
      <c r="F67" s="21">
        <v>477.07499999999999</v>
      </c>
      <c r="G67" s="21">
        <v>478.30599999999998</v>
      </c>
      <c r="H67" s="18">
        <f>(G67-F67)*E67</f>
        <v>8616.9999999999618</v>
      </c>
      <c r="I67" s="51"/>
      <c r="J67" s="58"/>
    </row>
    <row r="68" spans="1:10" ht="15.75" x14ac:dyDescent="0.25">
      <c r="A68" s="27" t="s">
        <v>87</v>
      </c>
      <c r="B68" s="79" t="s">
        <v>88</v>
      </c>
      <c r="C68" s="189">
        <v>51491618</v>
      </c>
      <c r="D68" s="190" t="s">
        <v>63</v>
      </c>
      <c r="E68" s="189">
        <v>40</v>
      </c>
      <c r="F68" s="28">
        <v>1443.9090000000001</v>
      </c>
      <c r="G68" s="28">
        <v>1449.5840000000001</v>
      </c>
      <c r="H68" s="18">
        <f>(G68-F68)*E68</f>
        <v>226.99999999999818</v>
      </c>
      <c r="I68" s="51"/>
      <c r="J68" s="58"/>
    </row>
    <row r="69" spans="1:10" ht="15.75" x14ac:dyDescent="0.25">
      <c r="A69" s="27" t="s">
        <v>89</v>
      </c>
      <c r="B69" s="79" t="s">
        <v>88</v>
      </c>
      <c r="C69" s="189">
        <v>51491624</v>
      </c>
      <c r="D69" s="190" t="s">
        <v>63</v>
      </c>
      <c r="E69" s="189">
        <v>40</v>
      </c>
      <c r="F69" s="28">
        <v>188.85</v>
      </c>
      <c r="G69" s="28">
        <v>189.29499999999999</v>
      </c>
      <c r="H69" s="18">
        <f>(G69-F69)*E69</f>
        <v>17.799999999999727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23232.99999999972</v>
      </c>
      <c r="I70" s="85">
        <f>H70-H73-H68-H69</f>
        <v>-675.80000000003793</v>
      </c>
      <c r="J70" s="25">
        <f>I70/H70</f>
        <v>-2.9087935264496451E-2</v>
      </c>
    </row>
    <row r="71" spans="1:10" ht="15.75" x14ac:dyDescent="0.25">
      <c r="A71" s="27" t="s">
        <v>91</v>
      </c>
      <c r="B71" s="189" t="s">
        <v>52</v>
      </c>
      <c r="C71" s="86">
        <v>51097588</v>
      </c>
      <c r="D71" s="190" t="s">
        <v>75</v>
      </c>
      <c r="E71" s="189">
        <v>12000</v>
      </c>
      <c r="F71" s="21">
        <v>368.14699999999999</v>
      </c>
      <c r="G71" s="21">
        <v>369.36099999999999</v>
      </c>
      <c r="H71" s="18">
        <f>(G71-F71)*E71</f>
        <v>14567.999999999984</v>
      </c>
      <c r="I71" s="51"/>
      <c r="J71" s="58"/>
    </row>
    <row r="72" spans="1:10" ht="15.75" x14ac:dyDescent="0.25">
      <c r="A72" s="27" t="s">
        <v>92</v>
      </c>
      <c r="B72" s="189" t="s">
        <v>52</v>
      </c>
      <c r="C72" s="86">
        <v>51431335</v>
      </c>
      <c r="D72" s="190" t="s">
        <v>75</v>
      </c>
      <c r="E72" s="189">
        <v>12000</v>
      </c>
      <c r="F72" s="21">
        <v>291.14600000000002</v>
      </c>
      <c r="G72" s="21">
        <v>291.904</v>
      </c>
      <c r="H72" s="18">
        <f>(G72-F72)*E72</f>
        <v>9095.9999999997763</v>
      </c>
      <c r="I72" s="51"/>
      <c r="J72" s="58"/>
    </row>
    <row r="73" spans="1:10" ht="15.75" x14ac:dyDescent="0.25">
      <c r="A73" s="87" t="s">
        <v>93</v>
      </c>
      <c r="B73" s="189" t="s">
        <v>27</v>
      </c>
      <c r="C73" s="189"/>
      <c r="D73" s="190"/>
      <c r="E73" s="189"/>
      <c r="F73" s="21"/>
      <c r="G73" s="21"/>
      <c r="H73" s="48">
        <f>H71+ H72</f>
        <v>23663.99999999976</v>
      </c>
      <c r="I73" s="85">
        <f>H73-H81</f>
        <v>-41.400000000045111</v>
      </c>
      <c r="J73" s="25">
        <f>I73/H73</f>
        <v>-1.7494929006104433E-3</v>
      </c>
    </row>
    <row r="74" spans="1:10" ht="15.75" x14ac:dyDescent="0.25">
      <c r="A74" s="27" t="s">
        <v>94</v>
      </c>
      <c r="B74" s="189" t="s">
        <v>52</v>
      </c>
      <c r="C74" s="86">
        <v>51097676</v>
      </c>
      <c r="D74" s="88" t="s">
        <v>63</v>
      </c>
      <c r="E74" s="189">
        <v>2400</v>
      </c>
      <c r="F74" s="21">
        <v>771.87199999999996</v>
      </c>
      <c r="G74" s="21">
        <v>774.33900000000006</v>
      </c>
      <c r="H74" s="18">
        <f>(G74-F74)*E74</f>
        <v>5920.8000000002357</v>
      </c>
      <c r="I74" s="51"/>
      <c r="J74" s="58"/>
    </row>
    <row r="75" spans="1:10" ht="15.75" x14ac:dyDescent="0.25">
      <c r="A75" s="27" t="s">
        <v>95</v>
      </c>
      <c r="B75" s="189" t="s">
        <v>52</v>
      </c>
      <c r="C75" s="86">
        <v>51431355</v>
      </c>
      <c r="D75" s="190" t="s">
        <v>21</v>
      </c>
      <c r="E75" s="190">
        <v>3600</v>
      </c>
      <c r="F75" s="21">
        <v>396.27300000000002</v>
      </c>
      <c r="G75" s="21">
        <v>397.553</v>
      </c>
      <c r="H75" s="18">
        <f>(G75-F75)*E75</f>
        <v>4607.9999999999018</v>
      </c>
      <c r="I75" s="51"/>
      <c r="J75" s="52"/>
    </row>
    <row r="76" spans="1:10" ht="15.75" x14ac:dyDescent="0.25">
      <c r="A76" s="27" t="s">
        <v>96</v>
      </c>
      <c r="B76" s="189" t="s">
        <v>52</v>
      </c>
      <c r="C76" s="86">
        <v>51259331</v>
      </c>
      <c r="D76" s="88" t="s">
        <v>37</v>
      </c>
      <c r="E76" s="189">
        <v>600</v>
      </c>
      <c r="F76" s="21">
        <v>183.08</v>
      </c>
      <c r="G76" s="21">
        <v>183.72900000000001</v>
      </c>
      <c r="H76" s="18">
        <f>(G76-F76)*E76</f>
        <v>389.40000000000055</v>
      </c>
      <c r="I76" s="51"/>
      <c r="J76" s="52"/>
    </row>
    <row r="77" spans="1:10" ht="15.75" x14ac:dyDescent="0.25">
      <c r="A77" s="27" t="s">
        <v>97</v>
      </c>
      <c r="B77" s="189" t="s">
        <v>52</v>
      </c>
      <c r="C77" s="86">
        <v>51259326</v>
      </c>
      <c r="D77" s="88" t="s">
        <v>14</v>
      </c>
      <c r="E77" s="189">
        <v>7200</v>
      </c>
      <c r="F77" s="21">
        <v>363.43700000000001</v>
      </c>
      <c r="G77" s="21">
        <v>364.642</v>
      </c>
      <c r="H77" s="18">
        <f>(G77-F77)*E77</f>
        <v>8675.9999999998854</v>
      </c>
      <c r="I77" s="51"/>
      <c r="J77" s="52"/>
    </row>
    <row r="78" spans="1:10" ht="15.75" x14ac:dyDescent="0.25">
      <c r="A78" s="27" t="s">
        <v>98</v>
      </c>
      <c r="B78" s="189" t="s">
        <v>52</v>
      </c>
      <c r="C78" s="86">
        <v>51431351</v>
      </c>
      <c r="D78" s="88" t="s">
        <v>14</v>
      </c>
      <c r="E78" s="189">
        <v>7200</v>
      </c>
      <c r="F78" s="21">
        <v>266.76600000000002</v>
      </c>
      <c r="G78" s="21">
        <v>267.33699999999999</v>
      </c>
      <c r="H78" s="18">
        <f>(G78-F78)*E78</f>
        <v>4111.1999999997806</v>
      </c>
      <c r="I78" s="51"/>
      <c r="J78" s="52"/>
    </row>
    <row r="79" spans="1:10" ht="15.75" x14ac:dyDescent="0.25">
      <c r="A79" s="89" t="s">
        <v>99</v>
      </c>
      <c r="B79" s="189" t="s">
        <v>52</v>
      </c>
      <c r="C79" s="90">
        <v>51097666</v>
      </c>
      <c r="D79" s="88" t="s">
        <v>63</v>
      </c>
      <c r="E79" s="189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89" t="s">
        <v>52</v>
      </c>
      <c r="C80" s="90">
        <v>51259323</v>
      </c>
      <c r="D80" s="88" t="s">
        <v>63</v>
      </c>
      <c r="E80" s="189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23705.399999999805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89" t="s">
        <v>52</v>
      </c>
      <c r="C83" s="106">
        <v>51431297</v>
      </c>
      <c r="D83" s="190" t="s">
        <v>53</v>
      </c>
      <c r="E83" s="100">
        <v>7000</v>
      </c>
      <c r="F83" s="17">
        <v>330.24700000000001</v>
      </c>
      <c r="G83" s="17">
        <v>331.02300000000002</v>
      </c>
      <c r="H83" s="18">
        <f>(G83-F83)*E83</f>
        <v>5432.0000000000728</v>
      </c>
      <c r="I83" s="107"/>
      <c r="J83" s="108"/>
    </row>
    <row r="84" spans="1:10" ht="15.75" x14ac:dyDescent="0.25">
      <c r="A84" s="105" t="s">
        <v>86</v>
      </c>
      <c r="B84" s="189" t="s">
        <v>52</v>
      </c>
      <c r="C84" s="106">
        <v>51431332</v>
      </c>
      <c r="D84" s="190" t="s">
        <v>53</v>
      </c>
      <c r="E84" s="100">
        <v>7000</v>
      </c>
      <c r="F84" s="17">
        <v>366.49299999999999</v>
      </c>
      <c r="G84" s="17">
        <v>368.52800000000002</v>
      </c>
      <c r="H84" s="18">
        <f>(G84-F84)*E84</f>
        <v>14245.000000000175</v>
      </c>
      <c r="I84" s="189"/>
      <c r="J84" s="58"/>
    </row>
    <row r="85" spans="1:10" ht="15.75" x14ac:dyDescent="0.25">
      <c r="A85" s="27" t="s">
        <v>87</v>
      </c>
      <c r="B85" s="189" t="s">
        <v>103</v>
      </c>
      <c r="C85" s="109">
        <v>150773</v>
      </c>
      <c r="D85" s="190" t="s">
        <v>53</v>
      </c>
      <c r="E85" s="109">
        <v>20</v>
      </c>
      <c r="F85" s="17">
        <v>15790.3</v>
      </c>
      <c r="G85" s="17">
        <v>15793.8</v>
      </c>
      <c r="H85" s="18">
        <f>(G85-F85)*E85</f>
        <v>70</v>
      </c>
      <c r="I85" s="51"/>
      <c r="J85" s="58"/>
    </row>
    <row r="86" spans="1:10" ht="15.75" x14ac:dyDescent="0.25">
      <c r="A86" s="27" t="s">
        <v>89</v>
      </c>
      <c r="B86" s="189" t="s">
        <v>103</v>
      </c>
      <c r="C86" s="109">
        <v>150791</v>
      </c>
      <c r="D86" s="190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91"/>
      <c r="C87" s="32"/>
      <c r="D87" s="82"/>
      <c r="E87" s="82"/>
      <c r="F87" s="21"/>
      <c r="G87" s="21"/>
      <c r="H87" s="48">
        <f>H83+H84</f>
        <v>19677.000000000247</v>
      </c>
      <c r="I87" s="85">
        <f>H87-H90-H85-H86</f>
        <v>349.4000000002452</v>
      </c>
      <c r="J87" s="25">
        <f>I87/H87</f>
        <v>1.775677186564216E-2</v>
      </c>
    </row>
    <row r="88" spans="1:10" ht="15.75" x14ac:dyDescent="0.25">
      <c r="A88" s="27" t="s">
        <v>104</v>
      </c>
      <c r="B88" s="189" t="s">
        <v>52</v>
      </c>
      <c r="C88" s="106">
        <v>51431342</v>
      </c>
      <c r="D88" s="88" t="s">
        <v>34</v>
      </c>
      <c r="E88" s="189">
        <v>4800</v>
      </c>
      <c r="F88" s="21">
        <v>469.92599999999999</v>
      </c>
      <c r="G88" s="21">
        <v>471.029</v>
      </c>
      <c r="H88" s="18">
        <f>(G88-F88)*E88</f>
        <v>5294.4000000000415</v>
      </c>
      <c r="I88" s="51"/>
      <c r="J88" s="52"/>
    </row>
    <row r="89" spans="1:10" ht="15.75" x14ac:dyDescent="0.25">
      <c r="A89" s="27" t="s">
        <v>105</v>
      </c>
      <c r="B89" s="189" t="s">
        <v>52</v>
      </c>
      <c r="C89" s="106">
        <v>51431343</v>
      </c>
      <c r="D89" s="88" t="s">
        <v>34</v>
      </c>
      <c r="E89" s="189">
        <v>4800</v>
      </c>
      <c r="F89" s="21">
        <v>516.83799999999997</v>
      </c>
      <c r="G89" s="21">
        <v>519.74699999999996</v>
      </c>
      <c r="H89" s="18">
        <f>(G89-F89)*E89</f>
        <v>13963.199999999961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19257.600000000002</v>
      </c>
      <c r="I90" s="85">
        <f>H90-H98</f>
        <v>-52.59999999986394</v>
      </c>
      <c r="J90" s="25">
        <f>I90/H90</f>
        <v>-2.7313891658287603E-3</v>
      </c>
    </row>
    <row r="91" spans="1:10" ht="15.75" x14ac:dyDescent="0.25">
      <c r="A91" s="27" t="s">
        <v>107</v>
      </c>
      <c r="B91" s="189" t="s">
        <v>52</v>
      </c>
      <c r="C91" s="106">
        <v>51431347</v>
      </c>
      <c r="D91" s="190" t="s">
        <v>53</v>
      </c>
      <c r="E91" s="189">
        <v>1200</v>
      </c>
      <c r="F91" s="21">
        <v>1233.1690000000001</v>
      </c>
      <c r="G91" s="21">
        <v>1241.74</v>
      </c>
      <c r="H91" s="18">
        <f>(G91-F91)*E91</f>
        <v>10285.199999999895</v>
      </c>
      <c r="I91" s="51"/>
      <c r="J91" s="52"/>
    </row>
    <row r="92" spans="1:10" ht="15.75" x14ac:dyDescent="0.25">
      <c r="A92" s="27" t="s">
        <v>108</v>
      </c>
      <c r="B92" s="189" t="s">
        <v>52</v>
      </c>
      <c r="C92" s="106">
        <v>51431339</v>
      </c>
      <c r="D92" s="190" t="s">
        <v>53</v>
      </c>
      <c r="E92" s="189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89" t="s">
        <v>52</v>
      </c>
      <c r="C93" s="106">
        <v>51217244</v>
      </c>
      <c r="D93" s="189" t="s">
        <v>37</v>
      </c>
      <c r="E93" s="189">
        <v>600</v>
      </c>
      <c r="F93" s="30">
        <v>358.67099999999999</v>
      </c>
      <c r="G93" s="30">
        <v>361.32900000000001</v>
      </c>
      <c r="H93" s="18">
        <f t="shared" si="4"/>
        <v>1594.8000000000093</v>
      </c>
      <c r="I93" s="51"/>
      <c r="J93" s="52"/>
    </row>
    <row r="94" spans="1:10" ht="15.75" x14ac:dyDescent="0.25">
      <c r="A94" s="27" t="s">
        <v>110</v>
      </c>
      <c r="B94" s="189" t="s">
        <v>52</v>
      </c>
      <c r="C94" s="106">
        <v>51217267</v>
      </c>
      <c r="D94" s="88" t="s">
        <v>63</v>
      </c>
      <c r="E94" s="189">
        <v>2400</v>
      </c>
      <c r="F94" s="30">
        <v>21.788</v>
      </c>
      <c r="G94" s="30">
        <v>22.663</v>
      </c>
      <c r="H94" s="18">
        <f t="shared" si="4"/>
        <v>2100</v>
      </c>
      <c r="I94" s="51"/>
      <c r="J94" s="52"/>
    </row>
    <row r="95" spans="1:10" ht="15.75" x14ac:dyDescent="0.25">
      <c r="A95" s="27" t="s">
        <v>111</v>
      </c>
      <c r="B95" s="189" t="s">
        <v>52</v>
      </c>
      <c r="C95" s="189">
        <v>51555165</v>
      </c>
      <c r="D95" s="190" t="s">
        <v>53</v>
      </c>
      <c r="E95" s="189">
        <v>1200</v>
      </c>
      <c r="F95" s="30">
        <v>1007.984</v>
      </c>
      <c r="G95" s="30">
        <v>1007.984</v>
      </c>
      <c r="H95" s="18">
        <f t="shared" si="4"/>
        <v>0</v>
      </c>
      <c r="I95" s="51" t="s">
        <v>27</v>
      </c>
      <c r="J95" s="52"/>
    </row>
    <row r="96" spans="1:10" ht="15.75" x14ac:dyDescent="0.25">
      <c r="A96" s="113" t="s">
        <v>112</v>
      </c>
      <c r="B96" s="189" t="s">
        <v>52</v>
      </c>
      <c r="C96" s="106">
        <v>51431346</v>
      </c>
      <c r="D96" s="114" t="s">
        <v>37</v>
      </c>
      <c r="E96" s="114">
        <v>600</v>
      </c>
      <c r="F96" s="30">
        <v>392.94600000000003</v>
      </c>
      <c r="G96" s="30">
        <v>393.25900000000001</v>
      </c>
      <c r="H96" s="115">
        <f t="shared" si="4"/>
        <v>187.79999999999291</v>
      </c>
      <c r="I96" s="116"/>
      <c r="J96" s="117"/>
    </row>
    <row r="97" spans="1:10" ht="15.75" x14ac:dyDescent="0.25">
      <c r="A97" s="27" t="s">
        <v>113</v>
      </c>
      <c r="B97" s="189" t="s">
        <v>52</v>
      </c>
      <c r="C97" s="106">
        <v>51431352</v>
      </c>
      <c r="D97" s="88" t="s">
        <v>21</v>
      </c>
      <c r="E97" s="189">
        <v>3600</v>
      </c>
      <c r="F97" s="21">
        <v>265.15899999999999</v>
      </c>
      <c r="G97" s="21">
        <v>266.56799999999998</v>
      </c>
      <c r="H97" s="18">
        <f t="shared" si="4"/>
        <v>5072.3999999999705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19310.199999999866</v>
      </c>
      <c r="I98" s="51"/>
      <c r="J98" s="52"/>
    </row>
    <row r="99" spans="1:10" ht="15.75" x14ac:dyDescent="0.25">
      <c r="A99" s="45" t="s">
        <v>114</v>
      </c>
      <c r="B99" s="189" t="s">
        <v>52</v>
      </c>
      <c r="C99" s="120">
        <v>51431357</v>
      </c>
      <c r="D99" s="190" t="s">
        <v>63</v>
      </c>
      <c r="E99" s="190">
        <v>14000</v>
      </c>
      <c r="F99" s="28">
        <v>908.78399999999999</v>
      </c>
      <c r="G99" s="28">
        <v>912.226</v>
      </c>
      <c r="H99" s="121">
        <f t="shared" si="4"/>
        <v>48188.000000000102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opLeftCell="A4" workbookViewId="0">
      <selection activeCell="G25" sqref="G25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138</v>
      </c>
      <c r="G2" s="4" t="s">
        <v>139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92" t="s">
        <v>13</v>
      </c>
      <c r="C4" s="192">
        <v>51555166</v>
      </c>
      <c r="D4" s="192" t="s">
        <v>14</v>
      </c>
      <c r="E4" s="192">
        <v>132000</v>
      </c>
      <c r="F4" s="17">
        <v>7.069</v>
      </c>
      <c r="G4" s="17">
        <v>7.0759999999999996</v>
      </c>
      <c r="H4" s="18">
        <f>(G4-F4)*E4</f>
        <v>923.9999999999568</v>
      </c>
      <c r="I4" s="19"/>
      <c r="J4" s="20"/>
    </row>
    <row r="5" spans="1:10" ht="15.75" x14ac:dyDescent="0.25">
      <c r="A5" s="15" t="s">
        <v>15</v>
      </c>
      <c r="B5" s="192" t="s">
        <v>13</v>
      </c>
      <c r="C5" s="192">
        <v>51555191</v>
      </c>
      <c r="D5" s="192" t="s">
        <v>14</v>
      </c>
      <c r="E5" s="192">
        <v>132000</v>
      </c>
      <c r="F5" s="21">
        <v>413.91</v>
      </c>
      <c r="G5" s="21">
        <v>415.642</v>
      </c>
      <c r="H5" s="18">
        <f>(G5-F5)*E5</f>
        <v>228623.99999999616</v>
      </c>
      <c r="I5" s="19"/>
      <c r="J5" s="20"/>
    </row>
    <row r="6" spans="1:10" ht="15.75" x14ac:dyDescent="0.25">
      <c r="A6" s="218" t="s">
        <v>16</v>
      </c>
      <c r="B6" s="219"/>
      <c r="C6" s="192"/>
      <c r="D6" s="193"/>
      <c r="E6" s="192"/>
      <c r="H6" s="23">
        <f>H4+H5</f>
        <v>229547.99999999613</v>
      </c>
      <c r="I6" s="24">
        <f>H6-H9-H19</f>
        <v>1866.0000000004948</v>
      </c>
      <c r="J6" s="25">
        <f>I6/H6</f>
        <v>8.1290187673189324E-3</v>
      </c>
    </row>
    <row r="7" spans="1:10" ht="15.75" x14ac:dyDescent="0.25">
      <c r="A7" s="26" t="s">
        <v>17</v>
      </c>
      <c r="B7" s="192" t="s">
        <v>13</v>
      </c>
      <c r="C7" s="192">
        <v>51097629</v>
      </c>
      <c r="D7" s="193" t="s">
        <v>14</v>
      </c>
      <c r="E7" s="192">
        <v>42000</v>
      </c>
      <c r="F7" s="21">
        <v>1197.5260000000001</v>
      </c>
      <c r="G7" s="21">
        <v>1201.395</v>
      </c>
      <c r="H7" s="18">
        <f>(G7-F7)*E7</f>
        <v>162497.99999999642</v>
      </c>
      <c r="I7" s="19"/>
      <c r="J7" s="20"/>
    </row>
    <row r="8" spans="1:10" ht="15.75" x14ac:dyDescent="0.25">
      <c r="A8" s="26" t="s">
        <v>18</v>
      </c>
      <c r="B8" s="192" t="s">
        <v>13</v>
      </c>
      <c r="C8" s="192">
        <v>51616820</v>
      </c>
      <c r="D8" s="193" t="s">
        <v>14</v>
      </c>
      <c r="E8" s="192">
        <v>42000</v>
      </c>
      <c r="F8" s="21">
        <v>15.489000000000001</v>
      </c>
      <c r="G8" s="21">
        <v>15.499000000000001</v>
      </c>
      <c r="H8" s="18">
        <f>(G8-F8)*E8</f>
        <v>419.99999999999102</v>
      </c>
      <c r="I8" s="19"/>
      <c r="J8" s="20"/>
    </row>
    <row r="9" spans="1:10" ht="15.75" x14ac:dyDescent="0.25">
      <c r="A9" s="218" t="s">
        <v>19</v>
      </c>
      <c r="B9" s="219"/>
      <c r="C9" s="192"/>
      <c r="D9" s="193"/>
      <c r="E9" s="192"/>
      <c r="F9" s="21"/>
      <c r="G9" s="21"/>
      <c r="H9" s="23">
        <f>H7+H8</f>
        <v>162917.99999999642</v>
      </c>
      <c r="I9" s="24">
        <f>H9-H16</f>
        <v>125.99999999866122</v>
      </c>
      <c r="J9" s="25">
        <f>I9/H9</f>
        <v>7.7339520494152877E-4</v>
      </c>
    </row>
    <row r="10" spans="1:10" ht="15.75" x14ac:dyDescent="0.25">
      <c r="A10" s="27" t="s">
        <v>20</v>
      </c>
      <c r="B10" s="192" t="s">
        <v>13</v>
      </c>
      <c r="C10" s="192">
        <v>51217286</v>
      </c>
      <c r="D10" s="193" t="s">
        <v>21</v>
      </c>
      <c r="E10" s="192">
        <v>21000</v>
      </c>
      <c r="F10" s="21">
        <v>942.82799999999997</v>
      </c>
      <c r="G10" s="21">
        <v>945.71299999999997</v>
      </c>
      <c r="H10" s="18">
        <f t="shared" ref="H10:H15" si="0">(G10-F10)*E10</f>
        <v>60584.999999999811</v>
      </c>
      <c r="I10" s="19"/>
      <c r="J10" s="20"/>
    </row>
    <row r="11" spans="1:10" ht="15.75" x14ac:dyDescent="0.25">
      <c r="A11" s="27" t="s">
        <v>22</v>
      </c>
      <c r="B11" s="192" t="s">
        <v>13</v>
      </c>
      <c r="C11" s="192">
        <v>51217292</v>
      </c>
      <c r="D11" s="193" t="s">
        <v>21</v>
      </c>
      <c r="E11" s="192">
        <v>21000</v>
      </c>
      <c r="F11" s="28">
        <v>4.0069999999999997</v>
      </c>
      <c r="G11" s="28">
        <v>4.01</v>
      </c>
      <c r="H11" s="18">
        <f>(G11-F11)*E11</f>
        <v>63.000000000002387</v>
      </c>
      <c r="I11" s="19"/>
      <c r="J11" s="20"/>
    </row>
    <row r="12" spans="1:10" ht="15.75" x14ac:dyDescent="0.25">
      <c r="A12" s="27" t="s">
        <v>23</v>
      </c>
      <c r="B12" s="192" t="s">
        <v>13</v>
      </c>
      <c r="C12" s="192">
        <v>51217271</v>
      </c>
      <c r="D12" s="193" t="s">
        <v>21</v>
      </c>
      <c r="E12" s="192">
        <v>21000</v>
      </c>
      <c r="F12" s="21">
        <v>709.64099999999996</v>
      </c>
      <c r="G12" s="21">
        <v>711.82399999999996</v>
      </c>
      <c r="H12" s="18">
        <f t="shared" si="0"/>
        <v>45842.999999999847</v>
      </c>
      <c r="I12" s="19"/>
      <c r="J12" s="20"/>
    </row>
    <row r="13" spans="1:10" ht="15.75" x14ac:dyDescent="0.25">
      <c r="A13" s="27" t="s">
        <v>24</v>
      </c>
      <c r="B13" s="192" t="s">
        <v>13</v>
      </c>
      <c r="C13" s="192">
        <v>51217276</v>
      </c>
      <c r="D13" s="193" t="s">
        <v>21</v>
      </c>
      <c r="E13" s="192">
        <v>21000</v>
      </c>
      <c r="F13" s="28">
        <v>0.626</v>
      </c>
      <c r="G13" s="28">
        <v>0.627</v>
      </c>
      <c r="H13" s="18">
        <f>(G13-F13)*E13</f>
        <v>21.000000000000018</v>
      </c>
      <c r="I13" s="19"/>
      <c r="J13" s="20"/>
    </row>
    <row r="14" spans="1:10" ht="15.75" x14ac:dyDescent="0.25">
      <c r="A14" s="27" t="s">
        <v>25</v>
      </c>
      <c r="B14" s="192" t="s">
        <v>13</v>
      </c>
      <c r="C14" s="192">
        <v>51100990</v>
      </c>
      <c r="D14" s="193" t="s">
        <v>21</v>
      </c>
      <c r="E14" s="192">
        <v>21000</v>
      </c>
      <c r="F14" s="29">
        <v>761.96500000000003</v>
      </c>
      <c r="G14" s="29">
        <v>764.63699999999994</v>
      </c>
      <c r="H14" s="18">
        <f t="shared" si="0"/>
        <v>56111.999999998145</v>
      </c>
      <c r="I14" s="19"/>
      <c r="J14" s="20"/>
    </row>
    <row r="15" spans="1:10" ht="15.75" x14ac:dyDescent="0.25">
      <c r="A15" s="27" t="s">
        <v>26</v>
      </c>
      <c r="B15" s="192" t="s">
        <v>13</v>
      </c>
      <c r="C15" s="192">
        <v>51097622</v>
      </c>
      <c r="D15" s="193" t="s">
        <v>21</v>
      </c>
      <c r="E15" s="192">
        <v>21000</v>
      </c>
      <c r="F15" s="21">
        <v>9.4420000000000002</v>
      </c>
      <c r="G15" s="21">
        <v>9.4499999999999993</v>
      </c>
      <c r="H15" s="18">
        <f t="shared" si="0"/>
        <v>167.9999999999815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92"/>
      <c r="D16" s="193"/>
      <c r="E16" s="192"/>
      <c r="F16" s="21"/>
      <c r="G16" s="21"/>
      <c r="H16" s="23">
        <f>H10+H11+H12+H13+H14+H15</f>
        <v>162791.99999999776</v>
      </c>
      <c r="I16" s="19"/>
      <c r="J16" s="20"/>
    </row>
    <row r="17" spans="1:10" ht="15.75" x14ac:dyDescent="0.25">
      <c r="A17" s="26" t="s">
        <v>29</v>
      </c>
      <c r="B17" s="192" t="s">
        <v>13</v>
      </c>
      <c r="C17" s="192">
        <v>51097617</v>
      </c>
      <c r="D17" s="193" t="s">
        <v>30</v>
      </c>
      <c r="E17" s="192">
        <v>18000</v>
      </c>
      <c r="F17" s="30">
        <v>942.774</v>
      </c>
      <c r="G17" s="30">
        <v>946.37199999999996</v>
      </c>
      <c r="H17" s="18">
        <f>(G17-F17)*E17</f>
        <v>64763.999999999214</v>
      </c>
      <c r="I17" s="19"/>
      <c r="J17" s="20"/>
    </row>
    <row r="18" spans="1:10" ht="15.75" x14ac:dyDescent="0.25">
      <c r="A18" s="26" t="s">
        <v>31</v>
      </c>
      <c r="B18" s="192" t="s">
        <v>13</v>
      </c>
      <c r="C18" s="192">
        <v>51097655</v>
      </c>
      <c r="D18" s="193" t="s">
        <v>30</v>
      </c>
      <c r="E18" s="192">
        <v>18000</v>
      </c>
      <c r="F18" s="30">
        <v>11.542</v>
      </c>
      <c r="G18" s="30">
        <v>11.542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92"/>
      <c r="D19" s="193"/>
      <c r="E19" s="192"/>
      <c r="F19" s="30"/>
      <c r="G19" s="30"/>
      <c r="H19" s="23">
        <f>H17+H18</f>
        <v>64763.999999999214</v>
      </c>
      <c r="I19" s="24">
        <f>H19-H34</f>
        <v>631.79999999960273</v>
      </c>
      <c r="J19" s="25">
        <f>I19/H19</f>
        <v>9.7554196775926499E-3</v>
      </c>
    </row>
    <row r="20" spans="1:10" ht="15.75" x14ac:dyDescent="0.25">
      <c r="A20" s="15" t="s">
        <v>33</v>
      </c>
      <c r="B20" s="192" t="s">
        <v>13</v>
      </c>
      <c r="C20" s="192">
        <v>51217282</v>
      </c>
      <c r="D20" s="193" t="s">
        <v>34</v>
      </c>
      <c r="E20" s="192">
        <v>4800</v>
      </c>
      <c r="F20" s="21">
        <v>428.03500000000003</v>
      </c>
      <c r="G20" s="21">
        <v>434.40899999999999</v>
      </c>
      <c r="H20" s="18">
        <f t="shared" ref="H20:H33" si="1">(G20-F20)*E20</f>
        <v>30595.199999999841</v>
      </c>
      <c r="I20" s="19" t="s">
        <v>27</v>
      </c>
      <c r="J20" s="20"/>
    </row>
    <row r="21" spans="1:10" ht="15.75" x14ac:dyDescent="0.25">
      <c r="A21" s="15" t="s">
        <v>35</v>
      </c>
      <c r="B21" s="192" t="s">
        <v>13</v>
      </c>
      <c r="C21" s="192">
        <v>51217274</v>
      </c>
      <c r="D21" s="193" t="s">
        <v>34</v>
      </c>
      <c r="E21" s="192">
        <v>4800</v>
      </c>
      <c r="F21" s="21">
        <v>1429.7180000000001</v>
      </c>
      <c r="G21" s="21">
        <v>1430.191</v>
      </c>
      <c r="H21" s="18">
        <f t="shared" si="1"/>
        <v>2270.3999999997905</v>
      </c>
      <c r="I21" s="19"/>
      <c r="J21" s="20"/>
    </row>
    <row r="22" spans="1:10" ht="15.75" x14ac:dyDescent="0.25">
      <c r="A22" s="15" t="s">
        <v>36</v>
      </c>
      <c r="B22" s="192" t="s">
        <v>13</v>
      </c>
      <c r="C22" s="192">
        <v>51097664</v>
      </c>
      <c r="D22" s="193" t="s">
        <v>37</v>
      </c>
      <c r="E22" s="192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92" t="s">
        <v>13</v>
      </c>
      <c r="C23" s="192">
        <v>51097615</v>
      </c>
      <c r="D23" s="193" t="s">
        <v>37</v>
      </c>
      <c r="E23" s="192">
        <v>600</v>
      </c>
      <c r="F23" s="21">
        <v>50.19</v>
      </c>
      <c r="G23" s="21">
        <v>50.476999999999997</v>
      </c>
      <c r="H23" s="18">
        <f t="shared" si="1"/>
        <v>172.19999999999942</v>
      </c>
      <c r="I23" s="19"/>
      <c r="J23" s="20"/>
    </row>
    <row r="24" spans="1:10" ht="15.75" x14ac:dyDescent="0.25">
      <c r="A24" s="15" t="s">
        <v>39</v>
      </c>
      <c r="B24" s="192" t="s">
        <v>13</v>
      </c>
      <c r="C24" s="192">
        <v>51217264</v>
      </c>
      <c r="D24" s="193" t="s">
        <v>37</v>
      </c>
      <c r="E24" s="192">
        <v>600</v>
      </c>
      <c r="F24" s="21">
        <v>115.771</v>
      </c>
      <c r="G24" s="21">
        <v>116.166</v>
      </c>
      <c r="H24" s="18">
        <f t="shared" si="1"/>
        <v>236.99999999999761</v>
      </c>
      <c r="I24" s="19"/>
      <c r="J24" s="20"/>
    </row>
    <row r="25" spans="1:10" ht="15.75" x14ac:dyDescent="0.25">
      <c r="A25" s="15" t="s">
        <v>40</v>
      </c>
      <c r="B25" s="192" t="s">
        <v>13</v>
      </c>
      <c r="C25" s="192">
        <v>51217288</v>
      </c>
      <c r="D25" s="193" t="s">
        <v>37</v>
      </c>
      <c r="E25" s="192">
        <v>600</v>
      </c>
      <c r="F25" s="21">
        <v>21.103000000000002</v>
      </c>
      <c r="G25" s="21">
        <v>21.134</v>
      </c>
      <c r="H25" s="18">
        <f t="shared" si="1"/>
        <v>18.599999999999284</v>
      </c>
      <c r="I25" s="19" t="s">
        <v>27</v>
      </c>
      <c r="J25" s="20"/>
    </row>
    <row r="26" spans="1:10" ht="15.75" x14ac:dyDescent="0.25">
      <c r="A26" s="15" t="s">
        <v>41</v>
      </c>
      <c r="B26" s="192" t="s">
        <v>13</v>
      </c>
      <c r="C26" s="192">
        <v>51217279</v>
      </c>
      <c r="D26" s="193" t="s">
        <v>37</v>
      </c>
      <c r="E26" s="192">
        <v>600</v>
      </c>
      <c r="F26" s="21">
        <v>16.393999999999998</v>
      </c>
      <c r="G26" s="21">
        <v>16.446999999999999</v>
      </c>
      <c r="H26" s="18">
        <f t="shared" si="1"/>
        <v>31.800000000000495</v>
      </c>
      <c r="I26" s="19" t="s">
        <v>27</v>
      </c>
      <c r="J26" s="20"/>
    </row>
    <row r="27" spans="1:10" ht="15.75" x14ac:dyDescent="0.25">
      <c r="A27" s="15" t="s">
        <v>42</v>
      </c>
      <c r="B27" s="192" t="s">
        <v>13</v>
      </c>
      <c r="C27" s="192">
        <v>51217272</v>
      </c>
      <c r="D27" s="193" t="s">
        <v>37</v>
      </c>
      <c r="E27" s="192">
        <v>600</v>
      </c>
      <c r="F27" s="31">
        <v>16.079000000000001</v>
      </c>
      <c r="G27" s="31">
        <v>16.132000000000001</v>
      </c>
      <c r="H27" s="18">
        <f t="shared" si="1"/>
        <v>31.800000000000495</v>
      </c>
      <c r="I27" s="19"/>
      <c r="J27" s="20"/>
    </row>
    <row r="28" spans="1:10" ht="15.75" x14ac:dyDescent="0.25">
      <c r="A28" s="15" t="s">
        <v>43</v>
      </c>
      <c r="B28" s="192" t="s">
        <v>13</v>
      </c>
      <c r="C28" s="192">
        <v>51616744</v>
      </c>
      <c r="D28" s="193">
        <f>300/5</f>
        <v>60</v>
      </c>
      <c r="E28" s="192">
        <v>3600</v>
      </c>
      <c r="F28" s="31">
        <v>109.78400000000001</v>
      </c>
      <c r="G28" s="31">
        <v>109.78400000000001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92" t="s">
        <v>13</v>
      </c>
      <c r="C29" s="192">
        <v>51555226</v>
      </c>
      <c r="D29" s="193">
        <f>300/5</f>
        <v>60</v>
      </c>
      <c r="E29" s="192">
        <v>3600</v>
      </c>
      <c r="F29" s="31">
        <v>590.99400000000003</v>
      </c>
      <c r="G29" s="31">
        <v>593.09199999999998</v>
      </c>
      <c r="H29" s="18">
        <f>(G29-F29)*E29</f>
        <v>7552.7999999998428</v>
      </c>
      <c r="I29" s="19"/>
      <c r="J29" s="20"/>
    </row>
    <row r="30" spans="1:10" ht="15.75" x14ac:dyDescent="0.25">
      <c r="A30" s="15" t="s">
        <v>45</v>
      </c>
      <c r="B30" s="192" t="s">
        <v>13</v>
      </c>
      <c r="C30" s="192">
        <v>51097658</v>
      </c>
      <c r="D30" s="193" t="s">
        <v>34</v>
      </c>
      <c r="E30" s="192">
        <v>4800</v>
      </c>
      <c r="F30" s="31">
        <v>739.06799999999998</v>
      </c>
      <c r="G30" s="31">
        <v>741.56700000000001</v>
      </c>
      <c r="H30" s="18">
        <f t="shared" si="1"/>
        <v>11995.200000000114</v>
      </c>
      <c r="I30" s="19"/>
      <c r="J30" s="20"/>
    </row>
    <row r="31" spans="1:10" ht="15.75" x14ac:dyDescent="0.25">
      <c r="A31" s="15" t="s">
        <v>46</v>
      </c>
      <c r="B31" s="192" t="s">
        <v>13</v>
      </c>
      <c r="C31" s="192">
        <v>51097635</v>
      </c>
      <c r="D31" s="193" t="s">
        <v>34</v>
      </c>
      <c r="E31" s="192">
        <v>4800</v>
      </c>
      <c r="F31" s="31">
        <v>48.503999999999998</v>
      </c>
      <c r="G31" s="31">
        <v>48.506</v>
      </c>
      <c r="H31" s="18">
        <f t="shared" si="1"/>
        <v>9.6000000000117325</v>
      </c>
      <c r="I31" s="19"/>
      <c r="J31" s="20"/>
    </row>
    <row r="32" spans="1:10" ht="15.75" x14ac:dyDescent="0.25">
      <c r="A32" s="15" t="s">
        <v>47</v>
      </c>
      <c r="B32" s="192" t="s">
        <v>13</v>
      </c>
      <c r="C32" s="32">
        <v>51097633</v>
      </c>
      <c r="D32" s="193" t="s">
        <v>34</v>
      </c>
      <c r="E32" s="192">
        <v>4800</v>
      </c>
      <c r="F32" s="31">
        <v>231.01300000000001</v>
      </c>
      <c r="G32" s="31">
        <v>233.32900000000001</v>
      </c>
      <c r="H32" s="33">
        <f t="shared" si="1"/>
        <v>11116.800000000012</v>
      </c>
      <c r="I32" s="34"/>
      <c r="J32" s="35"/>
    </row>
    <row r="33" spans="1:10" ht="15.75" x14ac:dyDescent="0.25">
      <c r="A33" s="15" t="s">
        <v>48</v>
      </c>
      <c r="B33" s="192" t="s">
        <v>13</v>
      </c>
      <c r="C33" s="32">
        <v>51097662</v>
      </c>
      <c r="D33" s="193" t="s">
        <v>34</v>
      </c>
      <c r="E33" s="192">
        <v>4800</v>
      </c>
      <c r="F33" s="31">
        <v>4.6310000000000002</v>
      </c>
      <c r="G33" s="31">
        <v>4.6520000000000001</v>
      </c>
      <c r="H33" s="33">
        <f t="shared" si="1"/>
        <v>100.79999999999956</v>
      </c>
      <c r="I33" s="34"/>
      <c r="J33" s="35"/>
    </row>
    <row r="34" spans="1:10" ht="15.75" x14ac:dyDescent="0.25">
      <c r="A34" s="218" t="s">
        <v>49</v>
      </c>
      <c r="B34" s="219"/>
      <c r="C34" s="192"/>
      <c r="D34" s="193"/>
      <c r="E34" s="192"/>
      <c r="F34" s="36"/>
      <c r="G34" s="36"/>
      <c r="H34" s="23">
        <f>H20+H21+H22+H23+H24+H25+H26+H27+H28+H29+H30+H31+H32+H33</f>
        <v>64132.199999999611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92" t="s">
        <v>52</v>
      </c>
      <c r="C36" s="192">
        <v>51555209</v>
      </c>
      <c r="D36" s="193" t="s">
        <v>53</v>
      </c>
      <c r="E36" s="192">
        <v>7000</v>
      </c>
      <c r="F36" s="17">
        <v>6.3129999999999997</v>
      </c>
      <c r="G36" s="17">
        <v>6.3280000000000003</v>
      </c>
      <c r="H36" s="41">
        <f>(G36-F36)*E36</f>
        <v>105.00000000000398</v>
      </c>
      <c r="I36" s="42"/>
      <c r="J36" s="14"/>
    </row>
    <row r="37" spans="1:10" ht="15.75" x14ac:dyDescent="0.25">
      <c r="A37" s="15" t="s">
        <v>54</v>
      </c>
      <c r="B37" s="192" t="s">
        <v>52</v>
      </c>
      <c r="C37" s="192">
        <v>51555209</v>
      </c>
      <c r="D37" s="193" t="s">
        <v>53</v>
      </c>
      <c r="E37" s="192">
        <v>7000</v>
      </c>
      <c r="F37" s="21">
        <v>11.369</v>
      </c>
      <c r="G37" s="21">
        <v>11.419</v>
      </c>
      <c r="H37" s="18">
        <f>(G37-F37)*E37</f>
        <v>350.000000000005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92" t="s">
        <v>52</v>
      </c>
      <c r="C39" s="192">
        <v>51097674</v>
      </c>
      <c r="D39" s="192" t="s">
        <v>14</v>
      </c>
      <c r="E39" s="192">
        <v>7200</v>
      </c>
      <c r="F39" s="21">
        <v>648.18100000000004</v>
      </c>
      <c r="G39" s="21">
        <v>650.29899999999998</v>
      </c>
      <c r="H39" s="18">
        <f>(G39-F39)*E39</f>
        <v>15249.599999999555</v>
      </c>
      <c r="I39" s="47"/>
      <c r="J39" s="20"/>
    </row>
    <row r="40" spans="1:10" ht="15.75" x14ac:dyDescent="0.25">
      <c r="A40" s="27" t="s">
        <v>57</v>
      </c>
      <c r="B40" s="192" t="s">
        <v>52</v>
      </c>
      <c r="C40" s="192">
        <v>51259257</v>
      </c>
      <c r="D40" s="192" t="s">
        <v>14</v>
      </c>
      <c r="E40" s="192">
        <v>7200</v>
      </c>
      <c r="F40" s="21">
        <v>1.0549999999999999</v>
      </c>
      <c r="G40" s="21">
        <v>1.0549999999999999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92"/>
      <c r="C41" s="192"/>
      <c r="D41" s="192"/>
      <c r="E41" s="192"/>
      <c r="F41" s="21"/>
      <c r="G41" s="21"/>
      <c r="H41" s="48">
        <f>H39+H40</f>
        <v>15249.599999999555</v>
      </c>
      <c r="I41" s="24">
        <f>H41-H49</f>
        <v>-105.20000000054642</v>
      </c>
      <c r="J41" s="25">
        <f>I41/H41</f>
        <v>-6.8985416011272099E-3</v>
      </c>
    </row>
    <row r="42" spans="1:10" ht="15.75" x14ac:dyDescent="0.25">
      <c r="A42" s="15" t="s">
        <v>59</v>
      </c>
      <c r="B42" s="192"/>
      <c r="C42" s="192"/>
      <c r="D42" s="193"/>
      <c r="E42" s="192"/>
      <c r="H42" s="18"/>
      <c r="I42" s="43"/>
      <c r="J42" s="20"/>
    </row>
    <row r="43" spans="1:10" ht="15.75" x14ac:dyDescent="0.25">
      <c r="A43" s="27" t="s">
        <v>60</v>
      </c>
      <c r="B43" s="192" t="s">
        <v>52</v>
      </c>
      <c r="C43" s="32">
        <v>51097648</v>
      </c>
      <c r="D43" s="192" t="s">
        <v>53</v>
      </c>
      <c r="E43" s="192">
        <v>1200</v>
      </c>
      <c r="F43" s="21">
        <v>530.10299999999995</v>
      </c>
      <c r="G43" s="21">
        <v>531.904</v>
      </c>
      <c r="H43" s="33">
        <f>(G43-F43)*E43</f>
        <v>2161.2000000000535</v>
      </c>
      <c r="I43" s="43"/>
      <c r="J43" s="20"/>
    </row>
    <row r="44" spans="1:10" ht="15.75" x14ac:dyDescent="0.25">
      <c r="A44" s="27" t="s">
        <v>61</v>
      </c>
      <c r="B44" s="192" t="s">
        <v>52</v>
      </c>
      <c r="C44" s="32">
        <v>50555043</v>
      </c>
      <c r="D44" s="192" t="s">
        <v>53</v>
      </c>
      <c r="E44" s="192">
        <v>1200</v>
      </c>
      <c r="F44" s="21">
        <v>2219.3000000000002</v>
      </c>
      <c r="G44" s="21">
        <v>2226.634</v>
      </c>
      <c r="H44" s="33">
        <f>(G44-F44)*E44</f>
        <v>8800.7999999997992</v>
      </c>
      <c r="I44" s="43"/>
      <c r="J44" s="20"/>
    </row>
    <row r="45" spans="1:10" ht="15.75" x14ac:dyDescent="0.25">
      <c r="A45" s="27" t="s">
        <v>62</v>
      </c>
      <c r="B45" s="192" t="s">
        <v>52</v>
      </c>
      <c r="C45" s="32">
        <v>51259336</v>
      </c>
      <c r="D45" s="192" t="s">
        <v>63</v>
      </c>
      <c r="E45" s="192">
        <v>2400</v>
      </c>
      <c r="F45" s="21">
        <v>4.4470000000000001</v>
      </c>
      <c r="G45" s="21">
        <v>4.4610000000000003</v>
      </c>
      <c r="H45" s="33">
        <f>(G45-F45)*E45</f>
        <v>33.600000000000563</v>
      </c>
      <c r="I45" s="43"/>
      <c r="J45" s="20"/>
    </row>
    <row r="46" spans="1:10" ht="15.75" x14ac:dyDescent="0.25">
      <c r="A46" s="27" t="s">
        <v>64</v>
      </c>
      <c r="B46" s="192" t="s">
        <v>52</v>
      </c>
      <c r="C46" s="32">
        <v>51259266</v>
      </c>
      <c r="D46" s="192" t="s">
        <v>53</v>
      </c>
      <c r="E46" s="192">
        <v>1200</v>
      </c>
      <c r="F46" s="21">
        <v>1076.7349999999999</v>
      </c>
      <c r="G46" s="21">
        <v>1080.0440000000001</v>
      </c>
      <c r="H46" s="33">
        <f>(G46-F46)*E46</f>
        <v>3970.8000000002357</v>
      </c>
      <c r="I46" s="43"/>
      <c r="J46" s="20"/>
    </row>
    <row r="47" spans="1:10" ht="15.75" x14ac:dyDescent="0.25">
      <c r="A47" s="27" t="s">
        <v>65</v>
      </c>
      <c r="B47" s="192" t="s">
        <v>52</v>
      </c>
      <c r="C47" s="32">
        <v>51431336</v>
      </c>
      <c r="D47" s="192" t="s">
        <v>53</v>
      </c>
      <c r="E47" s="192">
        <v>1200</v>
      </c>
      <c r="F47" s="21">
        <v>65.733999999999995</v>
      </c>
      <c r="G47" s="21">
        <v>66.016000000000005</v>
      </c>
      <c r="H47" s="33">
        <f>(G47-F47)*E47</f>
        <v>338.40000000001282</v>
      </c>
      <c r="I47" s="43"/>
      <c r="J47" s="20"/>
    </row>
    <row r="48" spans="1:10" ht="15.75" x14ac:dyDescent="0.25">
      <c r="A48" s="15" t="s">
        <v>66</v>
      </c>
      <c r="B48" s="192" t="s">
        <v>67</v>
      </c>
      <c r="C48" s="192">
        <v>49174</v>
      </c>
      <c r="D48" s="193" t="s">
        <v>53</v>
      </c>
      <c r="E48" s="192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15354.800000000101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92" t="s">
        <v>52</v>
      </c>
      <c r="C51" s="192">
        <v>51097603</v>
      </c>
      <c r="D51" s="193" t="s">
        <v>53</v>
      </c>
      <c r="E51" s="192">
        <v>7000</v>
      </c>
      <c r="F51" s="17">
        <v>2102.5450000000001</v>
      </c>
      <c r="G51" s="17">
        <v>2108.8670000000002</v>
      </c>
      <c r="H51" s="18">
        <f>(G51-F51)*E51</f>
        <v>44254.000000000815</v>
      </c>
      <c r="I51" s="43"/>
      <c r="J51" s="20"/>
    </row>
    <row r="52" spans="1:10" ht="15.75" x14ac:dyDescent="0.25">
      <c r="A52" s="27" t="s">
        <v>72</v>
      </c>
      <c r="B52" s="192" t="s">
        <v>52</v>
      </c>
      <c r="C52" s="192">
        <v>51097590</v>
      </c>
      <c r="D52" s="193" t="s">
        <v>53</v>
      </c>
      <c r="E52" s="192">
        <v>7000</v>
      </c>
      <c r="F52" s="21">
        <v>13.204000000000001</v>
      </c>
      <c r="G52" s="21">
        <v>13.227</v>
      </c>
      <c r="H52" s="18">
        <f>(G52-F52)*E52</f>
        <v>160.99999999999781</v>
      </c>
      <c r="I52" s="43"/>
      <c r="J52" s="20"/>
    </row>
    <row r="53" spans="1:10" ht="15.75" x14ac:dyDescent="0.25">
      <c r="A53" s="15" t="s">
        <v>66</v>
      </c>
      <c r="B53" s="192" t="s">
        <v>67</v>
      </c>
      <c r="C53" s="192">
        <v>49174</v>
      </c>
      <c r="D53" s="193" t="s">
        <v>53</v>
      </c>
      <c r="E53" s="192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92"/>
      <c r="D54" s="193"/>
      <c r="E54" s="192"/>
      <c r="F54" s="21"/>
      <c r="G54" s="21"/>
      <c r="H54" s="48">
        <f>H51+H52+H53</f>
        <v>44515.000000000815</v>
      </c>
      <c r="I54" s="47"/>
      <c r="J54" s="59"/>
    </row>
    <row r="55" spans="1:10" ht="15.75" x14ac:dyDescent="0.25">
      <c r="A55" s="27" t="s">
        <v>74</v>
      </c>
      <c r="B55" s="192" t="s">
        <v>52</v>
      </c>
      <c r="C55" s="192">
        <v>51100980</v>
      </c>
      <c r="D55" s="192" t="s">
        <v>75</v>
      </c>
      <c r="E55" s="192">
        <v>12000</v>
      </c>
      <c r="F55" s="21">
        <v>1236.598</v>
      </c>
      <c r="G55" s="21">
        <v>1240.289</v>
      </c>
      <c r="H55" s="18">
        <f>(G55-F55)*E55</f>
        <v>44292.000000000371</v>
      </c>
      <c r="I55" s="47"/>
      <c r="J55" s="58"/>
    </row>
    <row r="56" spans="1:10" ht="15.75" x14ac:dyDescent="0.25">
      <c r="A56" s="27" t="s">
        <v>76</v>
      </c>
      <c r="B56" s="192" t="s">
        <v>52</v>
      </c>
      <c r="C56" s="192">
        <v>51097623</v>
      </c>
      <c r="D56" s="192" t="s">
        <v>75</v>
      </c>
      <c r="E56" s="192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92"/>
      <c r="C57" s="192"/>
      <c r="D57" s="192"/>
      <c r="E57" s="192"/>
      <c r="F57" s="21"/>
      <c r="G57" s="21"/>
      <c r="H57" s="48">
        <f>H55+H56</f>
        <v>44292.000000000371</v>
      </c>
      <c r="I57" s="61">
        <f>H54-H64-H53</f>
        <v>-1.7999999993335223</v>
      </c>
      <c r="J57" s="25">
        <f>I57/H57</f>
        <v>-4.0639393103348397E-5</v>
      </c>
    </row>
    <row r="58" spans="1:10" ht="15.75" x14ac:dyDescent="0.25">
      <c r="A58" s="27" t="s">
        <v>78</v>
      </c>
      <c r="B58" s="192" t="s">
        <v>52</v>
      </c>
      <c r="C58" s="192">
        <v>51097675</v>
      </c>
      <c r="D58" s="192" t="s">
        <v>34</v>
      </c>
      <c r="E58" s="192">
        <v>4800</v>
      </c>
      <c r="F58" s="21">
        <v>576.22</v>
      </c>
      <c r="G58" s="21">
        <v>578.05799999999999</v>
      </c>
      <c r="H58" s="18">
        <f t="shared" ref="H58:H63" si="2">(G58-F58)*E58</f>
        <v>8822.3999999998341</v>
      </c>
      <c r="I58" s="62"/>
      <c r="J58" s="59"/>
    </row>
    <row r="59" spans="1:10" ht="15.75" x14ac:dyDescent="0.25">
      <c r="A59" s="27" t="s">
        <v>79</v>
      </c>
      <c r="B59" s="192" t="s">
        <v>52</v>
      </c>
      <c r="C59" s="192">
        <v>51100997</v>
      </c>
      <c r="D59" s="192" t="s">
        <v>21</v>
      </c>
      <c r="E59" s="192">
        <v>3600</v>
      </c>
      <c r="F59" s="21">
        <v>1443.9929999999999</v>
      </c>
      <c r="G59" s="21">
        <v>1446.501</v>
      </c>
      <c r="H59" s="18">
        <f t="shared" si="2"/>
        <v>9028.8000000001375</v>
      </c>
      <c r="I59" s="62"/>
      <c r="J59" s="59"/>
    </row>
    <row r="60" spans="1:10" ht="15.75" x14ac:dyDescent="0.25">
      <c r="A60" s="27" t="s">
        <v>80</v>
      </c>
      <c r="B60" s="192" t="s">
        <v>52</v>
      </c>
      <c r="C60" s="192">
        <v>51555218</v>
      </c>
      <c r="D60" s="192">
        <f>400/5</f>
        <v>80</v>
      </c>
      <c r="E60" s="192">
        <v>4800</v>
      </c>
      <c r="F60" s="21">
        <v>75.119</v>
      </c>
      <c r="G60" s="21">
        <v>75.369</v>
      </c>
      <c r="H60" s="18">
        <f t="shared" si="2"/>
        <v>1200</v>
      </c>
      <c r="I60" s="62"/>
      <c r="J60" s="59"/>
    </row>
    <row r="61" spans="1:10" ht="15.75" x14ac:dyDescent="0.25">
      <c r="A61" s="27" t="s">
        <v>81</v>
      </c>
      <c r="B61" s="192" t="s">
        <v>52</v>
      </c>
      <c r="C61" s="192">
        <v>51555151</v>
      </c>
      <c r="D61" s="192">
        <f>400/5</f>
        <v>80</v>
      </c>
      <c r="E61" s="192">
        <v>4800</v>
      </c>
      <c r="F61" s="63">
        <v>0.30599999999999999</v>
      </c>
      <c r="G61" s="63">
        <v>0.30599999999999999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92" t="s">
        <v>52</v>
      </c>
      <c r="C62" s="192">
        <v>51097599</v>
      </c>
      <c r="D62" s="192" t="s">
        <v>21</v>
      </c>
      <c r="E62" s="192">
        <v>3600</v>
      </c>
      <c r="F62" s="21">
        <v>1026.6320000000001</v>
      </c>
      <c r="G62" s="21">
        <v>1030.046</v>
      </c>
      <c r="H62" s="18">
        <f t="shared" si="2"/>
        <v>12290.399999999954</v>
      </c>
      <c r="I62" s="62"/>
      <c r="J62" s="59"/>
    </row>
    <row r="63" spans="1:10" ht="15.75" x14ac:dyDescent="0.25">
      <c r="A63" s="27" t="s">
        <v>83</v>
      </c>
      <c r="B63" s="192" t="s">
        <v>52</v>
      </c>
      <c r="C63" s="192">
        <v>51097620</v>
      </c>
      <c r="D63" s="192" t="s">
        <v>34</v>
      </c>
      <c r="E63" s="192">
        <v>4800</v>
      </c>
      <c r="F63" s="21">
        <v>577.26199999999994</v>
      </c>
      <c r="G63" s="21">
        <v>579.98599999999999</v>
      </c>
      <c r="H63" s="18">
        <f t="shared" si="2"/>
        <v>13075.200000000223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44416.800000000148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92" t="s">
        <v>52</v>
      </c>
      <c r="C66" s="9">
        <v>51259238</v>
      </c>
      <c r="D66" s="74" t="s">
        <v>53</v>
      </c>
      <c r="E66" s="74">
        <v>7000</v>
      </c>
      <c r="F66" s="75">
        <v>619.02</v>
      </c>
      <c r="G66" s="75">
        <v>621.05499999999995</v>
      </c>
      <c r="H66" s="76">
        <f>(G66-F66)*E66</f>
        <v>14244.999999999778</v>
      </c>
      <c r="I66" s="77"/>
      <c r="J66" s="78"/>
    </row>
    <row r="67" spans="1:10" ht="15.75" x14ac:dyDescent="0.25">
      <c r="A67" s="27" t="s">
        <v>86</v>
      </c>
      <c r="B67" s="192" t="s">
        <v>52</v>
      </c>
      <c r="C67" s="192">
        <v>51259324</v>
      </c>
      <c r="D67" s="193" t="s">
        <v>53</v>
      </c>
      <c r="E67" s="193">
        <v>7000</v>
      </c>
      <c r="F67" s="21">
        <v>478.30599999999998</v>
      </c>
      <c r="G67" s="21">
        <v>479.41699999999997</v>
      </c>
      <c r="H67" s="18">
        <f>(G67-F67)*E67</f>
        <v>7776.99999999993</v>
      </c>
      <c r="I67" s="51"/>
      <c r="J67" s="58"/>
    </row>
    <row r="68" spans="1:10" ht="15.75" x14ac:dyDescent="0.25">
      <c r="A68" s="27" t="s">
        <v>87</v>
      </c>
      <c r="B68" s="79" t="s">
        <v>88</v>
      </c>
      <c r="C68" s="192">
        <v>51491618</v>
      </c>
      <c r="D68" s="193" t="s">
        <v>63</v>
      </c>
      <c r="E68" s="192">
        <v>40</v>
      </c>
      <c r="F68" s="28">
        <v>1449.5840000000001</v>
      </c>
      <c r="G68" s="28">
        <v>1455.145</v>
      </c>
      <c r="H68" s="18">
        <f>(G68-F68)*E68</f>
        <v>222.43999999999687</v>
      </c>
      <c r="I68" s="51"/>
      <c r="J68" s="58"/>
    </row>
    <row r="69" spans="1:10" ht="15.75" x14ac:dyDescent="0.25">
      <c r="A69" s="27" t="s">
        <v>89</v>
      </c>
      <c r="B69" s="79" t="s">
        <v>88</v>
      </c>
      <c r="C69" s="192">
        <v>51491624</v>
      </c>
      <c r="D69" s="193" t="s">
        <v>63</v>
      </c>
      <c r="E69" s="192">
        <v>40</v>
      </c>
      <c r="F69" s="28">
        <v>189.29499999999999</v>
      </c>
      <c r="G69" s="28">
        <v>189.761</v>
      </c>
      <c r="H69" s="18">
        <f>(G69-F69)*E69</f>
        <v>18.640000000000327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22021.999999999709</v>
      </c>
      <c r="I70" s="85">
        <f>H70-H73-H68-H69</f>
        <v>-659.08000000034281</v>
      </c>
      <c r="J70" s="25">
        <f>I70/H70</f>
        <v>-2.9928253564633162E-2</v>
      </c>
    </row>
    <row r="71" spans="1:10" ht="15.75" x14ac:dyDescent="0.25">
      <c r="A71" s="27" t="s">
        <v>91</v>
      </c>
      <c r="B71" s="192" t="s">
        <v>52</v>
      </c>
      <c r="C71" s="86">
        <v>51097588</v>
      </c>
      <c r="D71" s="193" t="s">
        <v>75</v>
      </c>
      <c r="E71" s="192">
        <v>12000</v>
      </c>
      <c r="F71" s="21">
        <v>369.36099999999999</v>
      </c>
      <c r="G71" s="21">
        <v>370.54300000000001</v>
      </c>
      <c r="H71" s="18">
        <f>(G71-F71)*E71</f>
        <v>14184.000000000196</v>
      </c>
      <c r="I71" s="51"/>
      <c r="J71" s="58"/>
    </row>
    <row r="72" spans="1:10" ht="15.75" x14ac:dyDescent="0.25">
      <c r="A72" s="27" t="s">
        <v>92</v>
      </c>
      <c r="B72" s="192" t="s">
        <v>52</v>
      </c>
      <c r="C72" s="86">
        <v>51431335</v>
      </c>
      <c r="D72" s="193" t="s">
        <v>75</v>
      </c>
      <c r="E72" s="192">
        <v>12000</v>
      </c>
      <c r="F72" s="21">
        <v>291.904</v>
      </c>
      <c r="G72" s="21">
        <v>292.59199999999998</v>
      </c>
      <c r="H72" s="18">
        <f>(G72-F72)*E72</f>
        <v>8255.9999999998581</v>
      </c>
      <c r="I72" s="51"/>
      <c r="J72" s="58"/>
    </row>
    <row r="73" spans="1:10" ht="15.75" x14ac:dyDescent="0.25">
      <c r="A73" s="87" t="s">
        <v>93</v>
      </c>
      <c r="B73" s="192" t="s">
        <v>27</v>
      </c>
      <c r="C73" s="192"/>
      <c r="D73" s="193"/>
      <c r="E73" s="192"/>
      <c r="F73" s="21"/>
      <c r="G73" s="21"/>
      <c r="H73" s="48">
        <f>H71+ H72</f>
        <v>22440.000000000055</v>
      </c>
      <c r="I73" s="85">
        <f>H73-H81</f>
        <v>-24.599999999776628</v>
      </c>
      <c r="J73" s="25">
        <f>I73/H73</f>
        <v>-1.0962566844820217E-3</v>
      </c>
    </row>
    <row r="74" spans="1:10" ht="15.75" x14ac:dyDescent="0.25">
      <c r="A74" s="27" t="s">
        <v>94</v>
      </c>
      <c r="B74" s="192" t="s">
        <v>52</v>
      </c>
      <c r="C74" s="86">
        <v>51097676</v>
      </c>
      <c r="D74" s="88" t="s">
        <v>63</v>
      </c>
      <c r="E74" s="192">
        <v>2400</v>
      </c>
      <c r="F74" s="21">
        <v>774.33900000000006</v>
      </c>
      <c r="G74" s="21">
        <v>776.58699999999999</v>
      </c>
      <c r="H74" s="18">
        <f>(G74-F74)*E74</f>
        <v>5395.1999999998407</v>
      </c>
      <c r="I74" s="51"/>
      <c r="J74" s="58"/>
    </row>
    <row r="75" spans="1:10" ht="15.75" x14ac:dyDescent="0.25">
      <c r="A75" s="27" t="s">
        <v>95</v>
      </c>
      <c r="B75" s="192" t="s">
        <v>52</v>
      </c>
      <c r="C75" s="86">
        <v>51431355</v>
      </c>
      <c r="D75" s="193" t="s">
        <v>21</v>
      </c>
      <c r="E75" s="193">
        <v>3600</v>
      </c>
      <c r="F75" s="21">
        <v>397.553</v>
      </c>
      <c r="G75" s="21">
        <v>398.81799999999998</v>
      </c>
      <c r="H75" s="18">
        <f>(G75-F75)*E75</f>
        <v>4553.9999999999509</v>
      </c>
      <c r="I75" s="51"/>
      <c r="J75" s="52"/>
    </row>
    <row r="76" spans="1:10" ht="15.75" x14ac:dyDescent="0.25">
      <c r="A76" s="27" t="s">
        <v>96</v>
      </c>
      <c r="B76" s="192" t="s">
        <v>52</v>
      </c>
      <c r="C76" s="86">
        <v>51259331</v>
      </c>
      <c r="D76" s="88" t="s">
        <v>37</v>
      </c>
      <c r="E76" s="192">
        <v>600</v>
      </c>
      <c r="F76" s="21">
        <v>183.72900000000001</v>
      </c>
      <c r="G76" s="21">
        <v>184.28399999999999</v>
      </c>
      <c r="H76" s="18">
        <f>(G76-F76)*E76</f>
        <v>332.99999999998704</v>
      </c>
      <c r="I76" s="51"/>
      <c r="J76" s="52"/>
    </row>
    <row r="77" spans="1:10" ht="15.75" x14ac:dyDescent="0.25">
      <c r="A77" s="27" t="s">
        <v>97</v>
      </c>
      <c r="B77" s="192" t="s">
        <v>52</v>
      </c>
      <c r="C77" s="86">
        <v>51259326</v>
      </c>
      <c r="D77" s="88" t="s">
        <v>14</v>
      </c>
      <c r="E77" s="192">
        <v>7200</v>
      </c>
      <c r="F77" s="21">
        <v>364.642</v>
      </c>
      <c r="G77" s="21">
        <v>365.86399999999998</v>
      </c>
      <c r="H77" s="18">
        <f>(G77-F77)*E77</f>
        <v>8798.3999999998559</v>
      </c>
      <c r="I77" s="51"/>
      <c r="J77" s="52"/>
    </row>
    <row r="78" spans="1:10" ht="15.75" x14ac:dyDescent="0.25">
      <c r="A78" s="27" t="s">
        <v>98</v>
      </c>
      <c r="B78" s="192" t="s">
        <v>52</v>
      </c>
      <c r="C78" s="86">
        <v>51431351</v>
      </c>
      <c r="D78" s="88" t="s">
        <v>14</v>
      </c>
      <c r="E78" s="192">
        <v>7200</v>
      </c>
      <c r="F78" s="21">
        <v>267.33699999999999</v>
      </c>
      <c r="G78" s="21">
        <v>267.80700000000002</v>
      </c>
      <c r="H78" s="18">
        <f>(G78-F78)*E78</f>
        <v>3384.0000000001965</v>
      </c>
      <c r="I78" s="51"/>
      <c r="J78" s="52"/>
    </row>
    <row r="79" spans="1:10" ht="15.75" x14ac:dyDescent="0.25">
      <c r="A79" s="89" t="s">
        <v>99</v>
      </c>
      <c r="B79" s="192" t="s">
        <v>52</v>
      </c>
      <c r="C79" s="90">
        <v>51097666</v>
      </c>
      <c r="D79" s="88" t="s">
        <v>63</v>
      </c>
      <c r="E79" s="192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92" t="s">
        <v>52</v>
      </c>
      <c r="C80" s="90">
        <v>51259323</v>
      </c>
      <c r="D80" s="88" t="s">
        <v>63</v>
      </c>
      <c r="E80" s="192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22464.599999999831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92" t="s">
        <v>52</v>
      </c>
      <c r="C83" s="106">
        <v>51431297</v>
      </c>
      <c r="D83" s="193" t="s">
        <v>53</v>
      </c>
      <c r="E83" s="100">
        <v>7000</v>
      </c>
      <c r="F83" s="17">
        <v>331.02300000000002</v>
      </c>
      <c r="G83" s="17">
        <v>331.70600000000002</v>
      </c>
      <c r="H83" s="18">
        <f>(G83-F83)*E83</f>
        <v>4780.9999999999491</v>
      </c>
      <c r="I83" s="107"/>
      <c r="J83" s="108"/>
    </row>
    <row r="84" spans="1:10" ht="15.75" x14ac:dyDescent="0.25">
      <c r="A84" s="105" t="s">
        <v>86</v>
      </c>
      <c r="B84" s="192" t="s">
        <v>52</v>
      </c>
      <c r="C84" s="106">
        <v>51431332</v>
      </c>
      <c r="D84" s="193" t="s">
        <v>53</v>
      </c>
      <c r="E84" s="100">
        <v>7000</v>
      </c>
      <c r="F84" s="17">
        <v>368.52800000000002</v>
      </c>
      <c r="G84" s="17">
        <v>370.64</v>
      </c>
      <c r="H84" s="18">
        <f>(G84-F84)*E84</f>
        <v>14783.999999999764</v>
      </c>
      <c r="I84" s="192"/>
      <c r="J84" s="58"/>
    </row>
    <row r="85" spans="1:10" ht="15.75" x14ac:dyDescent="0.25">
      <c r="A85" s="27" t="s">
        <v>87</v>
      </c>
      <c r="B85" s="192" t="s">
        <v>103</v>
      </c>
      <c r="C85" s="109">
        <v>150773</v>
      </c>
      <c r="D85" s="193" t="s">
        <v>53</v>
      </c>
      <c r="E85" s="109">
        <v>20</v>
      </c>
      <c r="F85" s="17">
        <v>15793.8</v>
      </c>
      <c r="G85" s="17">
        <v>15797</v>
      </c>
      <c r="H85" s="18">
        <f>(G85-F85)*E85</f>
        <v>64.000000000014552</v>
      </c>
      <c r="I85" s="51"/>
      <c r="J85" s="58"/>
    </row>
    <row r="86" spans="1:10" ht="15.75" x14ac:dyDescent="0.25">
      <c r="A86" s="27" t="s">
        <v>89</v>
      </c>
      <c r="B86" s="192" t="s">
        <v>103</v>
      </c>
      <c r="C86" s="109">
        <v>150791</v>
      </c>
      <c r="D86" s="193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94"/>
      <c r="C87" s="32"/>
      <c r="D87" s="82"/>
      <c r="E87" s="82"/>
      <c r="F87" s="21"/>
      <c r="G87" s="21"/>
      <c r="H87" s="48">
        <f>H83+H84</f>
        <v>19564.999999999713</v>
      </c>
      <c r="I87" s="85">
        <f>H87-H90-H85-H86</f>
        <v>348.99999999938154</v>
      </c>
      <c r="J87" s="25">
        <f>I87/H87</f>
        <v>1.7837975977479513E-2</v>
      </c>
    </row>
    <row r="88" spans="1:10" ht="15.75" x14ac:dyDescent="0.25">
      <c r="A88" s="27" t="s">
        <v>104</v>
      </c>
      <c r="B88" s="192" t="s">
        <v>52</v>
      </c>
      <c r="C88" s="106">
        <v>51431342</v>
      </c>
      <c r="D88" s="88" t="s">
        <v>34</v>
      </c>
      <c r="E88" s="192">
        <v>4800</v>
      </c>
      <c r="F88" s="21">
        <v>471.029</v>
      </c>
      <c r="G88" s="21">
        <v>471.99700000000001</v>
      </c>
      <c r="H88" s="18">
        <f>(G88-F88)*E88</f>
        <v>4646.4000000000851</v>
      </c>
      <c r="I88" s="51"/>
      <c r="J88" s="52"/>
    </row>
    <row r="89" spans="1:10" ht="15.75" x14ac:dyDescent="0.25">
      <c r="A89" s="27" t="s">
        <v>105</v>
      </c>
      <c r="B89" s="192" t="s">
        <v>52</v>
      </c>
      <c r="C89" s="106">
        <v>51431343</v>
      </c>
      <c r="D89" s="88" t="s">
        <v>34</v>
      </c>
      <c r="E89" s="192">
        <v>4800</v>
      </c>
      <c r="F89" s="21">
        <v>519.74699999999996</v>
      </c>
      <c r="G89" s="21">
        <v>522.76900000000001</v>
      </c>
      <c r="H89" s="18">
        <f>(G89-F89)*E89</f>
        <v>14505.600000000231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19152.000000000317</v>
      </c>
      <c r="I90" s="85">
        <f>H90-H98</f>
        <v>-47.799999999791908</v>
      </c>
      <c r="J90" s="25">
        <f>I90/H90</f>
        <v>-2.4958228905488261E-3</v>
      </c>
    </row>
    <row r="91" spans="1:10" ht="15.75" x14ac:dyDescent="0.25">
      <c r="A91" s="27" t="s">
        <v>107</v>
      </c>
      <c r="B91" s="192" t="s">
        <v>52</v>
      </c>
      <c r="C91" s="106">
        <v>51431347</v>
      </c>
      <c r="D91" s="193" t="s">
        <v>53</v>
      </c>
      <c r="E91" s="192">
        <v>1200</v>
      </c>
      <c r="F91" s="21">
        <v>1241.74</v>
      </c>
      <c r="G91" s="21">
        <v>1250.2950000000001</v>
      </c>
      <c r="H91" s="18">
        <f>(G91-F91)*E91</f>
        <v>10266.000000000076</v>
      </c>
      <c r="I91" s="51"/>
      <c r="J91" s="52"/>
    </row>
    <row r="92" spans="1:10" ht="15.75" x14ac:dyDescent="0.25">
      <c r="A92" s="27" t="s">
        <v>108</v>
      </c>
      <c r="B92" s="192" t="s">
        <v>52</v>
      </c>
      <c r="C92" s="106">
        <v>51431339</v>
      </c>
      <c r="D92" s="193" t="s">
        <v>53</v>
      </c>
      <c r="E92" s="192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92" t="s">
        <v>52</v>
      </c>
      <c r="C93" s="106">
        <v>51217244</v>
      </c>
      <c r="D93" s="192" t="s">
        <v>37</v>
      </c>
      <c r="E93" s="192">
        <v>600</v>
      </c>
      <c r="F93" s="30">
        <v>361.32900000000001</v>
      </c>
      <c r="G93" s="30">
        <v>363.92200000000003</v>
      </c>
      <c r="H93" s="18">
        <f t="shared" si="4"/>
        <v>1555.8000000000106</v>
      </c>
      <c r="I93" s="51"/>
      <c r="J93" s="52"/>
    </row>
    <row r="94" spans="1:10" ht="15.75" x14ac:dyDescent="0.25">
      <c r="A94" s="27" t="s">
        <v>110</v>
      </c>
      <c r="B94" s="192" t="s">
        <v>52</v>
      </c>
      <c r="C94" s="106">
        <v>51217267</v>
      </c>
      <c r="D94" s="88" t="s">
        <v>63</v>
      </c>
      <c r="E94" s="192">
        <v>2400</v>
      </c>
      <c r="F94" s="30">
        <v>22.663</v>
      </c>
      <c r="G94" s="30">
        <v>23.786999999999999</v>
      </c>
      <c r="H94" s="18">
        <f t="shared" si="4"/>
        <v>2697.5999999999972</v>
      </c>
      <c r="I94" s="51"/>
      <c r="J94" s="52"/>
    </row>
    <row r="95" spans="1:10" ht="15.75" x14ac:dyDescent="0.25">
      <c r="A95" s="27" t="s">
        <v>111</v>
      </c>
      <c r="B95" s="192" t="s">
        <v>52</v>
      </c>
      <c r="C95" s="192">
        <v>51555165</v>
      </c>
      <c r="D95" s="193" t="s">
        <v>53</v>
      </c>
      <c r="E95" s="192">
        <v>1200</v>
      </c>
      <c r="F95" s="30">
        <v>1007.984</v>
      </c>
      <c r="G95" s="30">
        <v>1007.984</v>
      </c>
      <c r="H95" s="18">
        <f t="shared" si="4"/>
        <v>0</v>
      </c>
      <c r="I95" s="51" t="s">
        <v>27</v>
      </c>
      <c r="J95" s="52"/>
    </row>
    <row r="96" spans="1:10" ht="15.75" x14ac:dyDescent="0.25">
      <c r="A96" s="113" t="s">
        <v>112</v>
      </c>
      <c r="B96" s="192" t="s">
        <v>52</v>
      </c>
      <c r="C96" s="106">
        <v>51431346</v>
      </c>
      <c r="D96" s="114" t="s">
        <v>37</v>
      </c>
      <c r="E96" s="114">
        <v>600</v>
      </c>
      <c r="F96" s="30">
        <v>393.25900000000001</v>
      </c>
      <c r="G96" s="30">
        <v>393.55500000000001</v>
      </c>
      <c r="H96" s="115">
        <f t="shared" si="4"/>
        <v>177.59999999999536</v>
      </c>
      <c r="I96" s="116"/>
      <c r="J96" s="117"/>
    </row>
    <row r="97" spans="1:10" ht="15.75" x14ac:dyDescent="0.25">
      <c r="A97" s="27" t="s">
        <v>113</v>
      </c>
      <c r="B97" s="192" t="s">
        <v>52</v>
      </c>
      <c r="C97" s="106">
        <v>51431352</v>
      </c>
      <c r="D97" s="88" t="s">
        <v>21</v>
      </c>
      <c r="E97" s="192">
        <v>3600</v>
      </c>
      <c r="F97" s="21">
        <v>266.56799999999998</v>
      </c>
      <c r="G97" s="21">
        <v>267.80099999999999</v>
      </c>
      <c r="H97" s="18">
        <f t="shared" si="4"/>
        <v>4438.8000000000147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19199.800000000108</v>
      </c>
      <c r="I98" s="51"/>
      <c r="J98" s="52"/>
    </row>
    <row r="99" spans="1:10" ht="15.75" x14ac:dyDescent="0.25">
      <c r="A99" s="45" t="s">
        <v>114</v>
      </c>
      <c r="B99" s="192" t="s">
        <v>52</v>
      </c>
      <c r="C99" s="120">
        <v>51431357</v>
      </c>
      <c r="D99" s="193" t="s">
        <v>63</v>
      </c>
      <c r="E99" s="193">
        <v>14000</v>
      </c>
      <c r="F99" s="28">
        <v>912.226</v>
      </c>
      <c r="G99" s="28">
        <v>915.66899999999998</v>
      </c>
      <c r="H99" s="121">
        <f t="shared" si="4"/>
        <v>48201.999999999767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zoomScaleNormal="100" workbookViewId="0">
      <selection sqref="A1:J99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139</v>
      </c>
      <c r="G2" s="4" t="s">
        <v>140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95" t="s">
        <v>13</v>
      </c>
      <c r="C4" s="195">
        <v>51555166</v>
      </c>
      <c r="D4" s="195" t="s">
        <v>14</v>
      </c>
      <c r="E4" s="195">
        <v>132000</v>
      </c>
      <c r="F4" s="17">
        <v>7.0759999999999996</v>
      </c>
      <c r="G4" s="17">
        <v>7.0830000000000002</v>
      </c>
      <c r="H4" s="18">
        <f>(G4-F4)*E4</f>
        <v>924.00000000007412</v>
      </c>
      <c r="I4" s="19"/>
      <c r="J4" s="20"/>
    </row>
    <row r="5" spans="1:10" ht="15.75" x14ac:dyDescent="0.25">
      <c r="A5" s="15" t="s">
        <v>15</v>
      </c>
      <c r="B5" s="195" t="s">
        <v>13</v>
      </c>
      <c r="C5" s="195">
        <v>51555191</v>
      </c>
      <c r="D5" s="195" t="s">
        <v>14</v>
      </c>
      <c r="E5" s="195">
        <v>132000</v>
      </c>
      <c r="F5" s="21">
        <v>415.642</v>
      </c>
      <c r="G5" s="21">
        <v>417.32799999999997</v>
      </c>
      <c r="H5" s="18">
        <f>(G5-F5)*E5</f>
        <v>222551.99999999718</v>
      </c>
      <c r="I5" s="19"/>
      <c r="J5" s="20"/>
    </row>
    <row r="6" spans="1:10" ht="15.75" x14ac:dyDescent="0.25">
      <c r="A6" s="218" t="s">
        <v>16</v>
      </c>
      <c r="B6" s="219"/>
      <c r="C6" s="195"/>
      <c r="D6" s="196"/>
      <c r="E6" s="195"/>
      <c r="H6" s="23">
        <f>H4+H5</f>
        <v>223475.99999999726</v>
      </c>
      <c r="I6" s="24">
        <f>H6-H9-H19</f>
        <v>1805.9999999993088</v>
      </c>
      <c r="J6" s="25">
        <f>I6/H6</f>
        <v>8.0814047145972307E-3</v>
      </c>
    </row>
    <row r="7" spans="1:10" ht="15.75" x14ac:dyDescent="0.25">
      <c r="A7" s="26" t="s">
        <v>17</v>
      </c>
      <c r="B7" s="195" t="s">
        <v>13</v>
      </c>
      <c r="C7" s="195">
        <v>51097629</v>
      </c>
      <c r="D7" s="196" t="s">
        <v>14</v>
      </c>
      <c r="E7" s="195">
        <v>42000</v>
      </c>
      <c r="F7" s="21">
        <v>1201.395</v>
      </c>
      <c r="G7" s="21">
        <v>1205.2159999999999</v>
      </c>
      <c r="H7" s="18">
        <f>(G7-F7)*E7</f>
        <v>160481.99999999633</v>
      </c>
      <c r="I7" s="19"/>
      <c r="J7" s="20"/>
    </row>
    <row r="8" spans="1:10" ht="15.75" x14ac:dyDescent="0.25">
      <c r="A8" s="26" t="s">
        <v>18</v>
      </c>
      <c r="B8" s="195" t="s">
        <v>13</v>
      </c>
      <c r="C8" s="195">
        <v>51616820</v>
      </c>
      <c r="D8" s="196" t="s">
        <v>14</v>
      </c>
      <c r="E8" s="195">
        <v>42000</v>
      </c>
      <c r="F8" s="21">
        <v>15.499000000000001</v>
      </c>
      <c r="G8" s="21">
        <v>15.509</v>
      </c>
      <c r="H8" s="18">
        <f>(G8-F8)*E8</f>
        <v>419.99999999999102</v>
      </c>
      <c r="I8" s="19"/>
      <c r="J8" s="20"/>
    </row>
    <row r="9" spans="1:10" ht="15.75" x14ac:dyDescent="0.25">
      <c r="A9" s="218" t="s">
        <v>19</v>
      </c>
      <c r="B9" s="219"/>
      <c r="C9" s="195"/>
      <c r="D9" s="196"/>
      <c r="E9" s="195"/>
      <c r="F9" s="21"/>
      <c r="G9" s="21"/>
      <c r="H9" s="23">
        <f>H7+H8</f>
        <v>160901.99999999633</v>
      </c>
      <c r="I9" s="24">
        <f>H9-H16</f>
        <v>41.999999993800884</v>
      </c>
      <c r="J9" s="25">
        <f>I9/H9</f>
        <v>2.6102845206275773E-4</v>
      </c>
    </row>
    <row r="10" spans="1:10" ht="15.75" x14ac:dyDescent="0.25">
      <c r="A10" s="27" t="s">
        <v>20</v>
      </c>
      <c r="B10" s="195" t="s">
        <v>13</v>
      </c>
      <c r="C10" s="195">
        <v>51217286</v>
      </c>
      <c r="D10" s="196" t="s">
        <v>21</v>
      </c>
      <c r="E10" s="195">
        <v>21000</v>
      </c>
      <c r="F10" s="21">
        <v>945.71299999999997</v>
      </c>
      <c r="G10" s="21">
        <v>948.54</v>
      </c>
      <c r="H10" s="18">
        <f t="shared" ref="H10:H15" si="0">(G10-F10)*E10</f>
        <v>59366.999999999964</v>
      </c>
      <c r="I10" s="19"/>
      <c r="J10" s="20"/>
    </row>
    <row r="11" spans="1:10" ht="15.75" x14ac:dyDescent="0.25">
      <c r="A11" s="27" t="s">
        <v>22</v>
      </c>
      <c r="B11" s="195" t="s">
        <v>13</v>
      </c>
      <c r="C11" s="195">
        <v>51217292</v>
      </c>
      <c r="D11" s="196" t="s">
        <v>21</v>
      </c>
      <c r="E11" s="195">
        <v>21000</v>
      </c>
      <c r="F11" s="28">
        <v>4.01</v>
      </c>
      <c r="G11" s="28">
        <v>4.0190000000000001</v>
      </c>
      <c r="H11" s="18">
        <f>(G11-F11)*E11</f>
        <v>189.00000000000716</v>
      </c>
      <c r="I11" s="19"/>
      <c r="J11" s="20"/>
    </row>
    <row r="12" spans="1:10" ht="15.75" x14ac:dyDescent="0.25">
      <c r="A12" s="27" t="s">
        <v>23</v>
      </c>
      <c r="B12" s="195" t="s">
        <v>13</v>
      </c>
      <c r="C12" s="195">
        <v>51217271</v>
      </c>
      <c r="D12" s="196" t="s">
        <v>21</v>
      </c>
      <c r="E12" s="195">
        <v>21000</v>
      </c>
      <c r="F12" s="21">
        <v>711.82399999999996</v>
      </c>
      <c r="G12" s="21">
        <v>713.96400000000006</v>
      </c>
      <c r="H12" s="18">
        <f t="shared" si="0"/>
        <v>44940.000000002103</v>
      </c>
      <c r="I12" s="19"/>
      <c r="J12" s="20"/>
    </row>
    <row r="13" spans="1:10" ht="15.75" x14ac:dyDescent="0.25">
      <c r="A13" s="27" t="s">
        <v>24</v>
      </c>
      <c r="B13" s="195" t="s">
        <v>13</v>
      </c>
      <c r="C13" s="195">
        <v>51217276</v>
      </c>
      <c r="D13" s="196" t="s">
        <v>21</v>
      </c>
      <c r="E13" s="195">
        <v>21000</v>
      </c>
      <c r="F13" s="28">
        <v>0.627</v>
      </c>
      <c r="G13" s="28">
        <v>0.627</v>
      </c>
      <c r="H13" s="18">
        <f>(G13-F13)*E13</f>
        <v>0</v>
      </c>
      <c r="I13" s="19"/>
      <c r="J13" s="20"/>
    </row>
    <row r="14" spans="1:10" ht="15.75" x14ac:dyDescent="0.25">
      <c r="A14" s="27" t="s">
        <v>25</v>
      </c>
      <c r="B14" s="195" t="s">
        <v>13</v>
      </c>
      <c r="C14" s="195">
        <v>51100990</v>
      </c>
      <c r="D14" s="196" t="s">
        <v>21</v>
      </c>
      <c r="E14" s="195">
        <v>21000</v>
      </c>
      <c r="F14" s="29">
        <v>764.63699999999994</v>
      </c>
      <c r="G14" s="29">
        <v>767.31399999999996</v>
      </c>
      <c r="H14" s="18">
        <f t="shared" si="0"/>
        <v>56217.000000000437</v>
      </c>
      <c r="I14" s="19"/>
      <c r="J14" s="20"/>
    </row>
    <row r="15" spans="1:10" ht="15.75" x14ac:dyDescent="0.25">
      <c r="A15" s="27" t="s">
        <v>26</v>
      </c>
      <c r="B15" s="195" t="s">
        <v>13</v>
      </c>
      <c r="C15" s="195">
        <v>51097622</v>
      </c>
      <c r="D15" s="196" t="s">
        <v>21</v>
      </c>
      <c r="E15" s="195">
        <v>21000</v>
      </c>
      <c r="F15" s="21">
        <v>9.4499999999999993</v>
      </c>
      <c r="G15" s="21">
        <v>9.4570000000000007</v>
      </c>
      <c r="H15" s="18">
        <f t="shared" si="0"/>
        <v>147.00000000003044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95"/>
      <c r="D16" s="196"/>
      <c r="E16" s="195"/>
      <c r="F16" s="21"/>
      <c r="G16" s="21"/>
      <c r="H16" s="23">
        <f>H10+H11+H12+H13+H14+H15</f>
        <v>160860.00000000253</v>
      </c>
      <c r="I16" s="19"/>
      <c r="J16" s="20"/>
    </row>
    <row r="17" spans="1:10" ht="15.75" x14ac:dyDescent="0.25">
      <c r="A17" s="26" t="s">
        <v>29</v>
      </c>
      <c r="B17" s="195" t="s">
        <v>13</v>
      </c>
      <c r="C17" s="195">
        <v>51097617</v>
      </c>
      <c r="D17" s="196" t="s">
        <v>30</v>
      </c>
      <c r="E17" s="195">
        <v>18000</v>
      </c>
      <c r="F17" s="30">
        <v>946.37199999999996</v>
      </c>
      <c r="G17" s="30">
        <v>949.74800000000005</v>
      </c>
      <c r="H17" s="18">
        <f>(G17-F17)*E17</f>
        <v>60768.000000001623</v>
      </c>
      <c r="I17" s="19"/>
      <c r="J17" s="20"/>
    </row>
    <row r="18" spans="1:10" ht="15.75" x14ac:dyDescent="0.25">
      <c r="A18" s="26" t="s">
        <v>31</v>
      </c>
      <c r="B18" s="195" t="s">
        <v>13</v>
      </c>
      <c r="C18" s="195">
        <v>51097655</v>
      </c>
      <c r="D18" s="196" t="s">
        <v>30</v>
      </c>
      <c r="E18" s="195">
        <v>18000</v>
      </c>
      <c r="F18" s="30">
        <v>11.542</v>
      </c>
      <c r="G18" s="30">
        <v>11.542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95"/>
      <c r="D19" s="196"/>
      <c r="E19" s="195"/>
      <c r="F19" s="30"/>
      <c r="G19" s="30"/>
      <c r="H19" s="23">
        <f>H17+H18</f>
        <v>60768.000000001623</v>
      </c>
      <c r="I19" s="24">
        <f>H19-H34</f>
        <v>535.80000000139989</v>
      </c>
      <c r="J19" s="25">
        <f>I19/H19</f>
        <v>8.8171406003387572E-3</v>
      </c>
    </row>
    <row r="20" spans="1:10" ht="15.75" x14ac:dyDescent="0.25">
      <c r="A20" s="15" t="s">
        <v>33</v>
      </c>
      <c r="B20" s="195" t="s">
        <v>13</v>
      </c>
      <c r="C20" s="195">
        <v>51217282</v>
      </c>
      <c r="D20" s="196" t="s">
        <v>34</v>
      </c>
      <c r="E20" s="195">
        <v>4800</v>
      </c>
      <c r="F20" s="21">
        <v>434.40899999999999</v>
      </c>
      <c r="G20" s="21">
        <v>440.77800000000002</v>
      </c>
      <c r="H20" s="18">
        <f t="shared" ref="H20:H33" si="1">(G20-F20)*E20</f>
        <v>30571.200000000135</v>
      </c>
      <c r="I20" s="19" t="s">
        <v>27</v>
      </c>
      <c r="J20" s="20"/>
    </row>
    <row r="21" spans="1:10" ht="15.75" x14ac:dyDescent="0.25">
      <c r="A21" s="15" t="s">
        <v>35</v>
      </c>
      <c r="B21" s="195" t="s">
        <v>13</v>
      </c>
      <c r="C21" s="195">
        <v>51217274</v>
      </c>
      <c r="D21" s="196" t="s">
        <v>34</v>
      </c>
      <c r="E21" s="195">
        <v>4800</v>
      </c>
      <c r="F21" s="21">
        <v>1430.191</v>
      </c>
      <c r="G21" s="21">
        <v>1430.576</v>
      </c>
      <c r="H21" s="18">
        <f t="shared" si="1"/>
        <v>1847.9999999999563</v>
      </c>
      <c r="I21" s="19"/>
      <c r="J21" s="20"/>
    </row>
    <row r="22" spans="1:10" ht="15.75" x14ac:dyDescent="0.25">
      <c r="A22" s="15" t="s">
        <v>36</v>
      </c>
      <c r="B22" s="195" t="s">
        <v>13</v>
      </c>
      <c r="C22" s="195">
        <v>51097664</v>
      </c>
      <c r="D22" s="196" t="s">
        <v>37</v>
      </c>
      <c r="E22" s="195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95" t="s">
        <v>13</v>
      </c>
      <c r="C23" s="195">
        <v>51097615</v>
      </c>
      <c r="D23" s="196" t="s">
        <v>37</v>
      </c>
      <c r="E23" s="195">
        <v>600</v>
      </c>
      <c r="F23" s="21">
        <v>50.476999999999997</v>
      </c>
      <c r="G23" s="21">
        <v>50.765999999999998</v>
      </c>
      <c r="H23" s="18">
        <f t="shared" si="1"/>
        <v>173.40000000000089</v>
      </c>
      <c r="I23" s="19"/>
      <c r="J23" s="20"/>
    </row>
    <row r="24" spans="1:10" ht="15.75" x14ac:dyDescent="0.25">
      <c r="A24" s="15" t="s">
        <v>39</v>
      </c>
      <c r="B24" s="195" t="s">
        <v>13</v>
      </c>
      <c r="C24" s="195">
        <v>51217264</v>
      </c>
      <c r="D24" s="196" t="s">
        <v>37</v>
      </c>
      <c r="E24" s="195">
        <v>600</v>
      </c>
      <c r="F24" s="21">
        <v>116.166</v>
      </c>
      <c r="G24" s="21">
        <v>116.58</v>
      </c>
      <c r="H24" s="18">
        <f t="shared" si="1"/>
        <v>248.40000000000089</v>
      </c>
      <c r="I24" s="19"/>
      <c r="J24" s="20"/>
    </row>
    <row r="25" spans="1:10" ht="15.75" x14ac:dyDescent="0.25">
      <c r="A25" s="15" t="s">
        <v>40</v>
      </c>
      <c r="B25" s="195" t="s">
        <v>13</v>
      </c>
      <c r="C25" s="195">
        <v>51217288</v>
      </c>
      <c r="D25" s="196" t="s">
        <v>37</v>
      </c>
      <c r="E25" s="195">
        <v>600</v>
      </c>
      <c r="F25" s="21">
        <v>21.134</v>
      </c>
      <c r="G25" s="21">
        <v>21.164999999999999</v>
      </c>
      <c r="H25" s="18">
        <f t="shared" si="1"/>
        <v>18.599999999999284</v>
      </c>
      <c r="I25" s="19" t="s">
        <v>27</v>
      </c>
      <c r="J25" s="20"/>
    </row>
    <row r="26" spans="1:10" ht="15.75" x14ac:dyDescent="0.25">
      <c r="A26" s="15" t="s">
        <v>41</v>
      </c>
      <c r="B26" s="195" t="s">
        <v>13</v>
      </c>
      <c r="C26" s="195">
        <v>51217279</v>
      </c>
      <c r="D26" s="196" t="s">
        <v>37</v>
      </c>
      <c r="E26" s="195">
        <v>600</v>
      </c>
      <c r="F26" s="21">
        <v>16.446999999999999</v>
      </c>
      <c r="G26" s="21">
        <v>16.501000000000001</v>
      </c>
      <c r="H26" s="18">
        <f t="shared" si="1"/>
        <v>32.400000000001228</v>
      </c>
      <c r="I26" s="19" t="s">
        <v>27</v>
      </c>
      <c r="J26" s="20"/>
    </row>
    <row r="27" spans="1:10" ht="15.75" x14ac:dyDescent="0.25">
      <c r="A27" s="15" t="s">
        <v>42</v>
      </c>
      <c r="B27" s="195" t="s">
        <v>13</v>
      </c>
      <c r="C27" s="195">
        <v>51217272</v>
      </c>
      <c r="D27" s="196" t="s">
        <v>37</v>
      </c>
      <c r="E27" s="195">
        <v>600</v>
      </c>
      <c r="F27" s="31">
        <v>16.132000000000001</v>
      </c>
      <c r="G27" s="31">
        <v>16.184999999999999</v>
      </c>
      <c r="H27" s="18">
        <f t="shared" si="1"/>
        <v>31.799999999998363</v>
      </c>
      <c r="I27" s="19"/>
      <c r="J27" s="20"/>
    </row>
    <row r="28" spans="1:10" ht="15.75" x14ac:dyDescent="0.25">
      <c r="A28" s="15" t="s">
        <v>43</v>
      </c>
      <c r="B28" s="195" t="s">
        <v>13</v>
      </c>
      <c r="C28" s="195">
        <v>51616744</v>
      </c>
      <c r="D28" s="196">
        <f>300/5</f>
        <v>60</v>
      </c>
      <c r="E28" s="195">
        <v>3600</v>
      </c>
      <c r="F28" s="31">
        <v>109.78400000000001</v>
      </c>
      <c r="G28" s="31">
        <v>109.78400000000001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95" t="s">
        <v>13</v>
      </c>
      <c r="C29" s="195">
        <v>51555226</v>
      </c>
      <c r="D29" s="196">
        <f>300/5</f>
        <v>60</v>
      </c>
      <c r="E29" s="195">
        <v>3600</v>
      </c>
      <c r="F29" s="31">
        <v>593.09199999999998</v>
      </c>
      <c r="G29" s="31">
        <v>594.71900000000005</v>
      </c>
      <c r="H29" s="18">
        <f>(G29-F29)*E29</f>
        <v>5857.200000000239</v>
      </c>
      <c r="I29" s="19"/>
      <c r="J29" s="20"/>
    </row>
    <row r="30" spans="1:10" ht="15.75" x14ac:dyDescent="0.25">
      <c r="A30" s="15" t="s">
        <v>45</v>
      </c>
      <c r="B30" s="195" t="s">
        <v>13</v>
      </c>
      <c r="C30" s="195">
        <v>51097658</v>
      </c>
      <c r="D30" s="196" t="s">
        <v>34</v>
      </c>
      <c r="E30" s="195">
        <v>4800</v>
      </c>
      <c r="F30" s="31">
        <v>741.56700000000001</v>
      </c>
      <c r="G30" s="31">
        <v>743.68799999999999</v>
      </c>
      <c r="H30" s="18">
        <f t="shared" si="1"/>
        <v>10180.799999999908</v>
      </c>
      <c r="I30" s="19"/>
      <c r="J30" s="20"/>
    </row>
    <row r="31" spans="1:10" ht="15.75" x14ac:dyDescent="0.25">
      <c r="A31" s="15" t="s">
        <v>46</v>
      </c>
      <c r="B31" s="195" t="s">
        <v>13</v>
      </c>
      <c r="C31" s="195">
        <v>51097635</v>
      </c>
      <c r="D31" s="196" t="s">
        <v>34</v>
      </c>
      <c r="E31" s="195">
        <v>4800</v>
      </c>
      <c r="F31" s="31">
        <v>48.506</v>
      </c>
      <c r="G31" s="31">
        <v>48.509</v>
      </c>
      <c r="H31" s="18">
        <f t="shared" si="1"/>
        <v>14.400000000000546</v>
      </c>
      <c r="I31" s="19"/>
      <c r="J31" s="20"/>
    </row>
    <row r="32" spans="1:10" ht="15.75" x14ac:dyDescent="0.25">
      <c r="A32" s="15" t="s">
        <v>47</v>
      </c>
      <c r="B32" s="195" t="s">
        <v>13</v>
      </c>
      <c r="C32" s="32">
        <v>51097633</v>
      </c>
      <c r="D32" s="196" t="s">
        <v>34</v>
      </c>
      <c r="E32" s="195">
        <v>4800</v>
      </c>
      <c r="F32" s="31">
        <v>233.32900000000001</v>
      </c>
      <c r="G32" s="31">
        <v>235.65</v>
      </c>
      <c r="H32" s="33">
        <f t="shared" si="1"/>
        <v>11140.79999999999</v>
      </c>
      <c r="I32" s="34"/>
      <c r="J32" s="35"/>
    </row>
    <row r="33" spans="1:10" ht="15.75" x14ac:dyDescent="0.25">
      <c r="A33" s="15" t="s">
        <v>48</v>
      </c>
      <c r="B33" s="195" t="s">
        <v>13</v>
      </c>
      <c r="C33" s="32">
        <v>51097662</v>
      </c>
      <c r="D33" s="196" t="s">
        <v>34</v>
      </c>
      <c r="E33" s="195">
        <v>4800</v>
      </c>
      <c r="F33" s="31">
        <v>4.6520000000000001</v>
      </c>
      <c r="G33" s="31">
        <v>4.6760000000000002</v>
      </c>
      <c r="H33" s="33">
        <f t="shared" si="1"/>
        <v>115.2000000000001</v>
      </c>
      <c r="I33" s="34"/>
      <c r="J33" s="35"/>
    </row>
    <row r="34" spans="1:10" ht="15.75" x14ac:dyDescent="0.25">
      <c r="A34" s="218" t="s">
        <v>49</v>
      </c>
      <c r="B34" s="219"/>
      <c r="C34" s="195"/>
      <c r="D34" s="196"/>
      <c r="E34" s="195"/>
      <c r="F34" s="36"/>
      <c r="G34" s="36"/>
      <c r="H34" s="23">
        <f>H20+H21+H22+H23+H24+H25+H26+H27+H28+H29+H30+H31+H32+H33</f>
        <v>60232.200000000223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95" t="s">
        <v>52</v>
      </c>
      <c r="C36" s="195">
        <v>51555209</v>
      </c>
      <c r="D36" s="196" t="s">
        <v>53</v>
      </c>
      <c r="E36" s="195">
        <v>7000</v>
      </c>
      <c r="F36" s="17">
        <v>6.3280000000000003</v>
      </c>
      <c r="G36" s="17">
        <v>6.3419999999999996</v>
      </c>
      <c r="H36" s="41">
        <f>(G36-F36)*E36</f>
        <v>97.999999999995424</v>
      </c>
      <c r="I36" s="42"/>
      <c r="J36" s="14"/>
    </row>
    <row r="37" spans="1:10" ht="15.75" x14ac:dyDescent="0.25">
      <c r="A37" s="15" t="s">
        <v>54</v>
      </c>
      <c r="B37" s="195" t="s">
        <v>52</v>
      </c>
      <c r="C37" s="195">
        <v>51555209</v>
      </c>
      <c r="D37" s="196" t="s">
        <v>53</v>
      </c>
      <c r="E37" s="195">
        <v>7000</v>
      </c>
      <c r="F37" s="21">
        <v>11.419</v>
      </c>
      <c r="G37" s="21">
        <v>11.47</v>
      </c>
      <c r="H37" s="18">
        <f>(G37-F37)*E37</f>
        <v>357.00000000000108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95" t="s">
        <v>52</v>
      </c>
      <c r="C39" s="195">
        <v>51097674</v>
      </c>
      <c r="D39" s="195" t="s">
        <v>14</v>
      </c>
      <c r="E39" s="195">
        <v>7200</v>
      </c>
      <c r="F39" s="21">
        <v>650.29899999999998</v>
      </c>
      <c r="G39" s="21">
        <v>652.34900000000005</v>
      </c>
      <c r="H39" s="18">
        <f>(G39-F39)*E39</f>
        <v>14760.000000000491</v>
      </c>
      <c r="I39" s="47"/>
      <c r="J39" s="20"/>
    </row>
    <row r="40" spans="1:10" ht="15.75" x14ac:dyDescent="0.25">
      <c r="A40" s="27" t="s">
        <v>57</v>
      </c>
      <c r="B40" s="195" t="s">
        <v>52</v>
      </c>
      <c r="C40" s="195">
        <v>51259257</v>
      </c>
      <c r="D40" s="195" t="s">
        <v>14</v>
      </c>
      <c r="E40" s="195">
        <v>7200</v>
      </c>
      <c r="F40" s="21">
        <v>1.0549999999999999</v>
      </c>
      <c r="G40" s="21">
        <v>1.0549999999999999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95"/>
      <c r="C41" s="195"/>
      <c r="D41" s="195"/>
      <c r="E41" s="195"/>
      <c r="F41" s="21"/>
      <c r="G41" s="21"/>
      <c r="H41" s="48">
        <f>H39+H40</f>
        <v>14760.000000000491</v>
      </c>
      <c r="I41" s="24">
        <f>H41-H49</f>
        <v>-108.79999999943175</v>
      </c>
      <c r="J41" s="25">
        <f>I41/H41</f>
        <v>-7.3712737126983823E-3</v>
      </c>
    </row>
    <row r="42" spans="1:10" ht="15.75" x14ac:dyDescent="0.25">
      <c r="A42" s="15" t="s">
        <v>59</v>
      </c>
      <c r="B42" s="195"/>
      <c r="C42" s="195"/>
      <c r="D42" s="196"/>
      <c r="E42" s="195"/>
      <c r="H42" s="18"/>
      <c r="I42" s="43"/>
      <c r="J42" s="20"/>
    </row>
    <row r="43" spans="1:10" ht="15.75" x14ac:dyDescent="0.25">
      <c r="A43" s="27" t="s">
        <v>60</v>
      </c>
      <c r="B43" s="195" t="s">
        <v>52</v>
      </c>
      <c r="C43" s="32">
        <v>51097648</v>
      </c>
      <c r="D43" s="195" t="s">
        <v>53</v>
      </c>
      <c r="E43" s="195">
        <v>1200</v>
      </c>
      <c r="F43" s="21">
        <v>531.904</v>
      </c>
      <c r="G43" s="21">
        <v>533.56200000000001</v>
      </c>
      <c r="H43" s="33">
        <f>(G43-F43)*E43</f>
        <v>1989.6000000000186</v>
      </c>
      <c r="I43" s="43"/>
      <c r="J43" s="20"/>
    </row>
    <row r="44" spans="1:10" ht="15.75" x14ac:dyDescent="0.25">
      <c r="A44" s="27" t="s">
        <v>61</v>
      </c>
      <c r="B44" s="195" t="s">
        <v>52</v>
      </c>
      <c r="C44" s="32">
        <v>50555043</v>
      </c>
      <c r="D44" s="195" t="s">
        <v>53</v>
      </c>
      <c r="E44" s="195">
        <v>1200</v>
      </c>
      <c r="F44" s="21">
        <v>2226.634</v>
      </c>
      <c r="G44" s="21">
        <v>2233.9580000000001</v>
      </c>
      <c r="H44" s="33">
        <f>(G44-F44)*E44</f>
        <v>8788.8000000000829</v>
      </c>
      <c r="I44" s="43"/>
      <c r="J44" s="20"/>
    </row>
    <row r="45" spans="1:10" ht="15.75" x14ac:dyDescent="0.25">
      <c r="A45" s="27" t="s">
        <v>62</v>
      </c>
      <c r="B45" s="195" t="s">
        <v>52</v>
      </c>
      <c r="C45" s="32">
        <v>51259336</v>
      </c>
      <c r="D45" s="195" t="s">
        <v>63</v>
      </c>
      <c r="E45" s="195">
        <v>2400</v>
      </c>
      <c r="F45" s="21">
        <v>4.4610000000000003</v>
      </c>
      <c r="G45" s="21">
        <v>4.4740000000000002</v>
      </c>
      <c r="H45" s="33">
        <f>(G45-F45)*E45</f>
        <v>31.199999999999761</v>
      </c>
      <c r="I45" s="43"/>
      <c r="J45" s="20"/>
    </row>
    <row r="46" spans="1:10" ht="15.75" x14ac:dyDescent="0.25">
      <c r="A46" s="27" t="s">
        <v>64</v>
      </c>
      <c r="B46" s="195" t="s">
        <v>52</v>
      </c>
      <c r="C46" s="32">
        <v>51259266</v>
      </c>
      <c r="D46" s="195" t="s">
        <v>53</v>
      </c>
      <c r="E46" s="195">
        <v>1200</v>
      </c>
      <c r="F46" s="21">
        <v>1080.0440000000001</v>
      </c>
      <c r="G46" s="21">
        <v>1083.127</v>
      </c>
      <c r="H46" s="33">
        <f>(G46-F46)*E46</f>
        <v>3699.5999999998276</v>
      </c>
      <c r="I46" s="43"/>
      <c r="J46" s="20"/>
    </row>
    <row r="47" spans="1:10" ht="15.75" x14ac:dyDescent="0.25">
      <c r="A47" s="27" t="s">
        <v>65</v>
      </c>
      <c r="B47" s="195" t="s">
        <v>52</v>
      </c>
      <c r="C47" s="32">
        <v>51431336</v>
      </c>
      <c r="D47" s="195" t="s">
        <v>53</v>
      </c>
      <c r="E47" s="195">
        <v>1200</v>
      </c>
      <c r="F47" s="21">
        <v>66.016000000000005</v>
      </c>
      <c r="G47" s="21">
        <v>66.274000000000001</v>
      </c>
      <c r="H47" s="33">
        <f>(G47-F47)*E47</f>
        <v>309.59999999999468</v>
      </c>
      <c r="I47" s="43"/>
      <c r="J47" s="20"/>
    </row>
    <row r="48" spans="1:10" ht="15.75" x14ac:dyDescent="0.25">
      <c r="A48" s="15" t="s">
        <v>66</v>
      </c>
      <c r="B48" s="195" t="s">
        <v>67</v>
      </c>
      <c r="C48" s="195">
        <v>49174</v>
      </c>
      <c r="D48" s="196" t="s">
        <v>53</v>
      </c>
      <c r="E48" s="195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14868.799999999923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95" t="s">
        <v>52</v>
      </c>
      <c r="C51" s="195">
        <v>51097603</v>
      </c>
      <c r="D51" s="196" t="s">
        <v>53</v>
      </c>
      <c r="E51" s="195">
        <v>7000</v>
      </c>
      <c r="F51" s="17">
        <v>2108.8670000000002</v>
      </c>
      <c r="G51" s="17">
        <v>2115.0920000000001</v>
      </c>
      <c r="H51" s="18">
        <f>(G51-F51)*E51</f>
        <v>43574.99999999936</v>
      </c>
      <c r="I51" s="43"/>
      <c r="J51" s="20"/>
    </row>
    <row r="52" spans="1:10" ht="15.75" x14ac:dyDescent="0.25">
      <c r="A52" s="27" t="s">
        <v>72</v>
      </c>
      <c r="B52" s="195" t="s">
        <v>52</v>
      </c>
      <c r="C52" s="195">
        <v>51097590</v>
      </c>
      <c r="D52" s="196" t="s">
        <v>53</v>
      </c>
      <c r="E52" s="195">
        <v>7000</v>
      </c>
      <c r="F52" s="21">
        <v>13.227</v>
      </c>
      <c r="G52" s="21">
        <v>13.250999999999999</v>
      </c>
      <c r="H52" s="18">
        <f>(G52-F52)*E52</f>
        <v>167.99999999999392</v>
      </c>
      <c r="I52" s="43"/>
      <c r="J52" s="20"/>
    </row>
    <row r="53" spans="1:10" ht="15.75" x14ac:dyDescent="0.25">
      <c r="A53" s="15" t="s">
        <v>66</v>
      </c>
      <c r="B53" s="195" t="s">
        <v>67</v>
      </c>
      <c r="C53" s="195">
        <v>49174</v>
      </c>
      <c r="D53" s="196" t="s">
        <v>53</v>
      </c>
      <c r="E53" s="195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95"/>
      <c r="D54" s="196"/>
      <c r="E54" s="195"/>
      <c r="F54" s="21"/>
      <c r="G54" s="21"/>
      <c r="H54" s="48">
        <f>H51+H52+H53</f>
        <v>43842.999999999352</v>
      </c>
      <c r="I54" s="47"/>
      <c r="J54" s="59"/>
    </row>
    <row r="55" spans="1:10" ht="15.75" x14ac:dyDescent="0.25">
      <c r="A55" s="27" t="s">
        <v>74</v>
      </c>
      <c r="B55" s="195" t="s">
        <v>52</v>
      </c>
      <c r="C55" s="195">
        <v>51100980</v>
      </c>
      <c r="D55" s="195" t="s">
        <v>75</v>
      </c>
      <c r="E55" s="195">
        <v>12000</v>
      </c>
      <c r="F55" s="21">
        <v>1240.289</v>
      </c>
      <c r="G55" s="21">
        <v>1243.921</v>
      </c>
      <c r="H55" s="18">
        <f>(G55-F55)*E55</f>
        <v>43584.000000000742</v>
      </c>
      <c r="I55" s="47"/>
      <c r="J55" s="58"/>
    </row>
    <row r="56" spans="1:10" ht="15.75" x14ac:dyDescent="0.25">
      <c r="A56" s="27" t="s">
        <v>76</v>
      </c>
      <c r="B56" s="195" t="s">
        <v>52</v>
      </c>
      <c r="C56" s="195">
        <v>51097623</v>
      </c>
      <c r="D56" s="195" t="s">
        <v>75</v>
      </c>
      <c r="E56" s="195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95"/>
      <c r="C57" s="195"/>
      <c r="D57" s="195"/>
      <c r="E57" s="195"/>
      <c r="F57" s="21"/>
      <c r="G57" s="21"/>
      <c r="H57" s="48">
        <f>H55+H56</f>
        <v>43584.000000000742</v>
      </c>
      <c r="I57" s="61">
        <f>H54-H64-H53</f>
        <v>19.799999999246211</v>
      </c>
      <c r="J57" s="25">
        <f>I57/H57</f>
        <v>4.5429515416771919E-4</v>
      </c>
    </row>
    <row r="58" spans="1:10" ht="15.75" x14ac:dyDescent="0.25">
      <c r="A58" s="27" t="s">
        <v>78</v>
      </c>
      <c r="B58" s="195" t="s">
        <v>52</v>
      </c>
      <c r="C58" s="195">
        <v>51097675</v>
      </c>
      <c r="D58" s="195" t="s">
        <v>34</v>
      </c>
      <c r="E58" s="195">
        <v>4800</v>
      </c>
      <c r="F58" s="21">
        <v>578.05799999999999</v>
      </c>
      <c r="G58" s="21">
        <v>579.81100000000004</v>
      </c>
      <c r="H58" s="18">
        <f t="shared" ref="H58:H63" si="2">(G58-F58)*E58</f>
        <v>8414.4000000002052</v>
      </c>
      <c r="I58" s="62"/>
      <c r="J58" s="59"/>
    </row>
    <row r="59" spans="1:10" ht="15.75" x14ac:dyDescent="0.25">
      <c r="A59" s="27" t="s">
        <v>79</v>
      </c>
      <c r="B59" s="195" t="s">
        <v>52</v>
      </c>
      <c r="C59" s="195">
        <v>51100997</v>
      </c>
      <c r="D59" s="195" t="s">
        <v>21</v>
      </c>
      <c r="E59" s="195">
        <v>3600</v>
      </c>
      <c r="F59" s="21">
        <v>1446.501</v>
      </c>
      <c r="G59" s="21">
        <v>1449.0139999999999</v>
      </c>
      <c r="H59" s="18">
        <f t="shared" si="2"/>
        <v>9046.7999999997119</v>
      </c>
      <c r="I59" s="62"/>
      <c r="J59" s="59"/>
    </row>
    <row r="60" spans="1:10" ht="15.75" x14ac:dyDescent="0.25">
      <c r="A60" s="27" t="s">
        <v>80</v>
      </c>
      <c r="B60" s="195" t="s">
        <v>52</v>
      </c>
      <c r="C60" s="195">
        <v>51555218</v>
      </c>
      <c r="D60" s="195">
        <f>400/5</f>
        <v>80</v>
      </c>
      <c r="E60" s="195">
        <v>4800</v>
      </c>
      <c r="F60" s="21">
        <v>75.369</v>
      </c>
      <c r="G60" s="21">
        <v>75.628</v>
      </c>
      <c r="H60" s="18">
        <f t="shared" si="2"/>
        <v>1243.2000000000016</v>
      </c>
      <c r="I60" s="62"/>
      <c r="J60" s="59"/>
    </row>
    <row r="61" spans="1:10" ht="15.75" x14ac:dyDescent="0.25">
      <c r="A61" s="27" t="s">
        <v>81</v>
      </c>
      <c r="B61" s="195" t="s">
        <v>52</v>
      </c>
      <c r="C61" s="195">
        <v>51555151</v>
      </c>
      <c r="D61" s="195">
        <f>400/5</f>
        <v>80</v>
      </c>
      <c r="E61" s="195">
        <v>4800</v>
      </c>
      <c r="F61" s="63">
        <v>0.30599999999999999</v>
      </c>
      <c r="G61" s="63">
        <v>0.30599999999999999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95" t="s">
        <v>52</v>
      </c>
      <c r="C62" s="195">
        <v>51097599</v>
      </c>
      <c r="D62" s="195" t="s">
        <v>21</v>
      </c>
      <c r="E62" s="195">
        <v>3600</v>
      </c>
      <c r="F62" s="21">
        <v>1030.046</v>
      </c>
      <c r="G62" s="21">
        <v>1033.3610000000001</v>
      </c>
      <c r="H62" s="18">
        <f t="shared" si="2"/>
        <v>11934.000000000196</v>
      </c>
      <c r="I62" s="62"/>
      <c r="J62" s="59"/>
    </row>
    <row r="63" spans="1:10" ht="15.75" x14ac:dyDescent="0.25">
      <c r="A63" s="27" t="s">
        <v>83</v>
      </c>
      <c r="B63" s="195" t="s">
        <v>52</v>
      </c>
      <c r="C63" s="195">
        <v>51097620</v>
      </c>
      <c r="D63" s="195" t="s">
        <v>34</v>
      </c>
      <c r="E63" s="195">
        <v>4800</v>
      </c>
      <c r="F63" s="21">
        <v>579.98599999999999</v>
      </c>
      <c r="G63" s="21">
        <v>582.71199999999999</v>
      </c>
      <c r="H63" s="18">
        <f t="shared" si="2"/>
        <v>13084.799999999996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43723.200000000106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95" t="s">
        <v>52</v>
      </c>
      <c r="C66" s="9">
        <v>51259238</v>
      </c>
      <c r="D66" s="74" t="s">
        <v>53</v>
      </c>
      <c r="E66" s="74">
        <v>7000</v>
      </c>
      <c r="F66" s="75">
        <v>621.05499999999995</v>
      </c>
      <c r="G66" s="75">
        <v>623.04600000000005</v>
      </c>
      <c r="H66" s="76">
        <f>(G66-F66)*E66</f>
        <v>13937.000000000695</v>
      </c>
      <c r="I66" s="77"/>
      <c r="J66" s="78"/>
    </row>
    <row r="67" spans="1:10" ht="15.75" x14ac:dyDescent="0.25">
      <c r="A67" s="27" t="s">
        <v>86</v>
      </c>
      <c r="B67" s="195" t="s">
        <v>52</v>
      </c>
      <c r="C67" s="195">
        <v>51259324</v>
      </c>
      <c r="D67" s="196" t="s">
        <v>53</v>
      </c>
      <c r="E67" s="196">
        <v>7000</v>
      </c>
      <c r="F67" s="21">
        <v>479.41699999999997</v>
      </c>
      <c r="G67" s="21">
        <v>480.54899999999998</v>
      </c>
      <c r="H67" s="18">
        <f>(G67-F67)*E67</f>
        <v>7924.0000000000346</v>
      </c>
      <c r="I67" s="51"/>
      <c r="J67" s="58"/>
    </row>
    <row r="68" spans="1:10" ht="15.75" x14ac:dyDescent="0.25">
      <c r="A68" s="27" t="s">
        <v>87</v>
      </c>
      <c r="B68" s="79" t="s">
        <v>88</v>
      </c>
      <c r="C68" s="195">
        <v>51491618</v>
      </c>
      <c r="D68" s="196" t="s">
        <v>63</v>
      </c>
      <c r="E68" s="195">
        <v>40</v>
      </c>
      <c r="F68" s="28">
        <v>1455.145</v>
      </c>
      <c r="G68" s="28">
        <v>1459.9169999999999</v>
      </c>
      <c r="H68" s="18">
        <f>(G68-F68)*E68</f>
        <v>190.87999999999738</v>
      </c>
      <c r="I68" s="51"/>
      <c r="J68" s="58"/>
    </row>
    <row r="69" spans="1:10" ht="15.75" x14ac:dyDescent="0.25">
      <c r="A69" s="27" t="s">
        <v>89</v>
      </c>
      <c r="B69" s="79" t="s">
        <v>88</v>
      </c>
      <c r="C69" s="195">
        <v>51491624</v>
      </c>
      <c r="D69" s="196" t="s">
        <v>63</v>
      </c>
      <c r="E69" s="195">
        <v>40</v>
      </c>
      <c r="F69" s="28">
        <v>189.761</v>
      </c>
      <c r="G69" s="28">
        <v>190.172</v>
      </c>
      <c r="H69" s="18">
        <f>(G69-F69)*E69</f>
        <v>16.440000000000055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21861.000000000728</v>
      </c>
      <c r="I70" s="85">
        <f>H70-H73-H68-H69</f>
        <v>-630.31999999960453</v>
      </c>
      <c r="J70" s="25">
        <f>I70/H70</f>
        <v>-2.8833081743725519E-2</v>
      </c>
    </row>
    <row r="71" spans="1:10" ht="15.75" x14ac:dyDescent="0.25">
      <c r="A71" s="27" t="s">
        <v>91</v>
      </c>
      <c r="B71" s="195" t="s">
        <v>52</v>
      </c>
      <c r="C71" s="86">
        <v>51097588</v>
      </c>
      <c r="D71" s="196" t="s">
        <v>75</v>
      </c>
      <c r="E71" s="195">
        <v>12000</v>
      </c>
      <c r="F71" s="21">
        <v>370.54300000000001</v>
      </c>
      <c r="G71" s="21">
        <v>371.702</v>
      </c>
      <c r="H71" s="18">
        <f>(G71-F71)*E71</f>
        <v>13907.999999999902</v>
      </c>
      <c r="I71" s="51"/>
      <c r="J71" s="58"/>
    </row>
    <row r="72" spans="1:10" ht="15.75" x14ac:dyDescent="0.25">
      <c r="A72" s="27" t="s">
        <v>92</v>
      </c>
      <c r="B72" s="195" t="s">
        <v>52</v>
      </c>
      <c r="C72" s="86">
        <v>51431335</v>
      </c>
      <c r="D72" s="196" t="s">
        <v>75</v>
      </c>
      <c r="E72" s="195">
        <v>12000</v>
      </c>
      <c r="F72" s="21">
        <v>292.59199999999998</v>
      </c>
      <c r="G72" s="21">
        <v>293.29000000000002</v>
      </c>
      <c r="H72" s="18">
        <f>(G72-F72)*E72</f>
        <v>8376.0000000004311</v>
      </c>
      <c r="I72" s="51"/>
      <c r="J72" s="58"/>
    </row>
    <row r="73" spans="1:10" ht="15.75" x14ac:dyDescent="0.25">
      <c r="A73" s="87" t="s">
        <v>93</v>
      </c>
      <c r="B73" s="195" t="s">
        <v>27</v>
      </c>
      <c r="C73" s="195"/>
      <c r="D73" s="196"/>
      <c r="E73" s="195"/>
      <c r="F73" s="21"/>
      <c r="G73" s="21"/>
      <c r="H73" s="48">
        <f>H71+ H72</f>
        <v>22284.000000000335</v>
      </c>
      <c r="I73" s="85">
        <f>H73-H81</f>
        <v>-32.399999999950523</v>
      </c>
      <c r="J73" s="25">
        <f>I73/H73</f>
        <v>-1.4539579967667402E-3</v>
      </c>
    </row>
    <row r="74" spans="1:10" ht="15.75" x14ac:dyDescent="0.25">
      <c r="A74" s="27" t="s">
        <v>94</v>
      </c>
      <c r="B74" s="195" t="s">
        <v>52</v>
      </c>
      <c r="C74" s="86">
        <v>51097676</v>
      </c>
      <c r="D74" s="88" t="s">
        <v>63</v>
      </c>
      <c r="E74" s="195">
        <v>2400</v>
      </c>
      <c r="F74" s="21">
        <v>776.58699999999999</v>
      </c>
      <c r="G74" s="21">
        <v>778.79300000000001</v>
      </c>
      <c r="H74" s="18">
        <f>(G74-F74)*E74</f>
        <v>5294.4000000000415</v>
      </c>
      <c r="I74" s="51"/>
      <c r="J74" s="58"/>
    </row>
    <row r="75" spans="1:10" ht="15.75" x14ac:dyDescent="0.25">
      <c r="A75" s="27" t="s">
        <v>95</v>
      </c>
      <c r="B75" s="195" t="s">
        <v>52</v>
      </c>
      <c r="C75" s="86">
        <v>51431355</v>
      </c>
      <c r="D75" s="196" t="s">
        <v>21</v>
      </c>
      <c r="E75" s="196">
        <v>3600</v>
      </c>
      <c r="F75" s="21">
        <v>398.81799999999998</v>
      </c>
      <c r="G75" s="21">
        <v>400.09300000000002</v>
      </c>
      <c r="H75" s="18">
        <f>(G75-F75)*E75</f>
        <v>4590.0000000001228</v>
      </c>
      <c r="I75" s="51"/>
      <c r="J75" s="52"/>
    </row>
    <row r="76" spans="1:10" ht="15.75" x14ac:dyDescent="0.25">
      <c r="A76" s="27" t="s">
        <v>96</v>
      </c>
      <c r="B76" s="195" t="s">
        <v>52</v>
      </c>
      <c r="C76" s="86">
        <v>51259331</v>
      </c>
      <c r="D76" s="88" t="s">
        <v>37</v>
      </c>
      <c r="E76" s="195">
        <v>600</v>
      </c>
      <c r="F76" s="21">
        <v>184.28399999999999</v>
      </c>
      <c r="G76" s="21">
        <v>184.82</v>
      </c>
      <c r="H76" s="18">
        <f>(G76-F76)*E76</f>
        <v>321.60000000000082</v>
      </c>
      <c r="I76" s="51"/>
      <c r="J76" s="52"/>
    </row>
    <row r="77" spans="1:10" ht="15.75" x14ac:dyDescent="0.25">
      <c r="A77" s="27" t="s">
        <v>97</v>
      </c>
      <c r="B77" s="195" t="s">
        <v>52</v>
      </c>
      <c r="C77" s="86">
        <v>51259326</v>
      </c>
      <c r="D77" s="88" t="s">
        <v>14</v>
      </c>
      <c r="E77" s="195">
        <v>7200</v>
      </c>
      <c r="F77" s="21">
        <v>365.86399999999998</v>
      </c>
      <c r="G77" s="21">
        <v>367.06299999999999</v>
      </c>
      <c r="H77" s="18">
        <f>(G77-F77)*E77</f>
        <v>8632.8000000000884</v>
      </c>
      <c r="I77" s="51"/>
      <c r="J77" s="52"/>
    </row>
    <row r="78" spans="1:10" ht="15.75" x14ac:dyDescent="0.25">
      <c r="A78" s="27" t="s">
        <v>98</v>
      </c>
      <c r="B78" s="195" t="s">
        <v>52</v>
      </c>
      <c r="C78" s="86">
        <v>51431351</v>
      </c>
      <c r="D78" s="88" t="s">
        <v>14</v>
      </c>
      <c r="E78" s="195">
        <v>7200</v>
      </c>
      <c r="F78" s="21">
        <v>267.80700000000002</v>
      </c>
      <c r="G78" s="21">
        <v>268.29000000000002</v>
      </c>
      <c r="H78" s="18">
        <f>(G78-F78)*E78</f>
        <v>3477.6000000000295</v>
      </c>
      <c r="I78" s="51"/>
      <c r="J78" s="52"/>
    </row>
    <row r="79" spans="1:10" ht="15.75" x14ac:dyDescent="0.25">
      <c r="A79" s="89" t="s">
        <v>99</v>
      </c>
      <c r="B79" s="195" t="s">
        <v>52</v>
      </c>
      <c r="C79" s="90">
        <v>51097666</v>
      </c>
      <c r="D79" s="88" t="s">
        <v>63</v>
      </c>
      <c r="E79" s="195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95" t="s">
        <v>52</v>
      </c>
      <c r="C80" s="90">
        <v>51259323</v>
      </c>
      <c r="D80" s="88" t="s">
        <v>63</v>
      </c>
      <c r="E80" s="195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22316.400000000285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95" t="s">
        <v>52</v>
      </c>
      <c r="C83" s="106">
        <v>51431297</v>
      </c>
      <c r="D83" s="196" t="s">
        <v>53</v>
      </c>
      <c r="E83" s="100">
        <v>7000</v>
      </c>
      <c r="F83" s="17">
        <v>331.70600000000002</v>
      </c>
      <c r="G83" s="17">
        <v>332.387</v>
      </c>
      <c r="H83" s="18">
        <f>(G83-F83)*E83</f>
        <v>4766.9999999998818</v>
      </c>
      <c r="I83" s="107"/>
      <c r="J83" s="108"/>
    </row>
    <row r="84" spans="1:10" ht="15.75" x14ac:dyDescent="0.25">
      <c r="A84" s="105" t="s">
        <v>86</v>
      </c>
      <c r="B84" s="195" t="s">
        <v>52</v>
      </c>
      <c r="C84" s="106">
        <v>51431332</v>
      </c>
      <c r="D84" s="196" t="s">
        <v>53</v>
      </c>
      <c r="E84" s="100">
        <v>7000</v>
      </c>
      <c r="F84" s="17">
        <v>370.64</v>
      </c>
      <c r="G84" s="17">
        <v>372.709</v>
      </c>
      <c r="H84" s="18">
        <f>(G84-F84)*E84</f>
        <v>14483.000000000118</v>
      </c>
      <c r="I84" s="195"/>
      <c r="J84" s="58"/>
    </row>
    <row r="85" spans="1:10" ht="15.75" x14ac:dyDescent="0.25">
      <c r="A85" s="27" t="s">
        <v>87</v>
      </c>
      <c r="B85" s="195" t="s">
        <v>103</v>
      </c>
      <c r="C85" s="109">
        <v>150773</v>
      </c>
      <c r="D85" s="196" t="s">
        <v>53</v>
      </c>
      <c r="E85" s="109">
        <v>20</v>
      </c>
      <c r="F85" s="17">
        <v>15797</v>
      </c>
      <c r="G85" s="17">
        <v>15800.4</v>
      </c>
      <c r="H85" s="18">
        <f>(G85-F85)*E85</f>
        <v>67.999999999992724</v>
      </c>
      <c r="I85" s="51"/>
      <c r="J85" s="58"/>
    </row>
    <row r="86" spans="1:10" ht="15.75" x14ac:dyDescent="0.25">
      <c r="A86" s="27" t="s">
        <v>89</v>
      </c>
      <c r="B86" s="195" t="s">
        <v>103</v>
      </c>
      <c r="C86" s="109">
        <v>150791</v>
      </c>
      <c r="D86" s="196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197"/>
      <c r="C87" s="32"/>
      <c r="D87" s="82"/>
      <c r="E87" s="82"/>
      <c r="F87" s="21"/>
      <c r="G87" s="21"/>
      <c r="H87" s="48">
        <f>H83+H84</f>
        <v>19250</v>
      </c>
      <c r="I87" s="85">
        <f>H87-H90-H85-H86</f>
        <v>332.39999999990687</v>
      </c>
      <c r="J87" s="25">
        <f>I87/H87</f>
        <v>1.726753246752763E-2</v>
      </c>
    </row>
    <row r="88" spans="1:10" ht="15.75" x14ac:dyDescent="0.25">
      <c r="A88" s="27" t="s">
        <v>104</v>
      </c>
      <c r="B88" s="195" t="s">
        <v>52</v>
      </c>
      <c r="C88" s="106">
        <v>51431342</v>
      </c>
      <c r="D88" s="88" t="s">
        <v>34</v>
      </c>
      <c r="E88" s="195">
        <v>4800</v>
      </c>
      <c r="F88" s="21">
        <v>471.99700000000001</v>
      </c>
      <c r="G88" s="21">
        <v>472.96300000000002</v>
      </c>
      <c r="H88" s="18">
        <f>(G88-F88)*E88</f>
        <v>4636.8000000000393</v>
      </c>
      <c r="I88" s="51"/>
      <c r="J88" s="52"/>
    </row>
    <row r="89" spans="1:10" ht="15.75" x14ac:dyDescent="0.25">
      <c r="A89" s="27" t="s">
        <v>105</v>
      </c>
      <c r="B89" s="195" t="s">
        <v>52</v>
      </c>
      <c r="C89" s="106">
        <v>51431343</v>
      </c>
      <c r="D89" s="88" t="s">
        <v>34</v>
      </c>
      <c r="E89" s="195">
        <v>4800</v>
      </c>
      <c r="F89" s="21">
        <v>522.76900000000001</v>
      </c>
      <c r="G89" s="21">
        <v>525.73</v>
      </c>
      <c r="H89" s="18">
        <f>(G89-F89)*E89</f>
        <v>14212.800000000061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18849.6000000001</v>
      </c>
      <c r="I90" s="85">
        <f>H90-H98</f>
        <v>-29.599999999776628</v>
      </c>
      <c r="J90" s="25">
        <f>I90/H90</f>
        <v>-1.5703250997250058E-3</v>
      </c>
    </row>
    <row r="91" spans="1:10" ht="15.75" x14ac:dyDescent="0.25">
      <c r="A91" s="27" t="s">
        <v>107</v>
      </c>
      <c r="B91" s="195" t="s">
        <v>52</v>
      </c>
      <c r="C91" s="106">
        <v>51431347</v>
      </c>
      <c r="D91" s="196" t="s">
        <v>53</v>
      </c>
      <c r="E91" s="195">
        <v>1200</v>
      </c>
      <c r="F91" s="21">
        <v>1250.2950000000001</v>
      </c>
      <c r="G91" s="21">
        <v>1258.857</v>
      </c>
      <c r="H91" s="18">
        <f>(G91-F91)*E91</f>
        <v>10274.399999999878</v>
      </c>
      <c r="I91" s="51"/>
      <c r="J91" s="52"/>
    </row>
    <row r="92" spans="1:10" ht="15.75" x14ac:dyDescent="0.25">
      <c r="A92" s="27" t="s">
        <v>108</v>
      </c>
      <c r="B92" s="195" t="s">
        <v>52</v>
      </c>
      <c r="C92" s="106">
        <v>51431339</v>
      </c>
      <c r="D92" s="196" t="s">
        <v>53</v>
      </c>
      <c r="E92" s="195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95" t="s">
        <v>52</v>
      </c>
      <c r="C93" s="106">
        <v>51217244</v>
      </c>
      <c r="D93" s="195" t="s">
        <v>37</v>
      </c>
      <c r="E93" s="195">
        <v>600</v>
      </c>
      <c r="F93" s="30">
        <v>363.92200000000003</v>
      </c>
      <c r="G93" s="30">
        <v>366.50599999999997</v>
      </c>
      <c r="H93" s="18">
        <f t="shared" si="4"/>
        <v>1550.3999999999678</v>
      </c>
      <c r="I93" s="51"/>
      <c r="J93" s="52"/>
    </row>
    <row r="94" spans="1:10" ht="15.75" x14ac:dyDescent="0.25">
      <c r="A94" s="27" t="s">
        <v>110</v>
      </c>
      <c r="B94" s="195" t="s">
        <v>52</v>
      </c>
      <c r="C94" s="106">
        <v>51217267</v>
      </c>
      <c r="D94" s="88" t="s">
        <v>63</v>
      </c>
      <c r="E94" s="195">
        <v>2400</v>
      </c>
      <c r="F94" s="30">
        <v>23.786999999999999</v>
      </c>
      <c r="G94" s="30">
        <v>24.783999999999999</v>
      </c>
      <c r="H94" s="18">
        <f t="shared" si="4"/>
        <v>2392.7999999999997</v>
      </c>
      <c r="I94" s="51"/>
      <c r="J94" s="52"/>
    </row>
    <row r="95" spans="1:10" ht="15.75" x14ac:dyDescent="0.25">
      <c r="A95" s="27" t="s">
        <v>111</v>
      </c>
      <c r="B95" s="195" t="s">
        <v>52</v>
      </c>
      <c r="C95" s="195">
        <v>51555165</v>
      </c>
      <c r="D95" s="196" t="s">
        <v>53</v>
      </c>
      <c r="E95" s="195">
        <v>1200</v>
      </c>
      <c r="F95" s="30">
        <v>1007.984</v>
      </c>
      <c r="G95" s="30">
        <v>1007.984</v>
      </c>
      <c r="H95" s="18">
        <f t="shared" si="4"/>
        <v>0</v>
      </c>
      <c r="I95" s="51" t="s">
        <v>27</v>
      </c>
      <c r="J95" s="52"/>
    </row>
    <row r="96" spans="1:10" ht="15.75" x14ac:dyDescent="0.25">
      <c r="A96" s="113" t="s">
        <v>112</v>
      </c>
      <c r="B96" s="195" t="s">
        <v>52</v>
      </c>
      <c r="C96" s="106">
        <v>51431346</v>
      </c>
      <c r="D96" s="114" t="s">
        <v>37</v>
      </c>
      <c r="E96" s="114">
        <v>600</v>
      </c>
      <c r="F96" s="30">
        <v>393.55500000000001</v>
      </c>
      <c r="G96" s="30">
        <v>393.84300000000002</v>
      </c>
      <c r="H96" s="115">
        <f t="shared" si="4"/>
        <v>172.80000000000655</v>
      </c>
      <c r="I96" s="116"/>
      <c r="J96" s="117"/>
    </row>
    <row r="97" spans="1:10" ht="15.75" x14ac:dyDescent="0.25">
      <c r="A97" s="27" t="s">
        <v>113</v>
      </c>
      <c r="B97" s="195" t="s">
        <v>52</v>
      </c>
      <c r="C97" s="106">
        <v>51431352</v>
      </c>
      <c r="D97" s="88" t="s">
        <v>21</v>
      </c>
      <c r="E97" s="195">
        <v>3600</v>
      </c>
      <c r="F97" s="21">
        <v>267.80099999999999</v>
      </c>
      <c r="G97" s="21">
        <v>269.029</v>
      </c>
      <c r="H97" s="18">
        <f t="shared" si="4"/>
        <v>4420.8000000000311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18879.199999999877</v>
      </c>
      <c r="I98" s="51"/>
      <c r="J98" s="52"/>
    </row>
    <row r="99" spans="1:10" ht="15.75" x14ac:dyDescent="0.25">
      <c r="A99" s="45" t="s">
        <v>114</v>
      </c>
      <c r="B99" s="195" t="s">
        <v>52</v>
      </c>
      <c r="C99" s="120">
        <v>51431357</v>
      </c>
      <c r="D99" s="196" t="s">
        <v>63</v>
      </c>
      <c r="E99" s="196">
        <v>14000</v>
      </c>
      <c r="F99" s="28">
        <v>915.66899999999998</v>
      </c>
      <c r="G99" s="28">
        <v>919.125</v>
      </c>
      <c r="H99" s="121">
        <f t="shared" si="4"/>
        <v>48384.00000000024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zoomScale="85" zoomScaleNormal="85" workbookViewId="0">
      <selection sqref="A1:J99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140</v>
      </c>
      <c r="G2" s="4" t="s">
        <v>141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198" t="s">
        <v>13</v>
      </c>
      <c r="C4" s="198">
        <v>51555166</v>
      </c>
      <c r="D4" s="198" t="s">
        <v>14</v>
      </c>
      <c r="E4" s="198">
        <v>132000</v>
      </c>
      <c r="F4" s="17">
        <v>7.0830000000000002</v>
      </c>
      <c r="G4" s="17">
        <v>7.0910000000000002</v>
      </c>
      <c r="H4" s="18">
        <f>(G4-F4)*E4</f>
        <v>1056.0000000000009</v>
      </c>
      <c r="I4" s="19"/>
      <c r="J4" s="20"/>
    </row>
    <row r="5" spans="1:10" ht="15.75" x14ac:dyDescent="0.25">
      <c r="A5" s="15" t="s">
        <v>15</v>
      </c>
      <c r="B5" s="198" t="s">
        <v>13</v>
      </c>
      <c r="C5" s="198">
        <v>51555191</v>
      </c>
      <c r="D5" s="198" t="s">
        <v>14</v>
      </c>
      <c r="E5" s="198">
        <v>132000</v>
      </c>
      <c r="F5" s="21">
        <v>417.32799999999997</v>
      </c>
      <c r="G5" s="21">
        <v>419.00599999999997</v>
      </c>
      <c r="H5" s="18">
        <f>(G5-F5)*E5</f>
        <v>221495.99999999965</v>
      </c>
      <c r="I5" s="19"/>
      <c r="J5" s="20"/>
    </row>
    <row r="6" spans="1:10" ht="15.75" x14ac:dyDescent="0.25">
      <c r="A6" s="218" t="s">
        <v>16</v>
      </c>
      <c r="B6" s="219"/>
      <c r="C6" s="198"/>
      <c r="D6" s="199"/>
      <c r="E6" s="198"/>
      <c r="H6" s="23">
        <f>H4+H5</f>
        <v>222551.99999999965</v>
      </c>
      <c r="I6" s="24">
        <f>H6-H9-H19</f>
        <v>2021.9999999985739</v>
      </c>
      <c r="J6" s="25">
        <f>I6/H6</f>
        <v>9.0855170926281374E-3</v>
      </c>
    </row>
    <row r="7" spans="1:10" ht="15.75" x14ac:dyDescent="0.25">
      <c r="A7" s="26" t="s">
        <v>17</v>
      </c>
      <c r="B7" s="198" t="s">
        <v>13</v>
      </c>
      <c r="C7" s="198">
        <v>51097629</v>
      </c>
      <c r="D7" s="199" t="s">
        <v>14</v>
      </c>
      <c r="E7" s="198">
        <v>42000</v>
      </c>
      <c r="F7" s="21">
        <v>1205.2159999999999</v>
      </c>
      <c r="G7" s="21">
        <v>1209.05</v>
      </c>
      <c r="H7" s="18">
        <f>(G7-F7)*E7</f>
        <v>161028.00000000253</v>
      </c>
      <c r="I7" s="19"/>
      <c r="J7" s="20"/>
    </row>
    <row r="8" spans="1:10" ht="15.75" x14ac:dyDescent="0.25">
      <c r="A8" s="26" t="s">
        <v>18</v>
      </c>
      <c r="B8" s="198" t="s">
        <v>13</v>
      </c>
      <c r="C8" s="198">
        <v>51616820</v>
      </c>
      <c r="D8" s="199" t="s">
        <v>14</v>
      </c>
      <c r="E8" s="198">
        <v>42000</v>
      </c>
      <c r="F8" s="21">
        <v>15.509</v>
      </c>
      <c r="G8" s="21">
        <v>15.516999999999999</v>
      </c>
      <c r="H8" s="18">
        <f>(G8-F8)*E8</f>
        <v>335.99999999996299</v>
      </c>
      <c r="I8" s="19"/>
      <c r="J8" s="20"/>
    </row>
    <row r="9" spans="1:10" ht="15.75" x14ac:dyDescent="0.25">
      <c r="A9" s="218" t="s">
        <v>19</v>
      </c>
      <c r="B9" s="219"/>
      <c r="C9" s="198"/>
      <c r="D9" s="199"/>
      <c r="E9" s="198"/>
      <c r="F9" s="21"/>
      <c r="G9" s="21"/>
      <c r="H9" s="23">
        <f>H7+H8</f>
        <v>161364.0000000025</v>
      </c>
      <c r="I9" s="24">
        <f>H9-H16</f>
        <v>-20.99999999802094</v>
      </c>
      <c r="J9" s="25">
        <f>I9/H9</f>
        <v>-1.3014055178367303E-4</v>
      </c>
    </row>
    <row r="10" spans="1:10" ht="15.75" x14ac:dyDescent="0.25">
      <c r="A10" s="27" t="s">
        <v>20</v>
      </c>
      <c r="B10" s="198" t="s">
        <v>13</v>
      </c>
      <c r="C10" s="198">
        <v>51217286</v>
      </c>
      <c r="D10" s="199" t="s">
        <v>21</v>
      </c>
      <c r="E10" s="198">
        <v>21000</v>
      </c>
      <c r="F10" s="21">
        <v>948.54</v>
      </c>
      <c r="G10" s="21">
        <v>951.39599999999996</v>
      </c>
      <c r="H10" s="18">
        <f t="shared" ref="H10:H15" si="0">(G10-F10)*E10</f>
        <v>59975.999999999884</v>
      </c>
      <c r="I10" s="19"/>
      <c r="J10" s="20"/>
    </row>
    <row r="11" spans="1:10" ht="15.75" x14ac:dyDescent="0.25">
      <c r="A11" s="27" t="s">
        <v>22</v>
      </c>
      <c r="B11" s="198" t="s">
        <v>13</v>
      </c>
      <c r="C11" s="198">
        <v>51217292</v>
      </c>
      <c r="D11" s="199" t="s">
        <v>21</v>
      </c>
      <c r="E11" s="198">
        <v>21000</v>
      </c>
      <c r="F11" s="28">
        <v>4.0190000000000001</v>
      </c>
      <c r="G11" s="28">
        <v>4.0250000000000004</v>
      </c>
      <c r="H11" s="18">
        <f>(G11-F11)*E11</f>
        <v>126.00000000000477</v>
      </c>
      <c r="I11" s="19"/>
      <c r="J11" s="20"/>
    </row>
    <row r="12" spans="1:10" ht="15.75" x14ac:dyDescent="0.25">
      <c r="A12" s="27" t="s">
        <v>23</v>
      </c>
      <c r="B12" s="198" t="s">
        <v>13</v>
      </c>
      <c r="C12" s="198">
        <v>51217271</v>
      </c>
      <c r="D12" s="199" t="s">
        <v>21</v>
      </c>
      <c r="E12" s="198">
        <v>21000</v>
      </c>
      <c r="F12" s="21">
        <v>713.96400000000006</v>
      </c>
      <c r="G12" s="21">
        <v>716.12400000000002</v>
      </c>
      <c r="H12" s="18">
        <f t="shared" si="0"/>
        <v>45359.999999999331</v>
      </c>
      <c r="I12" s="19"/>
      <c r="J12" s="20"/>
    </row>
    <row r="13" spans="1:10" ht="15.75" x14ac:dyDescent="0.25">
      <c r="A13" s="27" t="s">
        <v>24</v>
      </c>
      <c r="B13" s="198" t="s">
        <v>13</v>
      </c>
      <c r="C13" s="198">
        <v>51217276</v>
      </c>
      <c r="D13" s="199" t="s">
        <v>21</v>
      </c>
      <c r="E13" s="198">
        <v>21000</v>
      </c>
      <c r="F13" s="28">
        <v>0.627</v>
      </c>
      <c r="G13" s="28">
        <v>0.627</v>
      </c>
      <c r="H13" s="18">
        <f>(G13-F13)*E13</f>
        <v>0</v>
      </c>
      <c r="I13" s="19"/>
      <c r="J13" s="20"/>
    </row>
    <row r="14" spans="1:10" ht="15.75" x14ac:dyDescent="0.25">
      <c r="A14" s="27" t="s">
        <v>25</v>
      </c>
      <c r="B14" s="198" t="s">
        <v>13</v>
      </c>
      <c r="C14" s="198">
        <v>51100990</v>
      </c>
      <c r="D14" s="199" t="s">
        <v>21</v>
      </c>
      <c r="E14" s="198">
        <v>21000</v>
      </c>
      <c r="F14" s="29">
        <v>767.31399999999996</v>
      </c>
      <c r="G14" s="29">
        <v>769.97</v>
      </c>
      <c r="H14" s="18">
        <f t="shared" si="0"/>
        <v>55776.000000001317</v>
      </c>
      <c r="I14" s="19"/>
      <c r="J14" s="20"/>
    </row>
    <row r="15" spans="1:10" ht="15.75" x14ac:dyDescent="0.25">
      <c r="A15" s="27" t="s">
        <v>26</v>
      </c>
      <c r="B15" s="198" t="s">
        <v>13</v>
      </c>
      <c r="C15" s="198">
        <v>51097622</v>
      </c>
      <c r="D15" s="199" t="s">
        <v>21</v>
      </c>
      <c r="E15" s="198">
        <v>21000</v>
      </c>
      <c r="F15" s="21">
        <v>9.4570000000000007</v>
      </c>
      <c r="G15" s="21">
        <v>9.4640000000000004</v>
      </c>
      <c r="H15" s="18">
        <f t="shared" si="0"/>
        <v>146.99999999999312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198"/>
      <c r="D16" s="199"/>
      <c r="E16" s="198"/>
      <c r="F16" s="21"/>
      <c r="G16" s="21"/>
      <c r="H16" s="23">
        <f>H10+H11+H12+H13+H14+H15</f>
        <v>161385.00000000052</v>
      </c>
      <c r="I16" s="19"/>
      <c r="J16" s="20"/>
    </row>
    <row r="17" spans="1:10" ht="15.75" x14ac:dyDescent="0.25">
      <c r="A17" s="26" t="s">
        <v>29</v>
      </c>
      <c r="B17" s="198" t="s">
        <v>13</v>
      </c>
      <c r="C17" s="198">
        <v>51097617</v>
      </c>
      <c r="D17" s="199" t="s">
        <v>30</v>
      </c>
      <c r="E17" s="198">
        <v>18000</v>
      </c>
      <c r="F17" s="30">
        <v>949.74800000000005</v>
      </c>
      <c r="G17" s="30">
        <v>953.03499999999997</v>
      </c>
      <c r="H17" s="18">
        <f>(G17-F17)*E17</f>
        <v>59165.999999998574</v>
      </c>
      <c r="I17" s="19"/>
      <c r="J17" s="20"/>
    </row>
    <row r="18" spans="1:10" ht="15.75" x14ac:dyDescent="0.25">
      <c r="A18" s="26" t="s">
        <v>31</v>
      </c>
      <c r="B18" s="198" t="s">
        <v>13</v>
      </c>
      <c r="C18" s="198">
        <v>51097655</v>
      </c>
      <c r="D18" s="199" t="s">
        <v>30</v>
      </c>
      <c r="E18" s="198">
        <v>18000</v>
      </c>
      <c r="F18" s="30">
        <v>11.542</v>
      </c>
      <c r="G18" s="30">
        <v>11.542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198"/>
      <c r="D19" s="199"/>
      <c r="E19" s="198"/>
      <c r="F19" s="30"/>
      <c r="G19" s="30"/>
      <c r="H19" s="23">
        <f>H17+H18</f>
        <v>59165.999999998574</v>
      </c>
      <c r="I19" s="24">
        <f>H19-H34</f>
        <v>548.39999999878637</v>
      </c>
      <c r="J19" s="25">
        <f>I19/H19</f>
        <v>9.2688368319440145E-3</v>
      </c>
    </row>
    <row r="20" spans="1:10" ht="15.75" x14ac:dyDescent="0.25">
      <c r="A20" s="15" t="s">
        <v>33</v>
      </c>
      <c r="B20" s="198" t="s">
        <v>13</v>
      </c>
      <c r="C20" s="198">
        <v>51217282</v>
      </c>
      <c r="D20" s="199" t="s">
        <v>34</v>
      </c>
      <c r="E20" s="198">
        <v>4800</v>
      </c>
      <c r="F20" s="21">
        <v>440.77800000000002</v>
      </c>
      <c r="G20" s="21">
        <v>447.15100000000001</v>
      </c>
      <c r="H20" s="18">
        <f t="shared" ref="H20:H33" si="1">(G20-F20)*E20</f>
        <v>30590.399999999954</v>
      </c>
      <c r="I20" s="19" t="s">
        <v>27</v>
      </c>
      <c r="J20" s="20"/>
    </row>
    <row r="21" spans="1:10" ht="15.75" x14ac:dyDescent="0.25">
      <c r="A21" s="15" t="s">
        <v>35</v>
      </c>
      <c r="B21" s="198" t="s">
        <v>13</v>
      </c>
      <c r="C21" s="198">
        <v>51217274</v>
      </c>
      <c r="D21" s="199" t="s">
        <v>34</v>
      </c>
      <c r="E21" s="198">
        <v>4800</v>
      </c>
      <c r="F21" s="21">
        <v>1430.576</v>
      </c>
      <c r="G21" s="21">
        <v>1430.884</v>
      </c>
      <c r="H21" s="18">
        <f t="shared" si="1"/>
        <v>1478.3999999999651</v>
      </c>
      <c r="I21" s="19"/>
      <c r="J21" s="20"/>
    </row>
    <row r="22" spans="1:10" ht="15.75" x14ac:dyDescent="0.25">
      <c r="A22" s="15" t="s">
        <v>36</v>
      </c>
      <c r="B22" s="198" t="s">
        <v>13</v>
      </c>
      <c r="C22" s="198">
        <v>51097664</v>
      </c>
      <c r="D22" s="199" t="s">
        <v>37</v>
      </c>
      <c r="E22" s="198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198" t="s">
        <v>13</v>
      </c>
      <c r="C23" s="198">
        <v>51097615</v>
      </c>
      <c r="D23" s="199" t="s">
        <v>37</v>
      </c>
      <c r="E23" s="198">
        <v>600</v>
      </c>
      <c r="F23" s="21">
        <v>50.765999999999998</v>
      </c>
      <c r="G23" s="21">
        <v>51.055999999999997</v>
      </c>
      <c r="H23" s="18">
        <f t="shared" si="1"/>
        <v>173.99999999999949</v>
      </c>
      <c r="I23" s="19"/>
      <c r="J23" s="20"/>
    </row>
    <row r="24" spans="1:10" ht="15.75" x14ac:dyDescent="0.25">
      <c r="A24" s="15" t="s">
        <v>39</v>
      </c>
      <c r="B24" s="198" t="s">
        <v>13</v>
      </c>
      <c r="C24" s="198">
        <v>51217264</v>
      </c>
      <c r="D24" s="199" t="s">
        <v>37</v>
      </c>
      <c r="E24" s="198">
        <v>600</v>
      </c>
      <c r="F24" s="21">
        <v>116.58</v>
      </c>
      <c r="G24" s="21">
        <v>116.97799999999999</v>
      </c>
      <c r="H24" s="18">
        <f t="shared" si="1"/>
        <v>238.79999999999768</v>
      </c>
      <c r="I24" s="19"/>
      <c r="J24" s="20"/>
    </row>
    <row r="25" spans="1:10" ht="15.75" x14ac:dyDescent="0.25">
      <c r="A25" s="15" t="s">
        <v>40</v>
      </c>
      <c r="B25" s="198" t="s">
        <v>13</v>
      </c>
      <c r="C25" s="198">
        <v>51217288</v>
      </c>
      <c r="D25" s="199" t="s">
        <v>37</v>
      </c>
      <c r="E25" s="198">
        <v>600</v>
      </c>
      <c r="F25" s="21">
        <v>21.164999999999999</v>
      </c>
      <c r="G25" s="21">
        <v>21.196999999999999</v>
      </c>
      <c r="H25" s="18">
        <f t="shared" si="1"/>
        <v>19.200000000000017</v>
      </c>
      <c r="I25" s="19" t="s">
        <v>27</v>
      </c>
      <c r="J25" s="20"/>
    </row>
    <row r="26" spans="1:10" ht="15.75" x14ac:dyDescent="0.25">
      <c r="A26" s="15" t="s">
        <v>41</v>
      </c>
      <c r="B26" s="198" t="s">
        <v>13</v>
      </c>
      <c r="C26" s="198">
        <v>51217279</v>
      </c>
      <c r="D26" s="199" t="s">
        <v>37</v>
      </c>
      <c r="E26" s="198">
        <v>600</v>
      </c>
      <c r="F26" s="21">
        <v>16.501000000000001</v>
      </c>
      <c r="G26" s="21">
        <v>16.556000000000001</v>
      </c>
      <c r="H26" s="18">
        <f t="shared" si="1"/>
        <v>32.999999999999829</v>
      </c>
      <c r="I26" s="19" t="s">
        <v>27</v>
      </c>
      <c r="J26" s="20"/>
    </row>
    <row r="27" spans="1:10" ht="15.75" x14ac:dyDescent="0.25">
      <c r="A27" s="15" t="s">
        <v>42</v>
      </c>
      <c r="B27" s="198" t="s">
        <v>13</v>
      </c>
      <c r="C27" s="198">
        <v>51217272</v>
      </c>
      <c r="D27" s="199" t="s">
        <v>37</v>
      </c>
      <c r="E27" s="198">
        <v>600</v>
      </c>
      <c r="F27" s="31">
        <v>16.184999999999999</v>
      </c>
      <c r="G27" s="31">
        <v>16.238</v>
      </c>
      <c r="H27" s="18">
        <f t="shared" si="1"/>
        <v>31.800000000000495</v>
      </c>
      <c r="I27" s="19"/>
      <c r="J27" s="20"/>
    </row>
    <row r="28" spans="1:10" ht="15.75" x14ac:dyDescent="0.25">
      <c r="A28" s="15" t="s">
        <v>43</v>
      </c>
      <c r="B28" s="198" t="s">
        <v>13</v>
      </c>
      <c r="C28" s="198">
        <v>51616744</v>
      </c>
      <c r="D28" s="199">
        <f>300/5</f>
        <v>60</v>
      </c>
      <c r="E28" s="198">
        <v>3600</v>
      </c>
      <c r="F28" s="31">
        <v>109.78400000000001</v>
      </c>
      <c r="G28" s="31">
        <v>109.78400000000001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198" t="s">
        <v>13</v>
      </c>
      <c r="C29" s="198">
        <v>51555226</v>
      </c>
      <c r="D29" s="199">
        <f>300/5</f>
        <v>60</v>
      </c>
      <c r="E29" s="198">
        <v>3600</v>
      </c>
      <c r="F29" s="31">
        <v>594.71900000000005</v>
      </c>
      <c r="G29" s="31">
        <v>596.23699999999997</v>
      </c>
      <c r="H29" s="18">
        <f>(G29-F29)*E29</f>
        <v>5464.7999999996955</v>
      </c>
      <c r="I29" s="19"/>
      <c r="J29" s="20"/>
    </row>
    <row r="30" spans="1:10" ht="15.75" x14ac:dyDescent="0.25">
      <c r="A30" s="15" t="s">
        <v>45</v>
      </c>
      <c r="B30" s="198" t="s">
        <v>13</v>
      </c>
      <c r="C30" s="198">
        <v>51097658</v>
      </c>
      <c r="D30" s="199" t="s">
        <v>34</v>
      </c>
      <c r="E30" s="198">
        <v>4800</v>
      </c>
      <c r="F30" s="31">
        <v>743.68799999999999</v>
      </c>
      <c r="G30" s="31">
        <v>745.61900000000003</v>
      </c>
      <c r="H30" s="18">
        <f t="shared" si="1"/>
        <v>9268.8000000001921</v>
      </c>
      <c r="I30" s="19"/>
      <c r="J30" s="20"/>
    </row>
    <row r="31" spans="1:10" ht="15.75" x14ac:dyDescent="0.25">
      <c r="A31" s="15" t="s">
        <v>46</v>
      </c>
      <c r="B31" s="198" t="s">
        <v>13</v>
      </c>
      <c r="C31" s="198">
        <v>51097635</v>
      </c>
      <c r="D31" s="199" t="s">
        <v>34</v>
      </c>
      <c r="E31" s="198">
        <v>4800</v>
      </c>
      <c r="F31" s="31">
        <v>48.509</v>
      </c>
      <c r="G31" s="31">
        <v>48.511000000000003</v>
      </c>
      <c r="H31" s="18">
        <f t="shared" si="1"/>
        <v>9.6000000000117325</v>
      </c>
      <c r="I31" s="19"/>
      <c r="J31" s="20"/>
    </row>
    <row r="32" spans="1:10" ht="15.75" x14ac:dyDescent="0.25">
      <c r="A32" s="15" t="s">
        <v>47</v>
      </c>
      <c r="B32" s="198" t="s">
        <v>13</v>
      </c>
      <c r="C32" s="32">
        <v>51097633</v>
      </c>
      <c r="D32" s="199" t="s">
        <v>34</v>
      </c>
      <c r="E32" s="198">
        <v>4800</v>
      </c>
      <c r="F32" s="31">
        <v>235.65</v>
      </c>
      <c r="G32" s="31">
        <v>237.982</v>
      </c>
      <c r="H32" s="33">
        <f t="shared" si="1"/>
        <v>11193.599999999969</v>
      </c>
      <c r="I32" s="34"/>
      <c r="J32" s="35"/>
    </row>
    <row r="33" spans="1:10" ht="15.75" x14ac:dyDescent="0.25">
      <c r="A33" s="15" t="s">
        <v>48</v>
      </c>
      <c r="B33" s="198" t="s">
        <v>13</v>
      </c>
      <c r="C33" s="32">
        <v>51097662</v>
      </c>
      <c r="D33" s="199" t="s">
        <v>34</v>
      </c>
      <c r="E33" s="198">
        <v>4800</v>
      </c>
      <c r="F33" s="31">
        <v>4.6760000000000002</v>
      </c>
      <c r="G33" s="31">
        <v>4.7</v>
      </c>
      <c r="H33" s="33">
        <f t="shared" si="1"/>
        <v>115.2000000000001</v>
      </c>
      <c r="I33" s="34"/>
      <c r="J33" s="35"/>
    </row>
    <row r="34" spans="1:10" ht="15.75" x14ac:dyDescent="0.25">
      <c r="A34" s="218" t="s">
        <v>49</v>
      </c>
      <c r="B34" s="219"/>
      <c r="C34" s="198"/>
      <c r="D34" s="199"/>
      <c r="E34" s="198"/>
      <c r="F34" s="36"/>
      <c r="G34" s="36"/>
      <c r="H34" s="23">
        <f>H20+H21+H22+H23+H24+H25+H26+H27+H28+H29+H30+H31+H32+H33</f>
        <v>58617.599999999788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198" t="s">
        <v>52</v>
      </c>
      <c r="C36" s="198">
        <v>51555209</v>
      </c>
      <c r="D36" s="199" t="s">
        <v>53</v>
      </c>
      <c r="E36" s="198">
        <v>7000</v>
      </c>
      <c r="F36" s="17">
        <v>6.3419999999999996</v>
      </c>
      <c r="G36" s="17">
        <v>6.3570000000000002</v>
      </c>
      <c r="H36" s="41">
        <f>(G36-F36)*E36</f>
        <v>105.00000000000398</v>
      </c>
      <c r="I36" s="42"/>
      <c r="J36" s="14"/>
    </row>
    <row r="37" spans="1:10" ht="15.75" x14ac:dyDescent="0.25">
      <c r="A37" s="15" t="s">
        <v>54</v>
      </c>
      <c r="B37" s="198" t="s">
        <v>52</v>
      </c>
      <c r="C37" s="198">
        <v>51555209</v>
      </c>
      <c r="D37" s="199" t="s">
        <v>53</v>
      </c>
      <c r="E37" s="198">
        <v>7000</v>
      </c>
      <c r="F37" s="21">
        <v>11.47</v>
      </c>
      <c r="G37" s="21">
        <v>11.519</v>
      </c>
      <c r="H37" s="18">
        <f>(G37-F37)*E37</f>
        <v>342.99999999999642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198" t="s">
        <v>52</v>
      </c>
      <c r="C39" s="198">
        <v>51097674</v>
      </c>
      <c r="D39" s="198" t="s">
        <v>14</v>
      </c>
      <c r="E39" s="198">
        <v>7200</v>
      </c>
      <c r="F39" s="21">
        <v>652.34900000000005</v>
      </c>
      <c r="G39" s="21">
        <v>654.42200000000003</v>
      </c>
      <c r="H39" s="18">
        <f>(G39-F39)*E39</f>
        <v>14925.599999999849</v>
      </c>
      <c r="I39" s="47"/>
      <c r="J39" s="20"/>
    </row>
    <row r="40" spans="1:10" ht="15.75" x14ac:dyDescent="0.25">
      <c r="A40" s="27" t="s">
        <v>57</v>
      </c>
      <c r="B40" s="198" t="s">
        <v>52</v>
      </c>
      <c r="C40" s="198">
        <v>51259257</v>
      </c>
      <c r="D40" s="198" t="s">
        <v>14</v>
      </c>
      <c r="E40" s="198">
        <v>7200</v>
      </c>
      <c r="F40" s="21">
        <v>1.0549999999999999</v>
      </c>
      <c r="G40" s="21">
        <v>1.0549999999999999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198"/>
      <c r="C41" s="198"/>
      <c r="D41" s="198"/>
      <c r="E41" s="198"/>
      <c r="F41" s="21"/>
      <c r="G41" s="21"/>
      <c r="H41" s="48">
        <f>H39+H40</f>
        <v>14925.599999999849</v>
      </c>
      <c r="I41" s="24">
        <f>H41-H49</f>
        <v>-100.40000000014879</v>
      </c>
      <c r="J41" s="25">
        <f>I41/H41</f>
        <v>-6.7266977542041733E-3</v>
      </c>
    </row>
    <row r="42" spans="1:10" ht="15.75" x14ac:dyDescent="0.25">
      <c r="A42" s="15" t="s">
        <v>59</v>
      </c>
      <c r="B42" s="198"/>
      <c r="C42" s="198"/>
      <c r="D42" s="199"/>
      <c r="E42" s="198"/>
      <c r="H42" s="18"/>
      <c r="I42" s="43"/>
      <c r="J42" s="20"/>
    </row>
    <row r="43" spans="1:10" ht="15.75" x14ac:dyDescent="0.25">
      <c r="A43" s="27" t="s">
        <v>60</v>
      </c>
      <c r="B43" s="198" t="s">
        <v>52</v>
      </c>
      <c r="C43" s="32">
        <v>51097648</v>
      </c>
      <c r="D43" s="198" t="s">
        <v>53</v>
      </c>
      <c r="E43" s="198">
        <v>1200</v>
      </c>
      <c r="F43" s="21">
        <v>533.56200000000001</v>
      </c>
      <c r="G43" s="21">
        <v>535.19299999999998</v>
      </c>
      <c r="H43" s="33">
        <f>(G43-F43)*E43</f>
        <v>1957.1999999999662</v>
      </c>
      <c r="I43" s="43"/>
      <c r="J43" s="20"/>
    </row>
    <row r="44" spans="1:10" ht="15.75" x14ac:dyDescent="0.25">
      <c r="A44" s="27" t="s">
        <v>61</v>
      </c>
      <c r="B44" s="198" t="s">
        <v>52</v>
      </c>
      <c r="C44" s="32">
        <v>50555043</v>
      </c>
      <c r="D44" s="198" t="s">
        <v>53</v>
      </c>
      <c r="E44" s="198">
        <v>1200</v>
      </c>
      <c r="F44" s="21">
        <v>2233.9580000000001</v>
      </c>
      <c r="G44" s="21">
        <v>2241.346</v>
      </c>
      <c r="H44" s="33">
        <f>(G44-F44)*E44</f>
        <v>8865.599999999904</v>
      </c>
      <c r="I44" s="43"/>
      <c r="J44" s="20"/>
    </row>
    <row r="45" spans="1:10" ht="15.75" x14ac:dyDescent="0.25">
      <c r="A45" s="27" t="s">
        <v>62</v>
      </c>
      <c r="B45" s="198" t="s">
        <v>52</v>
      </c>
      <c r="C45" s="32">
        <v>51259336</v>
      </c>
      <c r="D45" s="198" t="s">
        <v>63</v>
      </c>
      <c r="E45" s="198">
        <v>2400</v>
      </c>
      <c r="F45" s="21">
        <v>4.4740000000000002</v>
      </c>
      <c r="G45" s="21">
        <v>4.4880000000000004</v>
      </c>
      <c r="H45" s="33">
        <f>(G45-F45)*E45</f>
        <v>33.600000000000563</v>
      </c>
      <c r="I45" s="43"/>
      <c r="J45" s="20"/>
    </row>
    <row r="46" spans="1:10" ht="15.75" x14ac:dyDescent="0.25">
      <c r="A46" s="27" t="s">
        <v>64</v>
      </c>
      <c r="B46" s="198" t="s">
        <v>52</v>
      </c>
      <c r="C46" s="32">
        <v>51259266</v>
      </c>
      <c r="D46" s="198" t="s">
        <v>53</v>
      </c>
      <c r="E46" s="198">
        <v>1200</v>
      </c>
      <c r="F46" s="21">
        <v>1083.127</v>
      </c>
      <c r="G46" s="21">
        <v>1086.3530000000001</v>
      </c>
      <c r="H46" s="33">
        <f>(G46-F46)*E46</f>
        <v>3871.2000000001353</v>
      </c>
      <c r="I46" s="43"/>
      <c r="J46" s="20"/>
    </row>
    <row r="47" spans="1:10" ht="15.75" x14ac:dyDescent="0.25">
      <c r="A47" s="27" t="s">
        <v>65</v>
      </c>
      <c r="B47" s="198" t="s">
        <v>52</v>
      </c>
      <c r="C47" s="32">
        <v>51431336</v>
      </c>
      <c r="D47" s="198" t="s">
        <v>53</v>
      </c>
      <c r="E47" s="198">
        <v>1200</v>
      </c>
      <c r="F47" s="21">
        <v>66.274000000000001</v>
      </c>
      <c r="G47" s="21">
        <v>66.480999999999995</v>
      </c>
      <c r="H47" s="33">
        <f>(G47-F47)*E47</f>
        <v>248.39999999999236</v>
      </c>
      <c r="I47" s="43"/>
      <c r="J47" s="20"/>
    </row>
    <row r="48" spans="1:10" ht="15.75" x14ac:dyDescent="0.25">
      <c r="A48" s="15" t="s">
        <v>66</v>
      </c>
      <c r="B48" s="198" t="s">
        <v>67</v>
      </c>
      <c r="C48" s="198">
        <v>49174</v>
      </c>
      <c r="D48" s="199" t="s">
        <v>53</v>
      </c>
      <c r="E48" s="198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15025.999999999998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198" t="s">
        <v>52</v>
      </c>
      <c r="C51" s="198">
        <v>51097603</v>
      </c>
      <c r="D51" s="199" t="s">
        <v>53</v>
      </c>
      <c r="E51" s="198">
        <v>7000</v>
      </c>
      <c r="F51" s="17">
        <v>2115.0920000000001</v>
      </c>
      <c r="G51" s="17">
        <v>2121.3780000000002</v>
      </c>
      <c r="H51" s="18">
        <f>(G51-F51)*E51</f>
        <v>44002.000000000407</v>
      </c>
      <c r="I51" s="43"/>
      <c r="J51" s="20"/>
    </row>
    <row r="52" spans="1:10" ht="15.75" x14ac:dyDescent="0.25">
      <c r="A52" s="27" t="s">
        <v>72</v>
      </c>
      <c r="B52" s="198" t="s">
        <v>52</v>
      </c>
      <c r="C52" s="198">
        <v>51097590</v>
      </c>
      <c r="D52" s="199" t="s">
        <v>53</v>
      </c>
      <c r="E52" s="198">
        <v>7000</v>
      </c>
      <c r="F52" s="21">
        <v>13.250999999999999</v>
      </c>
      <c r="G52" s="21">
        <v>13.273999999999999</v>
      </c>
      <c r="H52" s="18">
        <f>(G52-F52)*E52</f>
        <v>160.99999999999781</v>
      </c>
      <c r="I52" s="43"/>
      <c r="J52" s="20"/>
    </row>
    <row r="53" spans="1:10" ht="15.75" x14ac:dyDescent="0.25">
      <c r="A53" s="15" t="s">
        <v>66</v>
      </c>
      <c r="B53" s="198" t="s">
        <v>67</v>
      </c>
      <c r="C53" s="198">
        <v>49174</v>
      </c>
      <c r="D53" s="199" t="s">
        <v>53</v>
      </c>
      <c r="E53" s="198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198"/>
      <c r="D54" s="199"/>
      <c r="E54" s="198"/>
      <c r="F54" s="21"/>
      <c r="G54" s="21"/>
      <c r="H54" s="48">
        <f>H51+H52+H53</f>
        <v>44263.000000000407</v>
      </c>
      <c r="I54" s="47"/>
      <c r="J54" s="59"/>
    </row>
    <row r="55" spans="1:10" ht="15.75" x14ac:dyDescent="0.25">
      <c r="A55" s="27" t="s">
        <v>74</v>
      </c>
      <c r="B55" s="198" t="s">
        <v>52</v>
      </c>
      <c r="C55" s="198">
        <v>51100980</v>
      </c>
      <c r="D55" s="198" t="s">
        <v>75</v>
      </c>
      <c r="E55" s="198">
        <v>12000</v>
      </c>
      <c r="F55" s="21">
        <v>1243.921</v>
      </c>
      <c r="G55" s="21">
        <v>1247.5889999999999</v>
      </c>
      <c r="H55" s="18">
        <f>(G55-F55)*E55</f>
        <v>44015.999999998712</v>
      </c>
      <c r="I55" s="47"/>
      <c r="J55" s="58"/>
    </row>
    <row r="56" spans="1:10" ht="15.75" x14ac:dyDescent="0.25">
      <c r="A56" s="27" t="s">
        <v>76</v>
      </c>
      <c r="B56" s="198" t="s">
        <v>52</v>
      </c>
      <c r="C56" s="198">
        <v>51097623</v>
      </c>
      <c r="D56" s="198" t="s">
        <v>75</v>
      </c>
      <c r="E56" s="198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198"/>
      <c r="C57" s="198"/>
      <c r="D57" s="198"/>
      <c r="E57" s="198"/>
      <c r="F57" s="21"/>
      <c r="G57" s="21"/>
      <c r="H57" s="48">
        <f>H55+H56</f>
        <v>44015.999999998712</v>
      </c>
      <c r="I57" s="61">
        <f>H54-H64-H53</f>
        <v>37.800000001072476</v>
      </c>
      <c r="J57" s="25">
        <f>I57/H57</f>
        <v>8.587786259785892E-4</v>
      </c>
    </row>
    <row r="58" spans="1:10" ht="15.75" x14ac:dyDescent="0.25">
      <c r="A58" s="27" t="s">
        <v>78</v>
      </c>
      <c r="B58" s="198" t="s">
        <v>52</v>
      </c>
      <c r="C58" s="198">
        <v>51097675</v>
      </c>
      <c r="D58" s="198" t="s">
        <v>34</v>
      </c>
      <c r="E58" s="198">
        <v>4800</v>
      </c>
      <c r="F58" s="21">
        <v>579.81100000000004</v>
      </c>
      <c r="G58" s="21">
        <v>581.42899999999997</v>
      </c>
      <c r="H58" s="18">
        <f t="shared" ref="H58:H63" si="2">(G58-F58)*E58</f>
        <v>7766.3999999997031</v>
      </c>
      <c r="I58" s="62"/>
      <c r="J58" s="59"/>
    </row>
    <row r="59" spans="1:10" ht="15.75" x14ac:dyDescent="0.25">
      <c r="A59" s="27" t="s">
        <v>79</v>
      </c>
      <c r="B59" s="198" t="s">
        <v>52</v>
      </c>
      <c r="C59" s="198">
        <v>51100997</v>
      </c>
      <c r="D59" s="198" t="s">
        <v>21</v>
      </c>
      <c r="E59" s="198">
        <v>3600</v>
      </c>
      <c r="F59" s="21">
        <v>1449.0139999999999</v>
      </c>
      <c r="G59" s="21">
        <v>1451.4929999999999</v>
      </c>
      <c r="H59" s="18">
        <f t="shared" si="2"/>
        <v>8924.4000000001506</v>
      </c>
      <c r="I59" s="62"/>
      <c r="J59" s="59"/>
    </row>
    <row r="60" spans="1:10" ht="15.75" x14ac:dyDescent="0.25">
      <c r="A60" s="27" t="s">
        <v>80</v>
      </c>
      <c r="B60" s="198" t="s">
        <v>52</v>
      </c>
      <c r="C60" s="198">
        <v>51555218</v>
      </c>
      <c r="D60" s="198">
        <f>400/5</f>
        <v>80</v>
      </c>
      <c r="E60" s="198">
        <v>4800</v>
      </c>
      <c r="F60" s="21">
        <v>75.628</v>
      </c>
      <c r="G60" s="21">
        <v>75.863</v>
      </c>
      <c r="H60" s="18">
        <f t="shared" si="2"/>
        <v>1127.9999999999973</v>
      </c>
      <c r="I60" s="62"/>
      <c r="J60" s="59"/>
    </row>
    <row r="61" spans="1:10" ht="15.75" x14ac:dyDescent="0.25">
      <c r="A61" s="27" t="s">
        <v>81</v>
      </c>
      <c r="B61" s="198" t="s">
        <v>52</v>
      </c>
      <c r="C61" s="198">
        <v>51555151</v>
      </c>
      <c r="D61" s="198">
        <f>400/5</f>
        <v>80</v>
      </c>
      <c r="E61" s="198">
        <v>4800</v>
      </c>
      <c r="F61" s="63">
        <v>0.30599999999999999</v>
      </c>
      <c r="G61" s="63">
        <v>0.30599999999999999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198" t="s">
        <v>52</v>
      </c>
      <c r="C62" s="198">
        <v>51097599</v>
      </c>
      <c r="D62" s="198" t="s">
        <v>21</v>
      </c>
      <c r="E62" s="198">
        <v>3600</v>
      </c>
      <c r="F62" s="21">
        <v>1033.3610000000001</v>
      </c>
      <c r="G62" s="21">
        <v>1037.1389999999999</v>
      </c>
      <c r="H62" s="18">
        <f t="shared" si="2"/>
        <v>13600.799999999253</v>
      </c>
      <c r="I62" s="62"/>
      <c r="J62" s="59"/>
    </row>
    <row r="63" spans="1:10" ht="15.75" x14ac:dyDescent="0.25">
      <c r="A63" s="27" t="s">
        <v>83</v>
      </c>
      <c r="B63" s="198" t="s">
        <v>52</v>
      </c>
      <c r="C63" s="198">
        <v>51097620</v>
      </c>
      <c r="D63" s="198" t="s">
        <v>34</v>
      </c>
      <c r="E63" s="198">
        <v>4800</v>
      </c>
      <c r="F63" s="21">
        <v>582.71199999999999</v>
      </c>
      <c r="G63" s="21">
        <v>585.35900000000004</v>
      </c>
      <c r="H63" s="18">
        <f t="shared" si="2"/>
        <v>12705.600000000231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44125.199999999335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198" t="s">
        <v>52</v>
      </c>
      <c r="C66" s="9">
        <v>51259238</v>
      </c>
      <c r="D66" s="74" t="s">
        <v>53</v>
      </c>
      <c r="E66" s="74">
        <v>7000</v>
      </c>
      <c r="F66" s="75">
        <v>623.04600000000005</v>
      </c>
      <c r="G66" s="75">
        <v>625.06500000000005</v>
      </c>
      <c r="H66" s="76">
        <f>(G66-F66)*E66</f>
        <v>14133.000000000038</v>
      </c>
      <c r="I66" s="77"/>
      <c r="J66" s="78"/>
    </row>
    <row r="67" spans="1:10" ht="15.75" x14ac:dyDescent="0.25">
      <c r="A67" s="27" t="s">
        <v>86</v>
      </c>
      <c r="B67" s="198" t="s">
        <v>52</v>
      </c>
      <c r="C67" s="198">
        <v>51259324</v>
      </c>
      <c r="D67" s="199" t="s">
        <v>53</v>
      </c>
      <c r="E67" s="199">
        <v>7000</v>
      </c>
      <c r="F67" s="21">
        <v>480.54899999999998</v>
      </c>
      <c r="G67" s="21">
        <v>481.67500000000001</v>
      </c>
      <c r="H67" s="18">
        <f>(G67-F67)*E67</f>
        <v>7882.0000000002328</v>
      </c>
      <c r="I67" s="51"/>
      <c r="J67" s="58"/>
    </row>
    <row r="68" spans="1:10" ht="15.75" x14ac:dyDescent="0.25">
      <c r="A68" s="27" t="s">
        <v>87</v>
      </c>
      <c r="B68" s="79" t="s">
        <v>88</v>
      </c>
      <c r="C68" s="198">
        <v>51491618</v>
      </c>
      <c r="D68" s="199" t="s">
        <v>63</v>
      </c>
      <c r="E68" s="198">
        <v>40</v>
      </c>
      <c r="F68" s="28">
        <v>1459.9169999999999</v>
      </c>
      <c r="G68" s="28">
        <v>1464.2739999999999</v>
      </c>
      <c r="H68" s="18">
        <f>(G68-F68)*E68</f>
        <v>174.27999999999884</v>
      </c>
      <c r="I68" s="51"/>
      <c r="J68" s="58"/>
    </row>
    <row r="69" spans="1:10" ht="15.75" x14ac:dyDescent="0.25">
      <c r="A69" s="27" t="s">
        <v>89</v>
      </c>
      <c r="B69" s="79" t="s">
        <v>88</v>
      </c>
      <c r="C69" s="198">
        <v>51491624</v>
      </c>
      <c r="D69" s="199" t="s">
        <v>63</v>
      </c>
      <c r="E69" s="198">
        <v>40</v>
      </c>
      <c r="F69" s="28">
        <v>190.172</v>
      </c>
      <c r="G69" s="28">
        <v>190.459</v>
      </c>
      <c r="H69" s="18">
        <f>(G69-F69)*E69</f>
        <v>11.480000000000246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22015.000000000269</v>
      </c>
      <c r="I70" s="85">
        <f>H70-H73-H68-H69</f>
        <v>-538.75999999943883</v>
      </c>
      <c r="J70" s="25">
        <f>I70/H70</f>
        <v>-2.4472405178261741E-2</v>
      </c>
    </row>
    <row r="71" spans="1:10" ht="15.75" x14ac:dyDescent="0.25">
      <c r="A71" s="27" t="s">
        <v>91</v>
      </c>
      <c r="B71" s="198" t="s">
        <v>52</v>
      </c>
      <c r="C71" s="86">
        <v>51097588</v>
      </c>
      <c r="D71" s="199" t="s">
        <v>75</v>
      </c>
      <c r="E71" s="198">
        <v>12000</v>
      </c>
      <c r="F71" s="21">
        <v>371.702</v>
      </c>
      <c r="G71" s="21">
        <v>372.87099999999998</v>
      </c>
      <c r="H71" s="18">
        <f>(G71-F71)*E71</f>
        <v>14027.999999999793</v>
      </c>
      <c r="I71" s="51"/>
      <c r="J71" s="58"/>
    </row>
    <row r="72" spans="1:10" ht="15.75" x14ac:dyDescent="0.25">
      <c r="A72" s="27" t="s">
        <v>92</v>
      </c>
      <c r="B72" s="198" t="s">
        <v>52</v>
      </c>
      <c r="C72" s="86">
        <v>51431335</v>
      </c>
      <c r="D72" s="199" t="s">
        <v>75</v>
      </c>
      <c r="E72" s="198">
        <v>12000</v>
      </c>
      <c r="F72" s="21">
        <v>293.29000000000002</v>
      </c>
      <c r="G72" s="21">
        <v>293.98500000000001</v>
      </c>
      <c r="H72" s="18">
        <f>(G72-F72)*E72</f>
        <v>8339.9999999999181</v>
      </c>
      <c r="I72" s="51"/>
      <c r="J72" s="58"/>
    </row>
    <row r="73" spans="1:10" ht="15.75" x14ac:dyDescent="0.25">
      <c r="A73" s="87" t="s">
        <v>93</v>
      </c>
      <c r="B73" s="198" t="s">
        <v>27</v>
      </c>
      <c r="C73" s="198"/>
      <c r="D73" s="199"/>
      <c r="E73" s="198"/>
      <c r="F73" s="21"/>
      <c r="G73" s="21"/>
      <c r="H73" s="48">
        <f>H71+ H72</f>
        <v>22367.999999999709</v>
      </c>
      <c r="I73" s="85">
        <f>H73-H81</f>
        <v>-47.999999999821739</v>
      </c>
      <c r="J73" s="25">
        <f>I73/H73</f>
        <v>-2.1459227467731743E-3</v>
      </c>
    </row>
    <row r="74" spans="1:10" ht="15.75" x14ac:dyDescent="0.25">
      <c r="A74" s="27" t="s">
        <v>94</v>
      </c>
      <c r="B74" s="198" t="s">
        <v>52</v>
      </c>
      <c r="C74" s="86">
        <v>51097676</v>
      </c>
      <c r="D74" s="88" t="s">
        <v>63</v>
      </c>
      <c r="E74" s="198">
        <v>2400</v>
      </c>
      <c r="F74" s="21">
        <v>778.79300000000001</v>
      </c>
      <c r="G74" s="21">
        <v>781.10699999999997</v>
      </c>
      <c r="H74" s="18">
        <f>(G74-F74)*E74</f>
        <v>5553.5999999999149</v>
      </c>
      <c r="I74" s="51"/>
      <c r="J74" s="58"/>
    </row>
    <row r="75" spans="1:10" ht="15.75" x14ac:dyDescent="0.25">
      <c r="A75" s="27" t="s">
        <v>95</v>
      </c>
      <c r="B75" s="198" t="s">
        <v>52</v>
      </c>
      <c r="C75" s="86">
        <v>51431355</v>
      </c>
      <c r="D75" s="199" t="s">
        <v>21</v>
      </c>
      <c r="E75" s="199">
        <v>3600</v>
      </c>
      <c r="F75" s="21">
        <v>400.09300000000002</v>
      </c>
      <c r="G75" s="21">
        <v>401.36700000000002</v>
      </c>
      <c r="H75" s="18">
        <f>(G75-F75)*E75</f>
        <v>4586.4000000000033</v>
      </c>
      <c r="I75" s="51"/>
      <c r="J75" s="52"/>
    </row>
    <row r="76" spans="1:10" ht="15.75" x14ac:dyDescent="0.25">
      <c r="A76" s="27" t="s">
        <v>96</v>
      </c>
      <c r="B76" s="198" t="s">
        <v>52</v>
      </c>
      <c r="C76" s="86">
        <v>51259331</v>
      </c>
      <c r="D76" s="88" t="s">
        <v>37</v>
      </c>
      <c r="E76" s="198">
        <v>600</v>
      </c>
      <c r="F76" s="21">
        <v>184.82</v>
      </c>
      <c r="G76" s="21">
        <v>185.34800000000001</v>
      </c>
      <c r="H76" s="18">
        <f>(G76-F76)*E76</f>
        <v>316.80000000001201</v>
      </c>
      <c r="I76" s="51"/>
      <c r="J76" s="52"/>
    </row>
    <row r="77" spans="1:10" ht="15.75" x14ac:dyDescent="0.25">
      <c r="A77" s="27" t="s">
        <v>97</v>
      </c>
      <c r="B77" s="198" t="s">
        <v>52</v>
      </c>
      <c r="C77" s="86">
        <v>51259326</v>
      </c>
      <c r="D77" s="88" t="s">
        <v>14</v>
      </c>
      <c r="E77" s="198">
        <v>7200</v>
      </c>
      <c r="F77" s="21">
        <v>367.06299999999999</v>
      </c>
      <c r="G77" s="21">
        <v>368.24599999999998</v>
      </c>
      <c r="H77" s="18">
        <f>(G77-F77)*E77</f>
        <v>8517.5999999999476</v>
      </c>
      <c r="I77" s="51"/>
      <c r="J77" s="52"/>
    </row>
    <row r="78" spans="1:10" ht="15.75" x14ac:dyDescent="0.25">
      <c r="A78" s="27" t="s">
        <v>98</v>
      </c>
      <c r="B78" s="198" t="s">
        <v>52</v>
      </c>
      <c r="C78" s="86">
        <v>51431351</v>
      </c>
      <c r="D78" s="88" t="s">
        <v>14</v>
      </c>
      <c r="E78" s="198">
        <v>7200</v>
      </c>
      <c r="F78" s="21">
        <v>268.29000000000002</v>
      </c>
      <c r="G78" s="21">
        <v>268.76799999999997</v>
      </c>
      <c r="H78" s="18">
        <f>(G78-F78)*E78</f>
        <v>3441.5999999996529</v>
      </c>
      <c r="I78" s="51"/>
      <c r="J78" s="52"/>
    </row>
    <row r="79" spans="1:10" ht="15.75" x14ac:dyDescent="0.25">
      <c r="A79" s="89" t="s">
        <v>99</v>
      </c>
      <c r="B79" s="198" t="s">
        <v>52</v>
      </c>
      <c r="C79" s="90">
        <v>51097666</v>
      </c>
      <c r="D79" s="88" t="s">
        <v>63</v>
      </c>
      <c r="E79" s="198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198" t="s">
        <v>52</v>
      </c>
      <c r="C80" s="90">
        <v>51259323</v>
      </c>
      <c r="D80" s="88" t="s">
        <v>63</v>
      </c>
      <c r="E80" s="198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22415.999999999531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198" t="s">
        <v>52</v>
      </c>
      <c r="C83" s="106">
        <v>51431297</v>
      </c>
      <c r="D83" s="199" t="s">
        <v>53</v>
      </c>
      <c r="E83" s="100">
        <v>7000</v>
      </c>
      <c r="F83" s="17">
        <v>332.387</v>
      </c>
      <c r="G83" s="17">
        <v>333.11099999999999</v>
      </c>
      <c r="H83" s="18">
        <f>(G83-F83)*E83</f>
        <v>5067.9999999999272</v>
      </c>
      <c r="I83" s="107"/>
      <c r="J83" s="108"/>
    </row>
    <row r="84" spans="1:10" ht="15.75" x14ac:dyDescent="0.25">
      <c r="A84" s="105" t="s">
        <v>86</v>
      </c>
      <c r="B84" s="198" t="s">
        <v>52</v>
      </c>
      <c r="C84" s="106">
        <v>51431332</v>
      </c>
      <c r="D84" s="199" t="s">
        <v>53</v>
      </c>
      <c r="E84" s="100">
        <v>7000</v>
      </c>
      <c r="F84" s="17">
        <v>372.709</v>
      </c>
      <c r="G84" s="17">
        <v>374.78800000000001</v>
      </c>
      <c r="H84" s="18">
        <f>(G84-F84)*E84</f>
        <v>14553.000000000055</v>
      </c>
      <c r="I84" s="198"/>
      <c r="J84" s="58"/>
    </row>
    <row r="85" spans="1:10" ht="15.75" x14ac:dyDescent="0.25">
      <c r="A85" s="27" t="s">
        <v>87</v>
      </c>
      <c r="B85" s="198" t="s">
        <v>103</v>
      </c>
      <c r="C85" s="109">
        <v>150773</v>
      </c>
      <c r="D85" s="199" t="s">
        <v>53</v>
      </c>
      <c r="E85" s="109">
        <v>20</v>
      </c>
      <c r="F85" s="17">
        <v>15800.4</v>
      </c>
      <c r="G85" s="17">
        <v>15802.3</v>
      </c>
      <c r="H85" s="18">
        <f>(G85-F85)*E85</f>
        <v>37.999999999992724</v>
      </c>
      <c r="I85" s="51"/>
      <c r="J85" s="58"/>
    </row>
    <row r="86" spans="1:10" ht="15.75" x14ac:dyDescent="0.25">
      <c r="A86" s="27" t="s">
        <v>89</v>
      </c>
      <c r="B86" s="198" t="s">
        <v>103</v>
      </c>
      <c r="C86" s="109">
        <v>150791</v>
      </c>
      <c r="D86" s="199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200"/>
      <c r="C87" s="32"/>
      <c r="D87" s="82"/>
      <c r="E87" s="82"/>
      <c r="F87" s="21"/>
      <c r="G87" s="21"/>
      <c r="H87" s="48">
        <f>H83+H84</f>
        <v>19620.999999999982</v>
      </c>
      <c r="I87" s="85">
        <f>H87-H90-H85-H86</f>
        <v>344.60000000035143</v>
      </c>
      <c r="J87" s="25">
        <f>I87/H87</f>
        <v>1.7562815350917475E-2</v>
      </c>
    </row>
    <row r="88" spans="1:10" ht="15.75" x14ac:dyDescent="0.25">
      <c r="A88" s="27" t="s">
        <v>104</v>
      </c>
      <c r="B88" s="198" t="s">
        <v>52</v>
      </c>
      <c r="C88" s="106">
        <v>51431342</v>
      </c>
      <c r="D88" s="88" t="s">
        <v>34</v>
      </c>
      <c r="E88" s="198">
        <v>4800</v>
      </c>
      <c r="F88" s="21">
        <v>472.96300000000002</v>
      </c>
      <c r="G88" s="21">
        <v>473.98899999999998</v>
      </c>
      <c r="H88" s="18">
        <f>(G88-F88)*E88</f>
        <v>4924.7999999997774</v>
      </c>
      <c r="I88" s="51"/>
      <c r="J88" s="52"/>
    </row>
    <row r="89" spans="1:10" ht="15.75" x14ac:dyDescent="0.25">
      <c r="A89" s="27" t="s">
        <v>105</v>
      </c>
      <c r="B89" s="198" t="s">
        <v>52</v>
      </c>
      <c r="C89" s="106">
        <v>51431343</v>
      </c>
      <c r="D89" s="88" t="s">
        <v>34</v>
      </c>
      <c r="E89" s="198">
        <v>4800</v>
      </c>
      <c r="F89" s="21">
        <v>525.73</v>
      </c>
      <c r="G89" s="21">
        <v>528.71199999999999</v>
      </c>
      <c r="H89" s="18">
        <f>(G89-F89)*E89</f>
        <v>14313.59999999986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19238.399999999638</v>
      </c>
      <c r="I90" s="85">
        <f>H90-H98</f>
        <v>-10.400000000481668</v>
      </c>
      <c r="J90" s="25">
        <f>I90/H90</f>
        <v>-5.4058549570036303E-4</v>
      </c>
    </row>
    <row r="91" spans="1:10" ht="15.75" x14ac:dyDescent="0.25">
      <c r="A91" s="27" t="s">
        <v>107</v>
      </c>
      <c r="B91" s="198" t="s">
        <v>52</v>
      </c>
      <c r="C91" s="106">
        <v>51431347</v>
      </c>
      <c r="D91" s="199" t="s">
        <v>53</v>
      </c>
      <c r="E91" s="198">
        <v>1200</v>
      </c>
      <c r="F91" s="21">
        <v>1258.857</v>
      </c>
      <c r="G91" s="21">
        <v>1267.404</v>
      </c>
      <c r="H91" s="18">
        <f>(G91-F91)*E91</f>
        <v>10256.400000000031</v>
      </c>
      <c r="I91" s="51"/>
      <c r="J91" s="52"/>
    </row>
    <row r="92" spans="1:10" ht="15.75" x14ac:dyDescent="0.25">
      <c r="A92" s="27" t="s">
        <v>108</v>
      </c>
      <c r="B92" s="198" t="s">
        <v>52</v>
      </c>
      <c r="C92" s="106">
        <v>51431339</v>
      </c>
      <c r="D92" s="199" t="s">
        <v>53</v>
      </c>
      <c r="E92" s="198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198" t="s">
        <v>52</v>
      </c>
      <c r="C93" s="106">
        <v>51217244</v>
      </c>
      <c r="D93" s="198" t="s">
        <v>37</v>
      </c>
      <c r="E93" s="198">
        <v>600</v>
      </c>
      <c r="F93" s="30">
        <v>366.50599999999997</v>
      </c>
      <c r="G93" s="30">
        <v>369.10399999999998</v>
      </c>
      <c r="H93" s="18">
        <f t="shared" si="4"/>
        <v>1558.8000000000079</v>
      </c>
      <c r="I93" s="51"/>
      <c r="J93" s="52"/>
    </row>
    <row r="94" spans="1:10" ht="15.75" x14ac:dyDescent="0.25">
      <c r="A94" s="27" t="s">
        <v>110</v>
      </c>
      <c r="B94" s="198" t="s">
        <v>52</v>
      </c>
      <c r="C94" s="106">
        <v>51217267</v>
      </c>
      <c r="D94" s="88" t="s">
        <v>63</v>
      </c>
      <c r="E94" s="198">
        <v>2400</v>
      </c>
      <c r="F94" s="30">
        <v>24.783999999999999</v>
      </c>
      <c r="G94" s="30">
        <v>25.827999999999999</v>
      </c>
      <c r="H94" s="18">
        <f t="shared" si="4"/>
        <v>2505.6000000000013</v>
      </c>
      <c r="I94" s="51"/>
      <c r="J94" s="52"/>
    </row>
    <row r="95" spans="1:10" ht="15.75" x14ac:dyDescent="0.25">
      <c r="A95" s="27" t="s">
        <v>111</v>
      </c>
      <c r="B95" s="198" t="s">
        <v>52</v>
      </c>
      <c r="C95" s="198">
        <v>51555165</v>
      </c>
      <c r="D95" s="199" t="s">
        <v>53</v>
      </c>
      <c r="E95" s="198">
        <v>1200</v>
      </c>
      <c r="F95" s="30">
        <v>1007.984</v>
      </c>
      <c r="G95" s="30">
        <v>1007.984</v>
      </c>
      <c r="H95" s="18">
        <f t="shared" si="4"/>
        <v>0</v>
      </c>
      <c r="I95" s="51" t="s">
        <v>27</v>
      </c>
      <c r="J95" s="52"/>
    </row>
    <row r="96" spans="1:10" ht="15.75" x14ac:dyDescent="0.25">
      <c r="A96" s="113" t="s">
        <v>112</v>
      </c>
      <c r="B96" s="198" t="s">
        <v>52</v>
      </c>
      <c r="C96" s="106">
        <v>51431346</v>
      </c>
      <c r="D96" s="114" t="s">
        <v>37</v>
      </c>
      <c r="E96" s="114">
        <v>600</v>
      </c>
      <c r="F96" s="30">
        <v>393.84300000000002</v>
      </c>
      <c r="G96" s="30">
        <v>394.13900000000001</v>
      </c>
      <c r="H96" s="115">
        <f t="shared" si="4"/>
        <v>177.59999999999536</v>
      </c>
      <c r="I96" s="116"/>
      <c r="J96" s="117"/>
    </row>
    <row r="97" spans="1:10" ht="15.75" x14ac:dyDescent="0.25">
      <c r="A97" s="27" t="s">
        <v>113</v>
      </c>
      <c r="B97" s="198" t="s">
        <v>52</v>
      </c>
      <c r="C97" s="106">
        <v>51431352</v>
      </c>
      <c r="D97" s="88" t="s">
        <v>21</v>
      </c>
      <c r="E97" s="198">
        <v>3600</v>
      </c>
      <c r="F97" s="21">
        <v>269.029</v>
      </c>
      <c r="G97" s="21">
        <v>270.33800000000002</v>
      </c>
      <c r="H97" s="18">
        <f t="shared" si="4"/>
        <v>4712.4000000000933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19248.800000000119</v>
      </c>
      <c r="I98" s="51"/>
      <c r="J98" s="52"/>
    </row>
    <row r="99" spans="1:10" ht="15.75" x14ac:dyDescent="0.25">
      <c r="A99" s="45" t="s">
        <v>114</v>
      </c>
      <c r="B99" s="198" t="s">
        <v>52</v>
      </c>
      <c r="C99" s="120">
        <v>51431357</v>
      </c>
      <c r="D99" s="199" t="s">
        <v>63</v>
      </c>
      <c r="E99" s="199">
        <v>14000</v>
      </c>
      <c r="F99" s="28">
        <v>919.125</v>
      </c>
      <c r="G99" s="28">
        <v>922.63099999999997</v>
      </c>
      <c r="H99" s="121">
        <f t="shared" si="4"/>
        <v>49083.999999999607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zoomScaleNormal="100" workbookViewId="0">
      <selection sqref="A1:J99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141</v>
      </c>
      <c r="G2" s="4" t="s">
        <v>142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201" t="s">
        <v>13</v>
      </c>
      <c r="C4" s="201">
        <v>51555166</v>
      </c>
      <c r="D4" s="201" t="s">
        <v>14</v>
      </c>
      <c r="E4" s="201">
        <v>132000</v>
      </c>
      <c r="F4" s="17">
        <v>7.0910000000000002</v>
      </c>
      <c r="G4" s="17">
        <v>7.0979999999999999</v>
      </c>
      <c r="H4" s="18">
        <f>(G4-F4)*E4</f>
        <v>923.9999999999568</v>
      </c>
      <c r="I4" s="19"/>
      <c r="J4" s="20"/>
    </row>
    <row r="5" spans="1:10" ht="15.75" x14ac:dyDescent="0.25">
      <c r="A5" s="15" t="s">
        <v>15</v>
      </c>
      <c r="B5" s="201" t="s">
        <v>13</v>
      </c>
      <c r="C5" s="201">
        <v>51555191</v>
      </c>
      <c r="D5" s="201" t="s">
        <v>14</v>
      </c>
      <c r="E5" s="201">
        <v>132000</v>
      </c>
      <c r="F5" s="21">
        <v>419.00599999999997</v>
      </c>
      <c r="G5" s="21">
        <v>420.68</v>
      </c>
      <c r="H5" s="18">
        <f>(G5-F5)*E5</f>
        <v>220968.00000000463</v>
      </c>
      <c r="I5" s="19"/>
      <c r="J5" s="20"/>
    </row>
    <row r="6" spans="1:10" ht="15.75" x14ac:dyDescent="0.25">
      <c r="A6" s="218" t="s">
        <v>16</v>
      </c>
      <c r="B6" s="219"/>
      <c r="C6" s="201"/>
      <c r="D6" s="202"/>
      <c r="E6" s="201"/>
      <c r="H6" s="23">
        <f>H4+H5</f>
        <v>221892.0000000046</v>
      </c>
      <c r="I6" s="24">
        <f>H6-H9-H19</f>
        <v>1842.0000000041255</v>
      </c>
      <c r="J6" s="25">
        <f>I6/H6</f>
        <v>8.3013357849948954E-3</v>
      </c>
    </row>
    <row r="7" spans="1:10" ht="15.75" x14ac:dyDescent="0.25">
      <c r="A7" s="26" t="s">
        <v>17</v>
      </c>
      <c r="B7" s="201" t="s">
        <v>13</v>
      </c>
      <c r="C7" s="201">
        <v>51097629</v>
      </c>
      <c r="D7" s="202" t="s">
        <v>14</v>
      </c>
      <c r="E7" s="201">
        <v>42000</v>
      </c>
      <c r="F7" s="21">
        <v>1209.05</v>
      </c>
      <c r="G7" s="21">
        <v>1212.896</v>
      </c>
      <c r="H7" s="18">
        <f>(G7-F7)*E7</f>
        <v>161532.00000000015</v>
      </c>
      <c r="I7" s="19"/>
      <c r="J7" s="20"/>
    </row>
    <row r="8" spans="1:10" ht="15.75" x14ac:dyDescent="0.25">
      <c r="A8" s="26" t="s">
        <v>18</v>
      </c>
      <c r="B8" s="201" t="s">
        <v>13</v>
      </c>
      <c r="C8" s="201">
        <v>51616820</v>
      </c>
      <c r="D8" s="202" t="s">
        <v>14</v>
      </c>
      <c r="E8" s="201">
        <v>42000</v>
      </c>
      <c r="F8" s="21">
        <v>15.516999999999999</v>
      </c>
      <c r="G8" s="21">
        <v>15.526</v>
      </c>
      <c r="H8" s="18">
        <f>(G8-F8)*E8</f>
        <v>378.00000000001432</v>
      </c>
      <c r="I8" s="19"/>
      <c r="J8" s="20"/>
    </row>
    <row r="9" spans="1:10" ht="15.75" x14ac:dyDescent="0.25">
      <c r="A9" s="218" t="s">
        <v>19</v>
      </c>
      <c r="B9" s="219"/>
      <c r="C9" s="201"/>
      <c r="D9" s="202"/>
      <c r="E9" s="201"/>
      <c r="F9" s="21"/>
      <c r="G9" s="21"/>
      <c r="H9" s="23">
        <f>H7+H8</f>
        <v>161910.00000000015</v>
      </c>
      <c r="I9" s="24">
        <f>H9-H16</f>
        <v>84.000000000494765</v>
      </c>
      <c r="J9" s="25">
        <f>I9/H9</f>
        <v>5.1880674449073373E-4</v>
      </c>
    </row>
    <row r="10" spans="1:10" ht="15.75" x14ac:dyDescent="0.25">
      <c r="A10" s="27" t="s">
        <v>20</v>
      </c>
      <c r="B10" s="201" t="s">
        <v>13</v>
      </c>
      <c r="C10" s="201">
        <v>51217286</v>
      </c>
      <c r="D10" s="202" t="s">
        <v>21</v>
      </c>
      <c r="E10" s="201">
        <v>21000</v>
      </c>
      <c r="F10" s="21">
        <v>951.39599999999996</v>
      </c>
      <c r="G10" s="21">
        <v>954.25300000000004</v>
      </c>
      <c r="H10" s="18">
        <f t="shared" ref="H10:H15" si="0">(G10-F10)*E10</f>
        <v>59997.000000001775</v>
      </c>
      <c r="I10" s="19"/>
      <c r="J10" s="20"/>
    </row>
    <row r="11" spans="1:10" ht="15.75" x14ac:dyDescent="0.25">
      <c r="A11" s="27" t="s">
        <v>22</v>
      </c>
      <c r="B11" s="201" t="s">
        <v>13</v>
      </c>
      <c r="C11" s="201">
        <v>51217292</v>
      </c>
      <c r="D11" s="202" t="s">
        <v>21</v>
      </c>
      <c r="E11" s="201">
        <v>21000</v>
      </c>
      <c r="F11" s="28">
        <v>4.0250000000000004</v>
      </c>
      <c r="G11" s="28">
        <v>4.0309999999999997</v>
      </c>
      <c r="H11" s="18">
        <f>(G11-F11)*E11</f>
        <v>125.99999999998613</v>
      </c>
      <c r="I11" s="19"/>
      <c r="J11" s="20"/>
    </row>
    <row r="12" spans="1:10" ht="15.75" x14ac:dyDescent="0.25">
      <c r="A12" s="27" t="s">
        <v>23</v>
      </c>
      <c r="B12" s="201" t="s">
        <v>13</v>
      </c>
      <c r="C12" s="201">
        <v>51217271</v>
      </c>
      <c r="D12" s="202" t="s">
        <v>21</v>
      </c>
      <c r="E12" s="201">
        <v>21000</v>
      </c>
      <c r="F12" s="21">
        <v>716.12400000000002</v>
      </c>
      <c r="G12" s="21">
        <v>718.30899999999997</v>
      </c>
      <c r="H12" s="18">
        <f t="shared" si="0"/>
        <v>45884.99999999885</v>
      </c>
      <c r="I12" s="19"/>
      <c r="J12" s="20"/>
    </row>
    <row r="13" spans="1:10" ht="15.75" x14ac:dyDescent="0.25">
      <c r="A13" s="27" t="s">
        <v>24</v>
      </c>
      <c r="B13" s="201" t="s">
        <v>13</v>
      </c>
      <c r="C13" s="201">
        <v>51217276</v>
      </c>
      <c r="D13" s="202" t="s">
        <v>21</v>
      </c>
      <c r="E13" s="201">
        <v>21000</v>
      </c>
      <c r="F13" s="28">
        <v>0.627</v>
      </c>
      <c r="G13" s="28">
        <v>0.627</v>
      </c>
      <c r="H13" s="18">
        <f>(G13-F13)*E13</f>
        <v>0</v>
      </c>
      <c r="I13" s="19"/>
      <c r="J13" s="20"/>
    </row>
    <row r="14" spans="1:10" ht="15.75" x14ac:dyDescent="0.25">
      <c r="A14" s="27" t="s">
        <v>25</v>
      </c>
      <c r="B14" s="201" t="s">
        <v>13</v>
      </c>
      <c r="C14" s="201">
        <v>51100990</v>
      </c>
      <c r="D14" s="202" t="s">
        <v>21</v>
      </c>
      <c r="E14" s="201">
        <v>21000</v>
      </c>
      <c r="F14" s="29">
        <v>769.97</v>
      </c>
      <c r="G14" s="29">
        <v>772.62099999999998</v>
      </c>
      <c r="H14" s="18">
        <f t="shared" si="0"/>
        <v>55670.999999999025</v>
      </c>
      <c r="I14" s="19"/>
      <c r="J14" s="20"/>
    </row>
    <row r="15" spans="1:10" ht="15.75" x14ac:dyDescent="0.25">
      <c r="A15" s="27" t="s">
        <v>26</v>
      </c>
      <c r="B15" s="201" t="s">
        <v>13</v>
      </c>
      <c r="C15" s="201">
        <v>51097622</v>
      </c>
      <c r="D15" s="202" t="s">
        <v>21</v>
      </c>
      <c r="E15" s="201">
        <v>21000</v>
      </c>
      <c r="F15" s="21">
        <v>9.4640000000000004</v>
      </c>
      <c r="G15" s="21">
        <v>9.4710000000000001</v>
      </c>
      <c r="H15" s="18">
        <f t="shared" si="0"/>
        <v>146.99999999999312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201"/>
      <c r="D16" s="202"/>
      <c r="E16" s="201"/>
      <c r="F16" s="21"/>
      <c r="G16" s="21"/>
      <c r="H16" s="23">
        <f>H10+H11+H12+H13+H14+H15</f>
        <v>161825.99999999965</v>
      </c>
      <c r="I16" s="19"/>
      <c r="J16" s="20"/>
    </row>
    <row r="17" spans="1:10" ht="15.75" x14ac:dyDescent="0.25">
      <c r="A17" s="26" t="s">
        <v>29</v>
      </c>
      <c r="B17" s="201" t="s">
        <v>13</v>
      </c>
      <c r="C17" s="201">
        <v>51097617</v>
      </c>
      <c r="D17" s="202" t="s">
        <v>30</v>
      </c>
      <c r="E17" s="201">
        <v>18000</v>
      </c>
      <c r="F17" s="30">
        <v>953.03499999999997</v>
      </c>
      <c r="G17" s="30">
        <v>956.26499999999999</v>
      </c>
      <c r="H17" s="18">
        <f>(G17-F17)*E17</f>
        <v>58140.000000000327</v>
      </c>
      <c r="I17" s="19"/>
      <c r="J17" s="20"/>
    </row>
    <row r="18" spans="1:10" ht="15.75" x14ac:dyDescent="0.25">
      <c r="A18" s="26" t="s">
        <v>31</v>
      </c>
      <c r="B18" s="201" t="s">
        <v>13</v>
      </c>
      <c r="C18" s="201">
        <v>51097655</v>
      </c>
      <c r="D18" s="202" t="s">
        <v>30</v>
      </c>
      <c r="E18" s="201">
        <v>18000</v>
      </c>
      <c r="F18" s="30">
        <v>11.542</v>
      </c>
      <c r="G18" s="30">
        <v>11.542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201"/>
      <c r="D19" s="202"/>
      <c r="E19" s="201"/>
      <c r="F19" s="30"/>
      <c r="G19" s="30"/>
      <c r="H19" s="23">
        <f>H17+H18</f>
        <v>58140.000000000327</v>
      </c>
      <c r="I19" s="24">
        <f>H19-H34</f>
        <v>501.0000000006039</v>
      </c>
      <c r="J19" s="25">
        <f>I19/H19</f>
        <v>8.6171310629618355E-3</v>
      </c>
    </row>
    <row r="20" spans="1:10" ht="15.75" x14ac:dyDescent="0.25">
      <c r="A20" s="15" t="s">
        <v>33</v>
      </c>
      <c r="B20" s="201" t="s">
        <v>13</v>
      </c>
      <c r="C20" s="201">
        <v>51217282</v>
      </c>
      <c r="D20" s="202" t="s">
        <v>34</v>
      </c>
      <c r="E20" s="201">
        <v>4800</v>
      </c>
      <c r="F20" s="21">
        <v>447.15100000000001</v>
      </c>
      <c r="G20" s="21">
        <v>453.52</v>
      </c>
      <c r="H20" s="18">
        <f t="shared" ref="H20:H33" si="1">(G20-F20)*E20</f>
        <v>30571.199999999862</v>
      </c>
      <c r="I20" s="19" t="s">
        <v>27</v>
      </c>
      <c r="J20" s="20"/>
    </row>
    <row r="21" spans="1:10" ht="15.75" x14ac:dyDescent="0.25">
      <c r="A21" s="15" t="s">
        <v>35</v>
      </c>
      <c r="B21" s="201" t="s">
        <v>13</v>
      </c>
      <c r="C21" s="201">
        <v>51217274</v>
      </c>
      <c r="D21" s="202" t="s">
        <v>34</v>
      </c>
      <c r="E21" s="201">
        <v>4800</v>
      </c>
      <c r="F21" s="21">
        <v>1430.884</v>
      </c>
      <c r="G21" s="21">
        <v>1431.2159999999999</v>
      </c>
      <c r="H21" s="18">
        <f t="shared" si="1"/>
        <v>1593.5999999994237</v>
      </c>
      <c r="I21" s="19"/>
      <c r="J21" s="20"/>
    </row>
    <row r="22" spans="1:10" ht="15.75" x14ac:dyDescent="0.25">
      <c r="A22" s="15" t="s">
        <v>36</v>
      </c>
      <c r="B22" s="201" t="s">
        <v>13</v>
      </c>
      <c r="C22" s="201">
        <v>51097664</v>
      </c>
      <c r="D22" s="202" t="s">
        <v>37</v>
      </c>
      <c r="E22" s="201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201" t="s">
        <v>13</v>
      </c>
      <c r="C23" s="201">
        <v>51097615</v>
      </c>
      <c r="D23" s="202" t="s">
        <v>37</v>
      </c>
      <c r="E23" s="201">
        <v>600</v>
      </c>
      <c r="F23" s="21">
        <v>51.055999999999997</v>
      </c>
      <c r="G23" s="21">
        <v>51.345999999999997</v>
      </c>
      <c r="H23" s="18">
        <f t="shared" si="1"/>
        <v>173.99999999999949</v>
      </c>
      <c r="I23" s="19"/>
      <c r="J23" s="20"/>
    </row>
    <row r="24" spans="1:10" ht="15.75" x14ac:dyDescent="0.25">
      <c r="A24" s="15" t="s">
        <v>39</v>
      </c>
      <c r="B24" s="201" t="s">
        <v>13</v>
      </c>
      <c r="C24" s="201">
        <v>51217264</v>
      </c>
      <c r="D24" s="202" t="s">
        <v>37</v>
      </c>
      <c r="E24" s="201">
        <v>600</v>
      </c>
      <c r="F24" s="21">
        <v>116.97799999999999</v>
      </c>
      <c r="G24" s="21">
        <v>117.333</v>
      </c>
      <c r="H24" s="18">
        <f t="shared" si="1"/>
        <v>213.00000000000239</v>
      </c>
      <c r="I24" s="19"/>
      <c r="J24" s="20"/>
    </row>
    <row r="25" spans="1:10" ht="15.75" x14ac:dyDescent="0.25">
      <c r="A25" s="15" t="s">
        <v>40</v>
      </c>
      <c r="B25" s="201" t="s">
        <v>13</v>
      </c>
      <c r="C25" s="201">
        <v>51217288</v>
      </c>
      <c r="D25" s="202" t="s">
        <v>37</v>
      </c>
      <c r="E25" s="201">
        <v>600</v>
      </c>
      <c r="F25" s="21">
        <v>21.196999999999999</v>
      </c>
      <c r="G25" s="21">
        <v>21.228000000000002</v>
      </c>
      <c r="H25" s="18">
        <f t="shared" si="1"/>
        <v>18.600000000001415</v>
      </c>
      <c r="I25" s="19" t="s">
        <v>27</v>
      </c>
      <c r="J25" s="20"/>
    </row>
    <row r="26" spans="1:10" ht="15.75" x14ac:dyDescent="0.25">
      <c r="A26" s="15" t="s">
        <v>41</v>
      </c>
      <c r="B26" s="201" t="s">
        <v>13</v>
      </c>
      <c r="C26" s="201">
        <v>51217279</v>
      </c>
      <c r="D26" s="202" t="s">
        <v>37</v>
      </c>
      <c r="E26" s="201">
        <v>600</v>
      </c>
      <c r="F26" s="21">
        <v>16.556000000000001</v>
      </c>
      <c r="G26" s="21">
        <v>16.61</v>
      </c>
      <c r="H26" s="18">
        <f t="shared" si="1"/>
        <v>32.399999999999096</v>
      </c>
      <c r="I26" s="19" t="s">
        <v>27</v>
      </c>
      <c r="J26" s="20"/>
    </row>
    <row r="27" spans="1:10" ht="15.75" x14ac:dyDescent="0.25">
      <c r="A27" s="15" t="s">
        <v>42</v>
      </c>
      <c r="B27" s="201" t="s">
        <v>13</v>
      </c>
      <c r="C27" s="201">
        <v>51217272</v>
      </c>
      <c r="D27" s="202" t="s">
        <v>37</v>
      </c>
      <c r="E27" s="201">
        <v>600</v>
      </c>
      <c r="F27" s="31">
        <v>16.238</v>
      </c>
      <c r="G27" s="31">
        <v>16.291</v>
      </c>
      <c r="H27" s="18">
        <f t="shared" si="1"/>
        <v>31.800000000000495</v>
      </c>
      <c r="I27" s="19"/>
      <c r="J27" s="20"/>
    </row>
    <row r="28" spans="1:10" ht="15.75" x14ac:dyDescent="0.25">
      <c r="A28" s="15" t="s">
        <v>43</v>
      </c>
      <c r="B28" s="201" t="s">
        <v>13</v>
      </c>
      <c r="C28" s="201">
        <v>51616744</v>
      </c>
      <c r="D28" s="202">
        <f>300/5</f>
        <v>60</v>
      </c>
      <c r="E28" s="201">
        <v>3600</v>
      </c>
      <c r="F28" s="31">
        <v>109.78400000000001</v>
      </c>
      <c r="G28" s="31">
        <v>109.78400000000001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201" t="s">
        <v>13</v>
      </c>
      <c r="C29" s="201">
        <v>51555226</v>
      </c>
      <c r="D29" s="202">
        <f>300/5</f>
        <v>60</v>
      </c>
      <c r="E29" s="201">
        <v>3600</v>
      </c>
      <c r="F29" s="31">
        <v>596.23699999999997</v>
      </c>
      <c r="G29" s="31">
        <v>597.77200000000005</v>
      </c>
      <c r="H29" s="18">
        <f>(G29-F29)*E29</f>
        <v>5526.0000000002947</v>
      </c>
      <c r="I29" s="19"/>
      <c r="J29" s="20"/>
    </row>
    <row r="30" spans="1:10" ht="15.75" x14ac:dyDescent="0.25">
      <c r="A30" s="15" t="s">
        <v>45</v>
      </c>
      <c r="B30" s="201" t="s">
        <v>13</v>
      </c>
      <c r="C30" s="201">
        <v>51097658</v>
      </c>
      <c r="D30" s="202" t="s">
        <v>34</v>
      </c>
      <c r="E30" s="201">
        <v>4800</v>
      </c>
      <c r="F30" s="31">
        <v>745.61900000000003</v>
      </c>
      <c r="G30" s="31">
        <v>747.47400000000005</v>
      </c>
      <c r="H30" s="18">
        <f t="shared" si="1"/>
        <v>8904.0000000000873</v>
      </c>
      <c r="I30" s="19"/>
      <c r="J30" s="20"/>
    </row>
    <row r="31" spans="1:10" ht="15.75" x14ac:dyDescent="0.25">
      <c r="A31" s="15" t="s">
        <v>46</v>
      </c>
      <c r="B31" s="201" t="s">
        <v>13</v>
      </c>
      <c r="C31" s="201">
        <v>51097635</v>
      </c>
      <c r="D31" s="202" t="s">
        <v>34</v>
      </c>
      <c r="E31" s="201">
        <v>4800</v>
      </c>
      <c r="F31" s="31">
        <v>48.511000000000003</v>
      </c>
      <c r="G31" s="31">
        <v>48.514000000000003</v>
      </c>
      <c r="H31" s="18">
        <f t="shared" si="1"/>
        <v>14.400000000000546</v>
      </c>
      <c r="I31" s="19"/>
      <c r="J31" s="20"/>
    </row>
    <row r="32" spans="1:10" ht="15.75" x14ac:dyDescent="0.25">
      <c r="A32" s="15" t="s">
        <v>47</v>
      </c>
      <c r="B32" s="201" t="s">
        <v>13</v>
      </c>
      <c r="C32" s="32">
        <v>51097633</v>
      </c>
      <c r="D32" s="202" t="s">
        <v>34</v>
      </c>
      <c r="E32" s="201">
        <v>4800</v>
      </c>
      <c r="F32" s="31">
        <v>237.982</v>
      </c>
      <c r="G32" s="31">
        <v>240.15700000000001</v>
      </c>
      <c r="H32" s="33">
        <f t="shared" si="1"/>
        <v>10440.000000000055</v>
      </c>
      <c r="I32" s="34"/>
      <c r="J32" s="35"/>
    </row>
    <row r="33" spans="1:10" ht="15.75" x14ac:dyDescent="0.25">
      <c r="A33" s="15" t="s">
        <v>48</v>
      </c>
      <c r="B33" s="201" t="s">
        <v>13</v>
      </c>
      <c r="C33" s="32">
        <v>51097662</v>
      </c>
      <c r="D33" s="202" t="s">
        <v>34</v>
      </c>
      <c r="E33" s="201">
        <v>4800</v>
      </c>
      <c r="F33" s="31">
        <v>4.7</v>
      </c>
      <c r="G33" s="31">
        <v>4.7249999999999996</v>
      </c>
      <c r="H33" s="33">
        <f t="shared" si="1"/>
        <v>119.99999999999744</v>
      </c>
      <c r="I33" s="34"/>
      <c r="J33" s="35"/>
    </row>
    <row r="34" spans="1:10" ht="15.75" x14ac:dyDescent="0.25">
      <c r="A34" s="218" t="s">
        <v>49</v>
      </c>
      <c r="B34" s="219"/>
      <c r="C34" s="201"/>
      <c r="D34" s="202"/>
      <c r="E34" s="201"/>
      <c r="F34" s="36"/>
      <c r="G34" s="36"/>
      <c r="H34" s="23">
        <f>H20+H21+H22+H23+H24+H25+H26+H27+H28+H29+H30+H31+H32+H33</f>
        <v>57638.999999999724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201" t="s">
        <v>52</v>
      </c>
      <c r="C36" s="201">
        <v>51555209</v>
      </c>
      <c r="D36" s="202" t="s">
        <v>53</v>
      </c>
      <c r="E36" s="201">
        <v>7000</v>
      </c>
      <c r="F36" s="17">
        <v>6.3570000000000002</v>
      </c>
      <c r="G36" s="17">
        <v>6.3710000000000004</v>
      </c>
      <c r="H36" s="41">
        <f>(G36-F36)*E36</f>
        <v>98.000000000001648</v>
      </c>
      <c r="I36" s="42"/>
      <c r="J36" s="14"/>
    </row>
    <row r="37" spans="1:10" ht="15.75" x14ac:dyDescent="0.25">
      <c r="A37" s="15" t="s">
        <v>54</v>
      </c>
      <c r="B37" s="201" t="s">
        <v>52</v>
      </c>
      <c r="C37" s="201">
        <v>51555209</v>
      </c>
      <c r="D37" s="202" t="s">
        <v>53</v>
      </c>
      <c r="E37" s="201">
        <v>7000</v>
      </c>
      <c r="F37" s="21">
        <v>11.519</v>
      </c>
      <c r="G37" s="21">
        <v>11.569000000000001</v>
      </c>
      <c r="H37" s="18">
        <f>(G37-F37)*E37</f>
        <v>350.000000000005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201" t="s">
        <v>52</v>
      </c>
      <c r="C39" s="201">
        <v>51097674</v>
      </c>
      <c r="D39" s="201" t="s">
        <v>14</v>
      </c>
      <c r="E39" s="201">
        <v>7200</v>
      </c>
      <c r="F39" s="21">
        <v>654.42200000000003</v>
      </c>
      <c r="G39" s="21">
        <v>656.49800000000005</v>
      </c>
      <c r="H39" s="18">
        <f>(G39-F39)*E39</f>
        <v>14947.200000000157</v>
      </c>
      <c r="I39" s="47"/>
      <c r="J39" s="20"/>
    </row>
    <row r="40" spans="1:10" ht="15.75" x14ac:dyDescent="0.25">
      <c r="A40" s="27" t="s">
        <v>57</v>
      </c>
      <c r="B40" s="201" t="s">
        <v>52</v>
      </c>
      <c r="C40" s="201">
        <v>51259257</v>
      </c>
      <c r="D40" s="201" t="s">
        <v>14</v>
      </c>
      <c r="E40" s="201">
        <v>7200</v>
      </c>
      <c r="F40" s="21">
        <v>1.0549999999999999</v>
      </c>
      <c r="G40" s="21">
        <v>1.0549999999999999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201"/>
      <c r="C41" s="201"/>
      <c r="D41" s="201"/>
      <c r="E41" s="201"/>
      <c r="F41" s="21"/>
      <c r="G41" s="21"/>
      <c r="H41" s="48">
        <f>H39+H40</f>
        <v>14947.200000000157</v>
      </c>
      <c r="I41" s="24">
        <f>H41-H49</f>
        <v>-107.59999999972024</v>
      </c>
      <c r="J41" s="25">
        <f>I41/H41</f>
        <v>-7.1986726610816145E-3</v>
      </c>
    </row>
    <row r="42" spans="1:10" ht="15.75" x14ac:dyDescent="0.25">
      <c r="A42" s="15" t="s">
        <v>59</v>
      </c>
      <c r="B42" s="201"/>
      <c r="C42" s="201"/>
      <c r="D42" s="202"/>
      <c r="E42" s="201"/>
      <c r="H42" s="18"/>
      <c r="I42" s="43"/>
      <c r="J42" s="20"/>
    </row>
    <row r="43" spans="1:10" ht="15.75" x14ac:dyDescent="0.25">
      <c r="A43" s="27" t="s">
        <v>60</v>
      </c>
      <c r="B43" s="201" t="s">
        <v>52</v>
      </c>
      <c r="C43" s="32">
        <v>51097648</v>
      </c>
      <c r="D43" s="201" t="s">
        <v>53</v>
      </c>
      <c r="E43" s="201">
        <v>1200</v>
      </c>
      <c r="F43" s="21">
        <v>535.19299999999998</v>
      </c>
      <c r="G43" s="21">
        <v>536.83600000000001</v>
      </c>
      <c r="H43" s="33">
        <f>(G43-F43)*E43</f>
        <v>1971.6000000000349</v>
      </c>
      <c r="I43" s="43"/>
      <c r="J43" s="20"/>
    </row>
    <row r="44" spans="1:10" ht="15.75" x14ac:dyDescent="0.25">
      <c r="A44" s="27" t="s">
        <v>61</v>
      </c>
      <c r="B44" s="201" t="s">
        <v>52</v>
      </c>
      <c r="C44" s="32">
        <v>50555043</v>
      </c>
      <c r="D44" s="201" t="s">
        <v>53</v>
      </c>
      <c r="E44" s="201">
        <v>1200</v>
      </c>
      <c r="F44" s="21">
        <v>2241.346</v>
      </c>
      <c r="G44" s="21">
        <v>2248.6779999999999</v>
      </c>
      <c r="H44" s="33">
        <f>(G44-F44)*E44</f>
        <v>8798.3999999998559</v>
      </c>
      <c r="I44" s="43"/>
      <c r="J44" s="20"/>
    </row>
    <row r="45" spans="1:10" ht="15.75" x14ac:dyDescent="0.25">
      <c r="A45" s="27" t="s">
        <v>62</v>
      </c>
      <c r="B45" s="201" t="s">
        <v>52</v>
      </c>
      <c r="C45" s="32">
        <v>51259336</v>
      </c>
      <c r="D45" s="201" t="s">
        <v>63</v>
      </c>
      <c r="E45" s="201">
        <v>2400</v>
      </c>
      <c r="F45" s="21">
        <v>4.4880000000000004</v>
      </c>
      <c r="G45" s="21">
        <v>4.5019999999999998</v>
      </c>
      <c r="H45" s="33">
        <f>(G45-F45)*E45</f>
        <v>33.599999999998431</v>
      </c>
      <c r="I45" s="43"/>
      <c r="J45" s="20"/>
    </row>
    <row r="46" spans="1:10" ht="15.75" x14ac:dyDescent="0.25">
      <c r="A46" s="27" t="s">
        <v>64</v>
      </c>
      <c r="B46" s="201" t="s">
        <v>52</v>
      </c>
      <c r="C46" s="32">
        <v>51259266</v>
      </c>
      <c r="D46" s="201" t="s">
        <v>53</v>
      </c>
      <c r="E46" s="201">
        <v>1200</v>
      </c>
      <c r="F46" s="21">
        <v>1086.3530000000001</v>
      </c>
      <c r="G46" s="21">
        <v>1089.5940000000001</v>
      </c>
      <c r="H46" s="33">
        <f>(G46-F46)*E46</f>
        <v>3889.1999999999825</v>
      </c>
      <c r="I46" s="43"/>
      <c r="J46" s="20"/>
    </row>
    <row r="47" spans="1:10" ht="15.75" x14ac:dyDescent="0.25">
      <c r="A47" s="27" t="s">
        <v>65</v>
      </c>
      <c r="B47" s="201" t="s">
        <v>52</v>
      </c>
      <c r="C47" s="32">
        <v>51431336</v>
      </c>
      <c r="D47" s="201" t="s">
        <v>53</v>
      </c>
      <c r="E47" s="201">
        <v>1200</v>
      </c>
      <c r="F47" s="21">
        <v>66.480999999999995</v>
      </c>
      <c r="G47" s="21">
        <v>66.741</v>
      </c>
      <c r="H47" s="33">
        <f>(G47-F47)*E47</f>
        <v>312.00000000000614</v>
      </c>
      <c r="I47" s="43"/>
      <c r="J47" s="20"/>
    </row>
    <row r="48" spans="1:10" ht="15.75" x14ac:dyDescent="0.25">
      <c r="A48" s="15" t="s">
        <v>66</v>
      </c>
      <c r="B48" s="201" t="s">
        <v>67</v>
      </c>
      <c r="C48" s="201">
        <v>49174</v>
      </c>
      <c r="D48" s="202" t="s">
        <v>53</v>
      </c>
      <c r="E48" s="201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15054.799999999877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201" t="s">
        <v>52</v>
      </c>
      <c r="C51" s="201">
        <v>51097603</v>
      </c>
      <c r="D51" s="202" t="s">
        <v>53</v>
      </c>
      <c r="E51" s="201">
        <v>7000</v>
      </c>
      <c r="F51" s="17">
        <v>2121.3780000000002</v>
      </c>
      <c r="G51" s="17">
        <v>2127.6669999999999</v>
      </c>
      <c r="H51" s="18">
        <f>(G51-F51)*E51</f>
        <v>44022.999999998319</v>
      </c>
      <c r="I51" s="43"/>
      <c r="J51" s="20"/>
    </row>
    <row r="52" spans="1:10" ht="15.75" x14ac:dyDescent="0.25">
      <c r="A52" s="27" t="s">
        <v>72</v>
      </c>
      <c r="B52" s="201" t="s">
        <v>52</v>
      </c>
      <c r="C52" s="201">
        <v>51097590</v>
      </c>
      <c r="D52" s="202" t="s">
        <v>53</v>
      </c>
      <c r="E52" s="201">
        <v>7000</v>
      </c>
      <c r="F52" s="21">
        <v>13.273999999999999</v>
      </c>
      <c r="G52" s="21">
        <v>13.298</v>
      </c>
      <c r="H52" s="18">
        <f>(G52-F52)*E52</f>
        <v>168.00000000000637</v>
      </c>
      <c r="I52" s="43"/>
      <c r="J52" s="20"/>
    </row>
    <row r="53" spans="1:10" ht="15.75" x14ac:dyDescent="0.25">
      <c r="A53" s="15" t="s">
        <v>66</v>
      </c>
      <c r="B53" s="201" t="s">
        <v>67</v>
      </c>
      <c r="C53" s="201">
        <v>49174</v>
      </c>
      <c r="D53" s="202" t="s">
        <v>53</v>
      </c>
      <c r="E53" s="201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201"/>
      <c r="D54" s="202"/>
      <c r="E54" s="201"/>
      <c r="F54" s="21"/>
      <c r="G54" s="21"/>
      <c r="H54" s="48">
        <f>H51+H52+H53</f>
        <v>44290.999999998327</v>
      </c>
      <c r="I54" s="47"/>
      <c r="J54" s="59"/>
    </row>
    <row r="55" spans="1:10" ht="15.75" x14ac:dyDescent="0.25">
      <c r="A55" s="27" t="s">
        <v>74</v>
      </c>
      <c r="B55" s="201" t="s">
        <v>52</v>
      </c>
      <c r="C55" s="201">
        <v>51100980</v>
      </c>
      <c r="D55" s="201" t="s">
        <v>75</v>
      </c>
      <c r="E55" s="201">
        <v>12000</v>
      </c>
      <c r="F55" s="21">
        <v>1247.5889999999999</v>
      </c>
      <c r="G55" s="21">
        <v>1251.258</v>
      </c>
      <c r="H55" s="18">
        <f>(G55-F55)*E55</f>
        <v>44028.000000001157</v>
      </c>
      <c r="I55" s="47"/>
      <c r="J55" s="58"/>
    </row>
    <row r="56" spans="1:10" ht="15.75" x14ac:dyDescent="0.25">
      <c r="A56" s="27" t="s">
        <v>76</v>
      </c>
      <c r="B56" s="201" t="s">
        <v>52</v>
      </c>
      <c r="C56" s="201">
        <v>51097623</v>
      </c>
      <c r="D56" s="201" t="s">
        <v>75</v>
      </c>
      <c r="E56" s="201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201"/>
      <c r="C57" s="201"/>
      <c r="D57" s="201"/>
      <c r="E57" s="201"/>
      <c r="F57" s="21"/>
      <c r="G57" s="21"/>
      <c r="H57" s="48">
        <f>H55+H56</f>
        <v>44028.000000001157</v>
      </c>
      <c r="I57" s="61">
        <f>H54-H64-H53</f>
        <v>24.999999997839041</v>
      </c>
      <c r="J57" s="25">
        <f>I57/H57</f>
        <v>5.6782047782861773E-4</v>
      </c>
    </row>
    <row r="58" spans="1:10" ht="15.75" x14ac:dyDescent="0.25">
      <c r="A58" s="27" t="s">
        <v>78</v>
      </c>
      <c r="B58" s="201" t="s">
        <v>52</v>
      </c>
      <c r="C58" s="201">
        <v>51097675</v>
      </c>
      <c r="D58" s="201" t="s">
        <v>34</v>
      </c>
      <c r="E58" s="201">
        <v>4800</v>
      </c>
      <c r="F58" s="21">
        <v>581.42899999999997</v>
      </c>
      <c r="G58" s="21">
        <v>583.00699999999995</v>
      </c>
      <c r="H58" s="18">
        <f t="shared" ref="H58:H63" si="2">(G58-F58)*E58</f>
        <v>7574.3999999998778</v>
      </c>
      <c r="I58" s="62"/>
      <c r="J58" s="59"/>
    </row>
    <row r="59" spans="1:10" ht="15.75" x14ac:dyDescent="0.25">
      <c r="A59" s="27" t="s">
        <v>79</v>
      </c>
      <c r="B59" s="201" t="s">
        <v>52</v>
      </c>
      <c r="C59" s="201">
        <v>51100997</v>
      </c>
      <c r="D59" s="201" t="s">
        <v>21</v>
      </c>
      <c r="E59" s="201">
        <v>3600</v>
      </c>
      <c r="F59" s="21">
        <v>1451.4929999999999</v>
      </c>
      <c r="G59" s="21">
        <v>1454.0260000000001</v>
      </c>
      <c r="H59" s="18">
        <f t="shared" si="2"/>
        <v>9118.8000000004649</v>
      </c>
      <c r="I59" s="62"/>
      <c r="J59" s="59"/>
    </row>
    <row r="60" spans="1:10" ht="15.75" x14ac:dyDescent="0.25">
      <c r="A60" s="27" t="s">
        <v>80</v>
      </c>
      <c r="B60" s="201" t="s">
        <v>52</v>
      </c>
      <c r="C60" s="201">
        <v>51555218</v>
      </c>
      <c r="D60" s="201">
        <f>400/5</f>
        <v>80</v>
      </c>
      <c r="E60" s="201">
        <v>4800</v>
      </c>
      <c r="F60" s="21">
        <v>75.863</v>
      </c>
      <c r="G60" s="21">
        <v>76.102000000000004</v>
      </c>
      <c r="H60" s="18">
        <f t="shared" si="2"/>
        <v>1147.2000000000207</v>
      </c>
      <c r="I60" s="62"/>
      <c r="J60" s="59"/>
    </row>
    <row r="61" spans="1:10" ht="15.75" x14ac:dyDescent="0.25">
      <c r="A61" s="27" t="s">
        <v>81</v>
      </c>
      <c r="B61" s="201" t="s">
        <v>52</v>
      </c>
      <c r="C61" s="201">
        <v>51555151</v>
      </c>
      <c r="D61" s="201">
        <f>400/5</f>
        <v>80</v>
      </c>
      <c r="E61" s="201">
        <v>4800</v>
      </c>
      <c r="F61" s="63">
        <v>0.30599999999999999</v>
      </c>
      <c r="G61" s="63">
        <v>0.30599999999999999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201" t="s">
        <v>52</v>
      </c>
      <c r="C62" s="201">
        <v>51097599</v>
      </c>
      <c r="D62" s="201" t="s">
        <v>21</v>
      </c>
      <c r="E62" s="201">
        <v>3600</v>
      </c>
      <c r="F62" s="21">
        <v>1037.1389999999999</v>
      </c>
      <c r="G62" s="21">
        <v>1040.809</v>
      </c>
      <c r="H62" s="18">
        <f t="shared" si="2"/>
        <v>13212.000000000262</v>
      </c>
      <c r="I62" s="62"/>
      <c r="J62" s="59"/>
    </row>
    <row r="63" spans="1:10" ht="15.75" x14ac:dyDescent="0.25">
      <c r="A63" s="27" t="s">
        <v>83</v>
      </c>
      <c r="B63" s="201" t="s">
        <v>52</v>
      </c>
      <c r="C63" s="201">
        <v>51097620</v>
      </c>
      <c r="D63" s="201" t="s">
        <v>34</v>
      </c>
      <c r="E63" s="201">
        <v>4800</v>
      </c>
      <c r="F63" s="21">
        <v>585.35900000000004</v>
      </c>
      <c r="G63" s="21">
        <v>588.09100000000001</v>
      </c>
      <c r="H63" s="18">
        <f t="shared" si="2"/>
        <v>13113.59999999986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44166.000000000487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201" t="s">
        <v>52</v>
      </c>
      <c r="C66" s="9">
        <v>51259238</v>
      </c>
      <c r="D66" s="74" t="s">
        <v>53</v>
      </c>
      <c r="E66" s="74">
        <v>7000</v>
      </c>
      <c r="F66" s="75">
        <v>625.06500000000005</v>
      </c>
      <c r="G66" s="75">
        <v>627.08100000000002</v>
      </c>
      <c r="H66" s="76">
        <f>(G66-F66)*E66</f>
        <v>14111.999999999738</v>
      </c>
      <c r="I66" s="77"/>
      <c r="J66" s="78"/>
    </row>
    <row r="67" spans="1:10" ht="15.75" x14ac:dyDescent="0.25">
      <c r="A67" s="27" t="s">
        <v>86</v>
      </c>
      <c r="B67" s="201" t="s">
        <v>52</v>
      </c>
      <c r="C67" s="201">
        <v>51259324</v>
      </c>
      <c r="D67" s="202" t="s">
        <v>53</v>
      </c>
      <c r="E67" s="202">
        <v>7000</v>
      </c>
      <c r="F67" s="21">
        <v>481.67500000000001</v>
      </c>
      <c r="G67" s="21">
        <v>482.79199999999997</v>
      </c>
      <c r="H67" s="18">
        <f>(G67-F67)*E67</f>
        <v>7818.9999999997326</v>
      </c>
      <c r="I67" s="51"/>
      <c r="J67" s="58"/>
    </row>
    <row r="68" spans="1:10" ht="15.75" x14ac:dyDescent="0.25">
      <c r="A68" s="27" t="s">
        <v>87</v>
      </c>
      <c r="B68" s="79" t="s">
        <v>88</v>
      </c>
      <c r="C68" s="201">
        <v>51491618</v>
      </c>
      <c r="D68" s="202" t="s">
        <v>63</v>
      </c>
      <c r="E68" s="201">
        <v>40</v>
      </c>
      <c r="F68" s="28">
        <v>1464.2739999999999</v>
      </c>
      <c r="G68" s="28">
        <v>1468.5630000000001</v>
      </c>
      <c r="H68" s="18">
        <f>(G68-F68)*E68</f>
        <v>171.56000000000859</v>
      </c>
      <c r="I68" s="51"/>
      <c r="J68" s="58"/>
    </row>
    <row r="69" spans="1:10" ht="15.75" x14ac:dyDescent="0.25">
      <c r="A69" s="27" t="s">
        <v>89</v>
      </c>
      <c r="B69" s="79" t="s">
        <v>88</v>
      </c>
      <c r="C69" s="201">
        <v>51491624</v>
      </c>
      <c r="D69" s="202" t="s">
        <v>63</v>
      </c>
      <c r="E69" s="201">
        <v>40</v>
      </c>
      <c r="F69" s="28">
        <v>190.459</v>
      </c>
      <c r="G69" s="28">
        <v>190.904</v>
      </c>
      <c r="H69" s="18">
        <f>(G69-F69)*E69</f>
        <v>17.799999999999727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21930.999999999469</v>
      </c>
      <c r="I70" s="85">
        <f>H70-H73-H68-H69</f>
        <v>-650.36000000104877</v>
      </c>
      <c r="J70" s="25">
        <f>I70/H70</f>
        <v>-2.9654826501348069E-2</v>
      </c>
    </row>
    <row r="71" spans="1:10" ht="15.75" x14ac:dyDescent="0.25">
      <c r="A71" s="27" t="s">
        <v>91</v>
      </c>
      <c r="B71" s="201" t="s">
        <v>52</v>
      </c>
      <c r="C71" s="86">
        <v>51097588</v>
      </c>
      <c r="D71" s="202" t="s">
        <v>75</v>
      </c>
      <c r="E71" s="201">
        <v>12000</v>
      </c>
      <c r="F71" s="21">
        <v>372.87099999999998</v>
      </c>
      <c r="G71" s="21">
        <v>374.04500000000002</v>
      </c>
      <c r="H71" s="18">
        <f>(G71-F71)*E71</f>
        <v>14088.00000000042</v>
      </c>
      <c r="I71" s="51"/>
      <c r="J71" s="58"/>
    </row>
    <row r="72" spans="1:10" ht="15.75" x14ac:dyDescent="0.25">
      <c r="A72" s="27" t="s">
        <v>92</v>
      </c>
      <c r="B72" s="201" t="s">
        <v>52</v>
      </c>
      <c r="C72" s="86">
        <v>51431335</v>
      </c>
      <c r="D72" s="202" t="s">
        <v>75</v>
      </c>
      <c r="E72" s="201">
        <v>12000</v>
      </c>
      <c r="F72" s="21">
        <v>293.98500000000001</v>
      </c>
      <c r="G72" s="21">
        <v>294.67700000000002</v>
      </c>
      <c r="H72" s="18">
        <f>(G72-F72)*E72</f>
        <v>8304.0000000000873</v>
      </c>
      <c r="I72" s="51"/>
      <c r="J72" s="58"/>
    </row>
    <row r="73" spans="1:10" ht="15.75" x14ac:dyDescent="0.25">
      <c r="A73" s="87" t="s">
        <v>93</v>
      </c>
      <c r="B73" s="201" t="s">
        <v>27</v>
      </c>
      <c r="C73" s="201"/>
      <c r="D73" s="202"/>
      <c r="E73" s="201"/>
      <c r="F73" s="21"/>
      <c r="G73" s="21"/>
      <c r="H73" s="48">
        <f>H71+ H72</f>
        <v>22392.000000000509</v>
      </c>
      <c r="I73" s="85">
        <f>H73-H81</f>
        <v>-42.599999999911233</v>
      </c>
      <c r="J73" s="25">
        <f>I73/H73</f>
        <v>-1.9024651661267535E-3</v>
      </c>
    </row>
    <row r="74" spans="1:10" ht="15.75" x14ac:dyDescent="0.25">
      <c r="A74" s="27" t="s">
        <v>94</v>
      </c>
      <c r="B74" s="201" t="s">
        <v>52</v>
      </c>
      <c r="C74" s="86">
        <v>51097676</v>
      </c>
      <c r="D74" s="88" t="s">
        <v>63</v>
      </c>
      <c r="E74" s="201">
        <v>2400</v>
      </c>
      <c r="F74" s="21">
        <v>781.10699999999997</v>
      </c>
      <c r="G74" s="21">
        <v>783.37800000000004</v>
      </c>
      <c r="H74" s="18">
        <f>(G74-F74)*E74</f>
        <v>5450.4000000001724</v>
      </c>
      <c r="I74" s="51"/>
      <c r="J74" s="58"/>
    </row>
    <row r="75" spans="1:10" ht="15.75" x14ac:dyDescent="0.25">
      <c r="A75" s="27" t="s">
        <v>95</v>
      </c>
      <c r="B75" s="201" t="s">
        <v>52</v>
      </c>
      <c r="C75" s="86">
        <v>51431355</v>
      </c>
      <c r="D75" s="202" t="s">
        <v>21</v>
      </c>
      <c r="E75" s="202">
        <v>3600</v>
      </c>
      <c r="F75" s="21">
        <v>401.36700000000002</v>
      </c>
      <c r="G75" s="21">
        <v>402.63900000000001</v>
      </c>
      <c r="H75" s="18">
        <f>(G75-F75)*E75</f>
        <v>4579.1999999999689</v>
      </c>
      <c r="I75" s="51"/>
      <c r="J75" s="52"/>
    </row>
    <row r="76" spans="1:10" ht="15.75" x14ac:dyDescent="0.25">
      <c r="A76" s="27" t="s">
        <v>96</v>
      </c>
      <c r="B76" s="201" t="s">
        <v>52</v>
      </c>
      <c r="C76" s="86">
        <v>51259331</v>
      </c>
      <c r="D76" s="88" t="s">
        <v>37</v>
      </c>
      <c r="E76" s="201">
        <v>600</v>
      </c>
      <c r="F76" s="21">
        <v>185.34800000000001</v>
      </c>
      <c r="G76" s="21">
        <v>185.851</v>
      </c>
      <c r="H76" s="18">
        <f>(G76-F76)*E76</f>
        <v>301.79999999999154</v>
      </c>
      <c r="I76" s="51"/>
      <c r="J76" s="52"/>
    </row>
    <row r="77" spans="1:10" ht="15.75" x14ac:dyDescent="0.25">
      <c r="A77" s="27" t="s">
        <v>97</v>
      </c>
      <c r="B77" s="201" t="s">
        <v>52</v>
      </c>
      <c r="C77" s="86">
        <v>51259326</v>
      </c>
      <c r="D77" s="88" t="s">
        <v>14</v>
      </c>
      <c r="E77" s="201">
        <v>7200</v>
      </c>
      <c r="F77" s="21">
        <v>368.24599999999998</v>
      </c>
      <c r="G77" s="21">
        <v>369.44900000000001</v>
      </c>
      <c r="H77" s="18">
        <f>(G77-F77)*E77</f>
        <v>8661.6000000002259</v>
      </c>
      <c r="I77" s="51"/>
      <c r="J77" s="52"/>
    </row>
    <row r="78" spans="1:10" ht="15.75" x14ac:dyDescent="0.25">
      <c r="A78" s="27" t="s">
        <v>98</v>
      </c>
      <c r="B78" s="201" t="s">
        <v>52</v>
      </c>
      <c r="C78" s="86">
        <v>51431351</v>
      </c>
      <c r="D78" s="88" t="s">
        <v>14</v>
      </c>
      <c r="E78" s="201">
        <v>7200</v>
      </c>
      <c r="F78" s="21">
        <v>268.76799999999997</v>
      </c>
      <c r="G78" s="21">
        <v>269.24599999999998</v>
      </c>
      <c r="H78" s="18">
        <f>(G78-F78)*E78</f>
        <v>3441.6000000000622</v>
      </c>
      <c r="I78" s="51"/>
      <c r="J78" s="52"/>
    </row>
    <row r="79" spans="1:10" ht="15.75" x14ac:dyDescent="0.25">
      <c r="A79" s="89" t="s">
        <v>99</v>
      </c>
      <c r="B79" s="201" t="s">
        <v>52</v>
      </c>
      <c r="C79" s="90">
        <v>51097666</v>
      </c>
      <c r="D79" s="88" t="s">
        <v>63</v>
      </c>
      <c r="E79" s="201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201" t="s">
        <v>52</v>
      </c>
      <c r="C80" s="90">
        <v>51259323</v>
      </c>
      <c r="D80" s="88" t="s">
        <v>63</v>
      </c>
      <c r="E80" s="201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22434.600000000421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201" t="s">
        <v>52</v>
      </c>
      <c r="C83" s="106">
        <v>51431297</v>
      </c>
      <c r="D83" s="202" t="s">
        <v>53</v>
      </c>
      <c r="E83" s="100">
        <v>7000</v>
      </c>
      <c r="F83" s="17">
        <v>333.11099999999999</v>
      </c>
      <c r="G83" s="17">
        <v>333.78500000000003</v>
      </c>
      <c r="H83" s="18">
        <f>(G83-F83)*E83</f>
        <v>4718.0000000002456</v>
      </c>
      <c r="I83" s="107"/>
      <c r="J83" s="108"/>
    </row>
    <row r="84" spans="1:10" ht="15.75" x14ac:dyDescent="0.25">
      <c r="A84" s="105" t="s">
        <v>86</v>
      </c>
      <c r="B84" s="201" t="s">
        <v>52</v>
      </c>
      <c r="C84" s="106">
        <v>51431332</v>
      </c>
      <c r="D84" s="202" t="s">
        <v>53</v>
      </c>
      <c r="E84" s="100">
        <v>7000</v>
      </c>
      <c r="F84" s="17">
        <v>374.78800000000001</v>
      </c>
      <c r="G84" s="17">
        <v>376.98700000000002</v>
      </c>
      <c r="H84" s="18">
        <f>(G84-F84)*E84</f>
        <v>15393.000000000085</v>
      </c>
      <c r="I84" s="201"/>
      <c r="J84" s="58"/>
    </row>
    <row r="85" spans="1:10" ht="15.75" x14ac:dyDescent="0.25">
      <c r="A85" s="27" t="s">
        <v>87</v>
      </c>
      <c r="B85" s="201" t="s">
        <v>103</v>
      </c>
      <c r="C85" s="109">
        <v>150773</v>
      </c>
      <c r="D85" s="202" t="s">
        <v>53</v>
      </c>
      <c r="E85" s="109">
        <v>20</v>
      </c>
      <c r="F85" s="17">
        <v>15802.3</v>
      </c>
      <c r="G85" s="17">
        <v>15804.2</v>
      </c>
      <c r="H85" s="18">
        <f>(G85-F85)*E85</f>
        <v>38.000000000029104</v>
      </c>
      <c r="I85" s="51"/>
      <c r="J85" s="58"/>
    </row>
    <row r="86" spans="1:10" ht="15.75" x14ac:dyDescent="0.25">
      <c r="A86" s="27" t="s">
        <v>89</v>
      </c>
      <c r="B86" s="201" t="s">
        <v>103</v>
      </c>
      <c r="C86" s="109">
        <v>150791</v>
      </c>
      <c r="D86" s="202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203"/>
      <c r="C87" s="32"/>
      <c r="D87" s="82"/>
      <c r="E87" s="82"/>
      <c r="F87" s="21"/>
      <c r="G87" s="21"/>
      <c r="H87" s="48">
        <f>H83+H84</f>
        <v>20111.000000000331</v>
      </c>
      <c r="I87" s="85">
        <f>H87-H90-H85-H86</f>
        <v>330.60000000003129</v>
      </c>
      <c r="J87" s="25">
        <f>I87/H87</f>
        <v>1.6438764855055733E-2</v>
      </c>
    </row>
    <row r="88" spans="1:10" ht="15.75" x14ac:dyDescent="0.25">
      <c r="A88" s="27" t="s">
        <v>104</v>
      </c>
      <c r="B88" s="201" t="s">
        <v>52</v>
      </c>
      <c r="C88" s="106">
        <v>51431342</v>
      </c>
      <c r="D88" s="88" t="s">
        <v>34</v>
      </c>
      <c r="E88" s="201">
        <v>4800</v>
      </c>
      <c r="F88" s="21">
        <v>473.98899999999998</v>
      </c>
      <c r="G88" s="21">
        <v>474.94400000000002</v>
      </c>
      <c r="H88" s="18">
        <f>(G88-F88)*E88</f>
        <v>4584.0000000001965</v>
      </c>
      <c r="I88" s="51"/>
      <c r="J88" s="52"/>
    </row>
    <row r="89" spans="1:10" ht="15.75" x14ac:dyDescent="0.25">
      <c r="A89" s="27" t="s">
        <v>105</v>
      </c>
      <c r="B89" s="201" t="s">
        <v>52</v>
      </c>
      <c r="C89" s="106">
        <v>51431343</v>
      </c>
      <c r="D89" s="88" t="s">
        <v>34</v>
      </c>
      <c r="E89" s="201">
        <v>4800</v>
      </c>
      <c r="F89" s="21">
        <v>528.71199999999999</v>
      </c>
      <c r="G89" s="21">
        <v>531.87</v>
      </c>
      <c r="H89" s="18">
        <f>(G89-F89)*E89</f>
        <v>15158.400000000074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19742.400000000271</v>
      </c>
      <c r="I90" s="85">
        <f>H90-H98</f>
        <v>-3.7999999996864062</v>
      </c>
      <c r="J90" s="25">
        <f>I90/H90</f>
        <v>-1.924791311940977E-4</v>
      </c>
    </row>
    <row r="91" spans="1:10" ht="15.75" x14ac:dyDescent="0.25">
      <c r="A91" s="27" t="s">
        <v>107</v>
      </c>
      <c r="B91" s="201" t="s">
        <v>52</v>
      </c>
      <c r="C91" s="106">
        <v>51431347</v>
      </c>
      <c r="D91" s="202" t="s">
        <v>53</v>
      </c>
      <c r="E91" s="201">
        <v>1200</v>
      </c>
      <c r="F91" s="21">
        <v>1267.404</v>
      </c>
      <c r="G91" s="21">
        <v>1275.954</v>
      </c>
      <c r="H91" s="18">
        <f>(G91-F91)*E91</f>
        <v>10259.999999999945</v>
      </c>
      <c r="I91" s="51"/>
      <c r="J91" s="52"/>
    </row>
    <row r="92" spans="1:10" ht="15.75" x14ac:dyDescent="0.25">
      <c r="A92" s="27" t="s">
        <v>108</v>
      </c>
      <c r="B92" s="201" t="s">
        <v>52</v>
      </c>
      <c r="C92" s="106">
        <v>51431339</v>
      </c>
      <c r="D92" s="202" t="s">
        <v>53</v>
      </c>
      <c r="E92" s="201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201" t="s">
        <v>52</v>
      </c>
      <c r="C93" s="106">
        <v>51217244</v>
      </c>
      <c r="D93" s="201" t="s">
        <v>37</v>
      </c>
      <c r="E93" s="201">
        <v>600</v>
      </c>
      <c r="F93" s="30">
        <v>369.10399999999998</v>
      </c>
      <c r="G93" s="30">
        <v>371.66699999999997</v>
      </c>
      <c r="H93" s="18">
        <f t="shared" si="4"/>
        <v>1537.7999999999929</v>
      </c>
      <c r="I93" s="51"/>
      <c r="J93" s="52"/>
    </row>
    <row r="94" spans="1:10" ht="15.75" x14ac:dyDescent="0.25">
      <c r="A94" s="27" t="s">
        <v>110</v>
      </c>
      <c r="B94" s="201" t="s">
        <v>52</v>
      </c>
      <c r="C94" s="106">
        <v>51217267</v>
      </c>
      <c r="D94" s="88" t="s">
        <v>63</v>
      </c>
      <c r="E94" s="201">
        <v>2400</v>
      </c>
      <c r="F94" s="30">
        <v>25.827999999999999</v>
      </c>
      <c r="G94" s="30">
        <v>27.228999999999999</v>
      </c>
      <c r="H94" s="18">
        <f t="shared" si="4"/>
        <v>3362.3999999999996</v>
      </c>
      <c r="I94" s="51"/>
      <c r="J94" s="52"/>
    </row>
    <row r="95" spans="1:10" ht="15.75" x14ac:dyDescent="0.25">
      <c r="A95" s="27" t="s">
        <v>111</v>
      </c>
      <c r="B95" s="201" t="s">
        <v>52</v>
      </c>
      <c r="C95" s="201">
        <v>51555165</v>
      </c>
      <c r="D95" s="202" t="s">
        <v>53</v>
      </c>
      <c r="E95" s="201">
        <v>1200</v>
      </c>
      <c r="F95" s="30">
        <v>1007.984</v>
      </c>
      <c r="G95" s="30">
        <v>1007.984</v>
      </c>
      <c r="H95" s="18">
        <f t="shared" si="4"/>
        <v>0</v>
      </c>
      <c r="I95" s="51" t="s">
        <v>27</v>
      </c>
      <c r="J95" s="52"/>
    </row>
    <row r="96" spans="1:10" ht="15.75" x14ac:dyDescent="0.25">
      <c r="A96" s="113" t="s">
        <v>112</v>
      </c>
      <c r="B96" s="201" t="s">
        <v>52</v>
      </c>
      <c r="C96" s="106">
        <v>51431346</v>
      </c>
      <c r="D96" s="114" t="s">
        <v>37</v>
      </c>
      <c r="E96" s="114">
        <v>600</v>
      </c>
      <c r="F96" s="30">
        <v>394.13900000000001</v>
      </c>
      <c r="G96" s="30">
        <v>394.435</v>
      </c>
      <c r="H96" s="115">
        <f t="shared" si="4"/>
        <v>177.59999999999536</v>
      </c>
      <c r="I96" s="116"/>
      <c r="J96" s="117"/>
    </row>
    <row r="97" spans="1:10" ht="15.75" x14ac:dyDescent="0.25">
      <c r="A97" s="27" t="s">
        <v>113</v>
      </c>
      <c r="B97" s="201" t="s">
        <v>52</v>
      </c>
      <c r="C97" s="106">
        <v>51431352</v>
      </c>
      <c r="D97" s="88" t="s">
        <v>21</v>
      </c>
      <c r="E97" s="201">
        <v>3600</v>
      </c>
      <c r="F97" s="21">
        <v>270.33800000000002</v>
      </c>
      <c r="G97" s="21">
        <v>271.55200000000002</v>
      </c>
      <c r="H97" s="18">
        <f t="shared" si="4"/>
        <v>4370.3999999999951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19746.199999999957</v>
      </c>
      <c r="I98" s="51"/>
      <c r="J98" s="52"/>
    </row>
    <row r="99" spans="1:10" ht="15.75" x14ac:dyDescent="0.25">
      <c r="A99" s="45" t="s">
        <v>114</v>
      </c>
      <c r="B99" s="201" t="s">
        <v>52</v>
      </c>
      <c r="C99" s="120">
        <v>51431357</v>
      </c>
      <c r="D99" s="202" t="s">
        <v>63</v>
      </c>
      <c r="E99" s="202">
        <v>14000</v>
      </c>
      <c r="F99" s="28">
        <v>922.63099999999997</v>
      </c>
      <c r="G99" s="28">
        <v>926.221</v>
      </c>
      <c r="H99" s="121">
        <f t="shared" si="4"/>
        <v>50260.000000000444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opLeftCell="A60" zoomScale="85" zoomScaleNormal="85" workbookViewId="0">
      <selection sqref="A1:J99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142</v>
      </c>
      <c r="G2" s="4" t="s">
        <v>143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204" t="s">
        <v>13</v>
      </c>
      <c r="C4" s="204">
        <v>51555166</v>
      </c>
      <c r="D4" s="204" t="s">
        <v>14</v>
      </c>
      <c r="E4" s="204">
        <v>132000</v>
      </c>
      <c r="F4" s="17">
        <v>7.0979999999999999</v>
      </c>
      <c r="G4" s="17">
        <v>7.1050000000000004</v>
      </c>
      <c r="H4" s="18">
        <f>(G4-F4)*E4</f>
        <v>924.00000000007412</v>
      </c>
      <c r="I4" s="19"/>
      <c r="J4" s="20"/>
    </row>
    <row r="5" spans="1:10" ht="15.75" x14ac:dyDescent="0.25">
      <c r="A5" s="15" t="s">
        <v>15</v>
      </c>
      <c r="B5" s="204" t="s">
        <v>13</v>
      </c>
      <c r="C5" s="204">
        <v>51555191</v>
      </c>
      <c r="D5" s="204" t="s">
        <v>14</v>
      </c>
      <c r="E5" s="204">
        <v>132000</v>
      </c>
      <c r="F5" s="21">
        <v>420.68</v>
      </c>
      <c r="G5" s="21">
        <v>422.351</v>
      </c>
      <c r="H5" s="18">
        <f>(G5-F5)*E5</f>
        <v>220571.99999999898</v>
      </c>
      <c r="I5" s="19"/>
      <c r="J5" s="20"/>
    </row>
    <row r="6" spans="1:10" ht="15.75" x14ac:dyDescent="0.25">
      <c r="A6" s="218" t="s">
        <v>16</v>
      </c>
      <c r="B6" s="219"/>
      <c r="C6" s="204"/>
      <c r="D6" s="205"/>
      <c r="E6" s="204"/>
      <c r="H6" s="23">
        <f>H4+H5</f>
        <v>221495.99999999907</v>
      </c>
      <c r="I6" s="24">
        <f>H6-H9-H19</f>
        <v>1847.9999999931752</v>
      </c>
      <c r="J6" s="25">
        <f>I6/H6</f>
        <v>8.3432657925794733E-3</v>
      </c>
    </row>
    <row r="7" spans="1:10" ht="15.75" x14ac:dyDescent="0.25">
      <c r="A7" s="26" t="s">
        <v>17</v>
      </c>
      <c r="B7" s="204" t="s">
        <v>13</v>
      </c>
      <c r="C7" s="204">
        <v>51097629</v>
      </c>
      <c r="D7" s="205" t="s">
        <v>14</v>
      </c>
      <c r="E7" s="204">
        <v>42000</v>
      </c>
      <c r="F7" s="21">
        <v>1212.896</v>
      </c>
      <c r="G7" s="21">
        <v>1216.7080000000001</v>
      </c>
      <c r="H7" s="18">
        <f>(G7-F7)*E7</f>
        <v>160104.00000000527</v>
      </c>
      <c r="I7" s="19"/>
      <c r="J7" s="20"/>
    </row>
    <row r="8" spans="1:10" ht="15.75" x14ac:dyDescent="0.25">
      <c r="A8" s="26" t="s">
        <v>18</v>
      </c>
      <c r="B8" s="204" t="s">
        <v>13</v>
      </c>
      <c r="C8" s="204">
        <v>51616820</v>
      </c>
      <c r="D8" s="205" t="s">
        <v>14</v>
      </c>
      <c r="E8" s="204">
        <v>42000</v>
      </c>
      <c r="F8" s="21">
        <v>15.526</v>
      </c>
      <c r="G8" s="21">
        <v>15.535</v>
      </c>
      <c r="H8" s="18">
        <f>(G8-F8)*E8</f>
        <v>378.00000000001432</v>
      </c>
      <c r="I8" s="19"/>
      <c r="J8" s="20"/>
    </row>
    <row r="9" spans="1:10" ht="15.75" x14ac:dyDescent="0.25">
      <c r="A9" s="218" t="s">
        <v>19</v>
      </c>
      <c r="B9" s="219"/>
      <c r="C9" s="204"/>
      <c r="D9" s="205"/>
      <c r="E9" s="204"/>
      <c r="F9" s="21"/>
      <c r="G9" s="21"/>
      <c r="H9" s="23">
        <f>H7+H8</f>
        <v>160482.00000000527</v>
      </c>
      <c r="I9" s="24">
        <f>H9-H16</f>
        <v>42.000000004365575</v>
      </c>
      <c r="J9" s="25">
        <f>I9/H9</f>
        <v>2.617115938508007E-4</v>
      </c>
    </row>
    <row r="10" spans="1:10" ht="15.75" x14ac:dyDescent="0.25">
      <c r="A10" s="27" t="s">
        <v>20</v>
      </c>
      <c r="B10" s="204" t="s">
        <v>13</v>
      </c>
      <c r="C10" s="204">
        <v>51217286</v>
      </c>
      <c r="D10" s="205" t="s">
        <v>21</v>
      </c>
      <c r="E10" s="204">
        <v>21000</v>
      </c>
      <c r="F10" s="21">
        <v>954.25300000000004</v>
      </c>
      <c r="G10" s="21">
        <v>957.06100000000004</v>
      </c>
      <c r="H10" s="18">
        <f t="shared" ref="H10:H15" si="0">(G10-F10)*E10</f>
        <v>58967.999999999847</v>
      </c>
      <c r="I10" s="19"/>
      <c r="J10" s="20"/>
    </row>
    <row r="11" spans="1:10" ht="15.75" x14ac:dyDescent="0.25">
      <c r="A11" s="27" t="s">
        <v>22</v>
      </c>
      <c r="B11" s="204" t="s">
        <v>13</v>
      </c>
      <c r="C11" s="204">
        <v>51217292</v>
      </c>
      <c r="D11" s="205" t="s">
        <v>21</v>
      </c>
      <c r="E11" s="204">
        <v>21000</v>
      </c>
      <c r="F11" s="28">
        <v>4.0309999999999997</v>
      </c>
      <c r="G11" s="28">
        <v>4.0369999999999999</v>
      </c>
      <c r="H11" s="18">
        <f>(G11-F11)*E11</f>
        <v>126.00000000000477</v>
      </c>
      <c r="I11" s="19"/>
      <c r="J11" s="20"/>
    </row>
    <row r="12" spans="1:10" ht="15.75" x14ac:dyDescent="0.25">
      <c r="A12" s="27" t="s">
        <v>23</v>
      </c>
      <c r="B12" s="204" t="s">
        <v>13</v>
      </c>
      <c r="C12" s="204">
        <v>51217271</v>
      </c>
      <c r="D12" s="205" t="s">
        <v>21</v>
      </c>
      <c r="E12" s="204">
        <v>21000</v>
      </c>
      <c r="F12" s="21">
        <v>718.30899999999997</v>
      </c>
      <c r="G12" s="21">
        <v>720.48800000000006</v>
      </c>
      <c r="H12" s="18">
        <f t="shared" si="0"/>
        <v>45759.000000001834</v>
      </c>
      <c r="I12" s="19"/>
      <c r="J12" s="20"/>
    </row>
    <row r="13" spans="1:10" ht="15.75" x14ac:dyDescent="0.25">
      <c r="A13" s="27" t="s">
        <v>24</v>
      </c>
      <c r="B13" s="204" t="s">
        <v>13</v>
      </c>
      <c r="C13" s="204">
        <v>51217276</v>
      </c>
      <c r="D13" s="205" t="s">
        <v>21</v>
      </c>
      <c r="E13" s="204">
        <v>21000</v>
      </c>
      <c r="F13" s="28">
        <v>0.627</v>
      </c>
      <c r="G13" s="28">
        <v>0.627</v>
      </c>
      <c r="H13" s="18">
        <f>(G13-F13)*E13</f>
        <v>0</v>
      </c>
      <c r="I13" s="19"/>
      <c r="J13" s="20"/>
    </row>
    <row r="14" spans="1:10" ht="15.75" x14ac:dyDescent="0.25">
      <c r="A14" s="27" t="s">
        <v>25</v>
      </c>
      <c r="B14" s="204" t="s">
        <v>13</v>
      </c>
      <c r="C14" s="204">
        <v>51100990</v>
      </c>
      <c r="D14" s="205" t="s">
        <v>21</v>
      </c>
      <c r="E14" s="204">
        <v>21000</v>
      </c>
      <c r="F14" s="29">
        <v>772.62099999999998</v>
      </c>
      <c r="G14" s="29">
        <v>775.26199999999994</v>
      </c>
      <c r="H14" s="18">
        <f t="shared" si="0"/>
        <v>55460.999999999214</v>
      </c>
      <c r="I14" s="19"/>
      <c r="J14" s="20"/>
    </row>
    <row r="15" spans="1:10" ht="15.75" x14ac:dyDescent="0.25">
      <c r="A15" s="27" t="s">
        <v>26</v>
      </c>
      <c r="B15" s="204" t="s">
        <v>13</v>
      </c>
      <c r="C15" s="204">
        <v>51097622</v>
      </c>
      <c r="D15" s="205" t="s">
        <v>21</v>
      </c>
      <c r="E15" s="204">
        <v>21000</v>
      </c>
      <c r="F15" s="21">
        <v>9.4710000000000001</v>
      </c>
      <c r="G15" s="21">
        <v>9.4770000000000003</v>
      </c>
      <c r="H15" s="18">
        <f t="shared" si="0"/>
        <v>126.00000000000477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204"/>
      <c r="D16" s="205"/>
      <c r="E16" s="204"/>
      <c r="F16" s="21"/>
      <c r="G16" s="21"/>
      <c r="H16" s="23">
        <f>H10+H11+H12+H13+H14+H15</f>
        <v>160440.0000000009</v>
      </c>
      <c r="I16" s="19"/>
      <c r="J16" s="20"/>
    </row>
    <row r="17" spans="1:10" ht="15.75" x14ac:dyDescent="0.25">
      <c r="A17" s="26" t="s">
        <v>29</v>
      </c>
      <c r="B17" s="204" t="s">
        <v>13</v>
      </c>
      <c r="C17" s="204">
        <v>51097617</v>
      </c>
      <c r="D17" s="205" t="s">
        <v>30</v>
      </c>
      <c r="E17" s="204">
        <v>18000</v>
      </c>
      <c r="F17" s="30">
        <v>956.26499999999999</v>
      </c>
      <c r="G17" s="30">
        <v>959.55200000000002</v>
      </c>
      <c r="H17" s="18">
        <f>(G17-F17)*E17</f>
        <v>59166.000000000626</v>
      </c>
      <c r="I17" s="19"/>
      <c r="J17" s="20"/>
    </row>
    <row r="18" spans="1:10" ht="15.75" x14ac:dyDescent="0.25">
      <c r="A18" s="26" t="s">
        <v>31</v>
      </c>
      <c r="B18" s="204" t="s">
        <v>13</v>
      </c>
      <c r="C18" s="204">
        <v>51097655</v>
      </c>
      <c r="D18" s="205" t="s">
        <v>30</v>
      </c>
      <c r="E18" s="204">
        <v>18000</v>
      </c>
      <c r="F18" s="30">
        <v>11.542</v>
      </c>
      <c r="G18" s="30">
        <v>11.542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204"/>
      <c r="D19" s="205"/>
      <c r="E19" s="204"/>
      <c r="F19" s="30"/>
      <c r="G19" s="30"/>
      <c r="H19" s="23">
        <f>H17+H18</f>
        <v>59166.000000000626</v>
      </c>
      <c r="I19" s="24">
        <f>H19-H34</f>
        <v>553.20000000015716</v>
      </c>
      <c r="J19" s="25">
        <f>I19/H19</f>
        <v>9.3499645066448863E-3</v>
      </c>
    </row>
    <row r="20" spans="1:10" ht="15.75" x14ac:dyDescent="0.25">
      <c r="A20" s="15" t="s">
        <v>33</v>
      </c>
      <c r="B20" s="204" t="s">
        <v>13</v>
      </c>
      <c r="C20" s="204">
        <v>51217282</v>
      </c>
      <c r="D20" s="205" t="s">
        <v>34</v>
      </c>
      <c r="E20" s="204">
        <v>4800</v>
      </c>
      <c r="F20" s="21">
        <v>453.52</v>
      </c>
      <c r="G20" s="21">
        <v>459.85199999999998</v>
      </c>
      <c r="H20" s="18">
        <f t="shared" ref="H20:H33" si="1">(G20-F20)*E20</f>
        <v>30393.599999999969</v>
      </c>
      <c r="I20" s="19" t="s">
        <v>27</v>
      </c>
      <c r="J20" s="20"/>
    </row>
    <row r="21" spans="1:10" ht="15.75" x14ac:dyDescent="0.25">
      <c r="A21" s="15" t="s">
        <v>35</v>
      </c>
      <c r="B21" s="204" t="s">
        <v>13</v>
      </c>
      <c r="C21" s="204">
        <v>51217274</v>
      </c>
      <c r="D21" s="205" t="s">
        <v>34</v>
      </c>
      <c r="E21" s="204">
        <v>4800</v>
      </c>
      <c r="F21" s="21">
        <v>1431.2159999999999</v>
      </c>
      <c r="G21" s="21">
        <v>1431.5640000000001</v>
      </c>
      <c r="H21" s="18">
        <f t="shared" si="1"/>
        <v>1670.4000000008818</v>
      </c>
      <c r="I21" s="19"/>
      <c r="J21" s="20"/>
    </row>
    <row r="22" spans="1:10" ht="15.75" x14ac:dyDescent="0.25">
      <c r="A22" s="15" t="s">
        <v>36</v>
      </c>
      <c r="B22" s="204" t="s">
        <v>13</v>
      </c>
      <c r="C22" s="204">
        <v>51097664</v>
      </c>
      <c r="D22" s="205" t="s">
        <v>37</v>
      </c>
      <c r="E22" s="204">
        <v>600</v>
      </c>
      <c r="F22" s="21">
        <v>4.4409999999999998</v>
      </c>
      <c r="G22" s="21">
        <v>4.4409999999999998</v>
      </c>
      <c r="H22" s="18">
        <f t="shared" si="1"/>
        <v>0</v>
      </c>
      <c r="I22" s="19"/>
      <c r="J22" s="20"/>
    </row>
    <row r="23" spans="1:10" ht="15.75" x14ac:dyDescent="0.25">
      <c r="A23" s="15" t="s">
        <v>38</v>
      </c>
      <c r="B23" s="204" t="s">
        <v>13</v>
      </c>
      <c r="C23" s="204">
        <v>51097615</v>
      </c>
      <c r="D23" s="205" t="s">
        <v>37</v>
      </c>
      <c r="E23" s="204">
        <v>600</v>
      </c>
      <c r="F23" s="21">
        <v>51.345999999999997</v>
      </c>
      <c r="G23" s="21">
        <v>51.634999999999998</v>
      </c>
      <c r="H23" s="18">
        <f t="shared" si="1"/>
        <v>173.40000000000089</v>
      </c>
      <c r="I23" s="19"/>
      <c r="J23" s="20"/>
    </row>
    <row r="24" spans="1:10" ht="15.75" x14ac:dyDescent="0.25">
      <c r="A24" s="15" t="s">
        <v>39</v>
      </c>
      <c r="B24" s="204" t="s">
        <v>13</v>
      </c>
      <c r="C24" s="204">
        <v>51217264</v>
      </c>
      <c r="D24" s="205" t="s">
        <v>37</v>
      </c>
      <c r="E24" s="204">
        <v>600</v>
      </c>
      <c r="F24" s="21">
        <v>117.333</v>
      </c>
      <c r="G24" s="21">
        <v>117.70399999999999</v>
      </c>
      <c r="H24" s="18">
        <f t="shared" si="1"/>
        <v>222.59999999999707</v>
      </c>
      <c r="I24" s="19"/>
      <c r="J24" s="20"/>
    </row>
    <row r="25" spans="1:10" ht="15.75" x14ac:dyDescent="0.25">
      <c r="A25" s="15" t="s">
        <v>40</v>
      </c>
      <c r="B25" s="204" t="s">
        <v>13</v>
      </c>
      <c r="C25" s="204">
        <v>51217288</v>
      </c>
      <c r="D25" s="205" t="s">
        <v>37</v>
      </c>
      <c r="E25" s="204">
        <v>600</v>
      </c>
      <c r="F25" s="21">
        <v>21.228000000000002</v>
      </c>
      <c r="G25" s="21">
        <v>21.26</v>
      </c>
      <c r="H25" s="18">
        <f t="shared" si="1"/>
        <v>19.200000000000017</v>
      </c>
      <c r="I25" s="19" t="s">
        <v>27</v>
      </c>
      <c r="J25" s="20"/>
    </row>
    <row r="26" spans="1:10" ht="15.75" x14ac:dyDescent="0.25">
      <c r="A26" s="15" t="s">
        <v>41</v>
      </c>
      <c r="B26" s="204" t="s">
        <v>13</v>
      </c>
      <c r="C26" s="204">
        <v>51217279</v>
      </c>
      <c r="D26" s="205" t="s">
        <v>37</v>
      </c>
      <c r="E26" s="204">
        <v>600</v>
      </c>
      <c r="F26" s="21">
        <v>16.61</v>
      </c>
      <c r="G26" s="21">
        <v>16.664000000000001</v>
      </c>
      <c r="H26" s="18">
        <f t="shared" si="1"/>
        <v>32.400000000001228</v>
      </c>
      <c r="I26" s="19" t="s">
        <v>27</v>
      </c>
      <c r="J26" s="20"/>
    </row>
    <row r="27" spans="1:10" ht="15.75" x14ac:dyDescent="0.25">
      <c r="A27" s="15" t="s">
        <v>42</v>
      </c>
      <c r="B27" s="204" t="s">
        <v>13</v>
      </c>
      <c r="C27" s="204">
        <v>51217272</v>
      </c>
      <c r="D27" s="205" t="s">
        <v>37</v>
      </c>
      <c r="E27" s="204">
        <v>600</v>
      </c>
      <c r="F27" s="31">
        <v>16.291</v>
      </c>
      <c r="G27" s="31">
        <v>16.344999999999999</v>
      </c>
      <c r="H27" s="18">
        <f t="shared" si="1"/>
        <v>32.399999999999096</v>
      </c>
      <c r="I27" s="19"/>
      <c r="J27" s="20"/>
    </row>
    <row r="28" spans="1:10" ht="15.75" x14ac:dyDescent="0.25">
      <c r="A28" s="15" t="s">
        <v>43</v>
      </c>
      <c r="B28" s="204" t="s">
        <v>13</v>
      </c>
      <c r="C28" s="204">
        <v>51616744</v>
      </c>
      <c r="D28" s="205">
        <f>300/5</f>
        <v>60</v>
      </c>
      <c r="E28" s="204">
        <v>3600</v>
      </c>
      <c r="F28" s="31">
        <v>109.78400000000001</v>
      </c>
      <c r="G28" s="31">
        <v>109.78400000000001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204" t="s">
        <v>13</v>
      </c>
      <c r="C29" s="204">
        <v>51555226</v>
      </c>
      <c r="D29" s="205">
        <f>300/5</f>
        <v>60</v>
      </c>
      <c r="E29" s="204">
        <v>3600</v>
      </c>
      <c r="F29" s="31">
        <v>597.77200000000005</v>
      </c>
      <c r="G29" s="31">
        <v>599.49199999999996</v>
      </c>
      <c r="H29" s="18">
        <f>(G29-F29)*E29</f>
        <v>6191.999999999689</v>
      </c>
      <c r="I29" s="19"/>
      <c r="J29" s="20"/>
    </row>
    <row r="30" spans="1:10" ht="15.75" x14ac:dyDescent="0.25">
      <c r="A30" s="15" t="s">
        <v>45</v>
      </c>
      <c r="B30" s="204" t="s">
        <v>13</v>
      </c>
      <c r="C30" s="204">
        <v>51097658</v>
      </c>
      <c r="D30" s="205" t="s">
        <v>34</v>
      </c>
      <c r="E30" s="204">
        <v>4800</v>
      </c>
      <c r="F30" s="31">
        <v>747.47400000000005</v>
      </c>
      <c r="G30" s="31">
        <v>749.32</v>
      </c>
      <c r="H30" s="18">
        <f t="shared" si="1"/>
        <v>8860.8000000000175</v>
      </c>
      <c r="I30" s="19"/>
      <c r="J30" s="20"/>
    </row>
    <row r="31" spans="1:10" ht="15.75" x14ac:dyDescent="0.25">
      <c r="A31" s="15" t="s">
        <v>46</v>
      </c>
      <c r="B31" s="204" t="s">
        <v>13</v>
      </c>
      <c r="C31" s="204">
        <v>51097635</v>
      </c>
      <c r="D31" s="205" t="s">
        <v>34</v>
      </c>
      <c r="E31" s="204">
        <v>4800</v>
      </c>
      <c r="F31" s="31">
        <v>48.514000000000003</v>
      </c>
      <c r="G31" s="31">
        <v>48.515999999999998</v>
      </c>
      <c r="H31" s="18">
        <f t="shared" si="1"/>
        <v>9.5999999999776264</v>
      </c>
      <c r="I31" s="19"/>
      <c r="J31" s="20"/>
    </row>
    <row r="32" spans="1:10" ht="15.75" x14ac:dyDescent="0.25">
      <c r="A32" s="15" t="s">
        <v>47</v>
      </c>
      <c r="B32" s="204" t="s">
        <v>13</v>
      </c>
      <c r="C32" s="32">
        <v>51097633</v>
      </c>
      <c r="D32" s="205" t="s">
        <v>34</v>
      </c>
      <c r="E32" s="204">
        <v>4800</v>
      </c>
      <c r="F32" s="31">
        <v>240.15700000000001</v>
      </c>
      <c r="G32" s="31">
        <v>242.428</v>
      </c>
      <c r="H32" s="33">
        <f t="shared" si="1"/>
        <v>10900.799999999936</v>
      </c>
      <c r="I32" s="34"/>
      <c r="J32" s="35"/>
    </row>
    <row r="33" spans="1:10" ht="15.75" x14ac:dyDescent="0.25">
      <c r="A33" s="15" t="s">
        <v>48</v>
      </c>
      <c r="B33" s="204" t="s">
        <v>13</v>
      </c>
      <c r="C33" s="32">
        <v>51097662</v>
      </c>
      <c r="D33" s="205" t="s">
        <v>34</v>
      </c>
      <c r="E33" s="204">
        <v>4800</v>
      </c>
      <c r="F33" s="31">
        <v>4.7249999999999996</v>
      </c>
      <c r="G33" s="31">
        <v>4.7469999999999999</v>
      </c>
      <c r="H33" s="33">
        <f t="shared" si="1"/>
        <v>105.60000000000116</v>
      </c>
      <c r="I33" s="34"/>
      <c r="J33" s="35"/>
    </row>
    <row r="34" spans="1:10" ht="15.75" x14ac:dyDescent="0.25">
      <c r="A34" s="218" t="s">
        <v>49</v>
      </c>
      <c r="B34" s="219"/>
      <c r="C34" s="204"/>
      <c r="D34" s="205"/>
      <c r="E34" s="204"/>
      <c r="F34" s="36"/>
      <c r="G34" s="36"/>
      <c r="H34" s="23">
        <f>H20+H21+H22+H23+H24+H25+H26+H27+H28+H29+H30+H31+H32+H33</f>
        <v>58612.800000000469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204" t="s">
        <v>52</v>
      </c>
      <c r="C36" s="204">
        <v>51555209</v>
      </c>
      <c r="D36" s="205" t="s">
        <v>53</v>
      </c>
      <c r="E36" s="204">
        <v>7000</v>
      </c>
      <c r="F36" s="17">
        <v>6.3710000000000004</v>
      </c>
      <c r="G36" s="17">
        <v>6.3860000000000001</v>
      </c>
      <c r="H36" s="41">
        <f>(G36-F36)*E36</f>
        <v>104.99999999999775</v>
      </c>
      <c r="I36" s="42"/>
      <c r="J36" s="14"/>
    </row>
    <row r="37" spans="1:10" ht="15.75" x14ac:dyDescent="0.25">
      <c r="A37" s="15" t="s">
        <v>54</v>
      </c>
      <c r="B37" s="204" t="s">
        <v>52</v>
      </c>
      <c r="C37" s="204">
        <v>51555209</v>
      </c>
      <c r="D37" s="205" t="s">
        <v>53</v>
      </c>
      <c r="E37" s="204">
        <v>7000</v>
      </c>
      <c r="F37" s="21">
        <v>11.569000000000001</v>
      </c>
      <c r="G37" s="21">
        <v>11.619</v>
      </c>
      <c r="H37" s="18">
        <f>(G37-F37)*E37</f>
        <v>349.99999999999255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204" t="s">
        <v>52</v>
      </c>
      <c r="C39" s="204">
        <v>51097674</v>
      </c>
      <c r="D39" s="204" t="s">
        <v>14</v>
      </c>
      <c r="E39" s="204">
        <v>7200</v>
      </c>
      <c r="F39" s="21">
        <v>656.49800000000005</v>
      </c>
      <c r="G39" s="21">
        <v>658.54700000000003</v>
      </c>
      <c r="H39" s="18">
        <f>(G39-F39)*E39</f>
        <v>14752.799999999843</v>
      </c>
      <c r="I39" s="47"/>
      <c r="J39" s="20"/>
    </row>
    <row r="40" spans="1:10" ht="15.75" x14ac:dyDescent="0.25">
      <c r="A40" s="27" t="s">
        <v>57</v>
      </c>
      <c r="B40" s="204" t="s">
        <v>52</v>
      </c>
      <c r="C40" s="204">
        <v>51259257</v>
      </c>
      <c r="D40" s="204" t="s">
        <v>14</v>
      </c>
      <c r="E40" s="204">
        <v>7200</v>
      </c>
      <c r="F40" s="21">
        <v>1.0549999999999999</v>
      </c>
      <c r="G40" s="21">
        <v>1.0549999999999999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204"/>
      <c r="C41" s="204"/>
      <c r="D41" s="204"/>
      <c r="E41" s="204"/>
      <c r="F41" s="21"/>
      <c r="G41" s="21"/>
      <c r="H41" s="48">
        <f>H39+H40</f>
        <v>14752.799999999843</v>
      </c>
      <c r="I41" s="24">
        <f>H41-H49</f>
        <v>-101.60000000030777</v>
      </c>
      <c r="J41" s="25">
        <f>I41/H41</f>
        <v>-6.8868282631303112E-3</v>
      </c>
    </row>
    <row r="42" spans="1:10" ht="15.75" x14ac:dyDescent="0.25">
      <c r="A42" s="15" t="s">
        <v>59</v>
      </c>
      <c r="B42" s="204"/>
      <c r="C42" s="204"/>
      <c r="D42" s="205"/>
      <c r="E42" s="204"/>
      <c r="H42" s="18"/>
      <c r="I42" s="43"/>
      <c r="J42" s="20"/>
    </row>
    <row r="43" spans="1:10" ht="15.75" x14ac:dyDescent="0.25">
      <c r="A43" s="27" t="s">
        <v>60</v>
      </c>
      <c r="B43" s="204" t="s">
        <v>52</v>
      </c>
      <c r="C43" s="32">
        <v>51097648</v>
      </c>
      <c r="D43" s="204" t="s">
        <v>53</v>
      </c>
      <c r="E43" s="204">
        <v>1200</v>
      </c>
      <c r="F43" s="21">
        <v>536.83600000000001</v>
      </c>
      <c r="G43" s="21">
        <v>538.47400000000005</v>
      </c>
      <c r="H43" s="33">
        <f>(G43-F43)*E43</f>
        <v>1965.6000000000404</v>
      </c>
      <c r="I43" s="43"/>
      <c r="J43" s="20"/>
    </row>
    <row r="44" spans="1:10" ht="15.75" x14ac:dyDescent="0.25">
      <c r="A44" s="27" t="s">
        <v>61</v>
      </c>
      <c r="B44" s="204" t="s">
        <v>52</v>
      </c>
      <c r="C44" s="32">
        <v>50555043</v>
      </c>
      <c r="D44" s="204" t="s">
        <v>53</v>
      </c>
      <c r="E44" s="204">
        <v>1200</v>
      </c>
      <c r="F44" s="21">
        <v>2248.6779999999999</v>
      </c>
      <c r="G44" s="21">
        <v>2255.7570000000001</v>
      </c>
      <c r="H44" s="33">
        <f>(G44-F44)*E44</f>
        <v>8494.8000000002139</v>
      </c>
      <c r="I44" s="43"/>
      <c r="J44" s="20"/>
    </row>
    <row r="45" spans="1:10" ht="15.75" x14ac:dyDescent="0.25">
      <c r="A45" s="27" t="s">
        <v>62</v>
      </c>
      <c r="B45" s="204" t="s">
        <v>52</v>
      </c>
      <c r="C45" s="32">
        <v>51259336</v>
      </c>
      <c r="D45" s="204" t="s">
        <v>63</v>
      </c>
      <c r="E45" s="204">
        <v>2400</v>
      </c>
      <c r="F45" s="21">
        <v>4.5019999999999998</v>
      </c>
      <c r="G45" s="21">
        <v>4.516</v>
      </c>
      <c r="H45" s="33">
        <f>(G45-F45)*E45</f>
        <v>33.600000000000563</v>
      </c>
      <c r="I45" s="43"/>
      <c r="J45" s="20"/>
    </row>
    <row r="46" spans="1:10" ht="15.75" x14ac:dyDescent="0.25">
      <c r="A46" s="27" t="s">
        <v>64</v>
      </c>
      <c r="B46" s="204" t="s">
        <v>52</v>
      </c>
      <c r="C46" s="32">
        <v>51259266</v>
      </c>
      <c r="D46" s="204" t="s">
        <v>53</v>
      </c>
      <c r="E46" s="204">
        <v>1200</v>
      </c>
      <c r="F46" s="21">
        <v>1089.5940000000001</v>
      </c>
      <c r="G46" s="21">
        <v>1092.934</v>
      </c>
      <c r="H46" s="33">
        <f>(G46-F46)*E46</f>
        <v>4007.9999999999018</v>
      </c>
      <c r="I46" s="43"/>
      <c r="J46" s="20"/>
    </row>
    <row r="47" spans="1:10" ht="15.75" x14ac:dyDescent="0.25">
      <c r="A47" s="27" t="s">
        <v>65</v>
      </c>
      <c r="B47" s="204" t="s">
        <v>52</v>
      </c>
      <c r="C47" s="32">
        <v>51431336</v>
      </c>
      <c r="D47" s="204" t="s">
        <v>53</v>
      </c>
      <c r="E47" s="204">
        <v>1200</v>
      </c>
      <c r="F47" s="21">
        <v>66.741</v>
      </c>
      <c r="G47" s="21">
        <v>66.992999999999995</v>
      </c>
      <c r="H47" s="33">
        <f>(G47-F47)*E47</f>
        <v>302.39999999999441</v>
      </c>
      <c r="I47" s="43"/>
      <c r="J47" s="20"/>
    </row>
    <row r="48" spans="1:10" ht="15.75" x14ac:dyDescent="0.25">
      <c r="A48" s="15" t="s">
        <v>66</v>
      </c>
      <c r="B48" s="204" t="s">
        <v>67</v>
      </c>
      <c r="C48" s="204">
        <v>49174</v>
      </c>
      <c r="D48" s="205" t="s">
        <v>53</v>
      </c>
      <c r="E48" s="204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14854.400000000151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204" t="s">
        <v>52</v>
      </c>
      <c r="C51" s="204">
        <v>51097603</v>
      </c>
      <c r="D51" s="205" t="s">
        <v>53</v>
      </c>
      <c r="E51" s="204">
        <v>7000</v>
      </c>
      <c r="F51" s="17">
        <v>2127.6669999999999</v>
      </c>
      <c r="G51" s="17">
        <v>2133.8359999999998</v>
      </c>
      <c r="H51" s="18">
        <f>(G51-F51)*E51</f>
        <v>43182.999999999083</v>
      </c>
      <c r="I51" s="43"/>
      <c r="J51" s="20"/>
    </row>
    <row r="52" spans="1:10" ht="15.75" x14ac:dyDescent="0.25">
      <c r="A52" s="27" t="s">
        <v>72</v>
      </c>
      <c r="B52" s="204" t="s">
        <v>52</v>
      </c>
      <c r="C52" s="204">
        <v>51097590</v>
      </c>
      <c r="D52" s="205" t="s">
        <v>53</v>
      </c>
      <c r="E52" s="204">
        <v>7000</v>
      </c>
      <c r="F52" s="21">
        <v>13.298</v>
      </c>
      <c r="G52" s="21">
        <v>13.321999999999999</v>
      </c>
      <c r="H52" s="18">
        <f>(G52-F52)*E52</f>
        <v>167.99999999999392</v>
      </c>
      <c r="I52" s="43"/>
      <c r="J52" s="20"/>
    </row>
    <row r="53" spans="1:10" ht="15.75" x14ac:dyDescent="0.25">
      <c r="A53" s="15" t="s">
        <v>66</v>
      </c>
      <c r="B53" s="204" t="s">
        <v>67</v>
      </c>
      <c r="C53" s="204">
        <v>49174</v>
      </c>
      <c r="D53" s="205" t="s">
        <v>53</v>
      </c>
      <c r="E53" s="204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204"/>
      <c r="D54" s="205"/>
      <c r="E54" s="204"/>
      <c r="F54" s="21"/>
      <c r="G54" s="21"/>
      <c r="H54" s="48">
        <f>H51+H52+H53</f>
        <v>43450.999999999076</v>
      </c>
      <c r="I54" s="47"/>
      <c r="J54" s="59"/>
    </row>
    <row r="55" spans="1:10" ht="15.75" x14ac:dyDescent="0.25">
      <c r="A55" s="27" t="s">
        <v>74</v>
      </c>
      <c r="B55" s="204" t="s">
        <v>52</v>
      </c>
      <c r="C55" s="204">
        <v>51100980</v>
      </c>
      <c r="D55" s="204" t="s">
        <v>75</v>
      </c>
      <c r="E55" s="204">
        <v>12000</v>
      </c>
      <c r="F55" s="21">
        <v>1251.258</v>
      </c>
      <c r="G55" s="21">
        <v>1254.8699999999999</v>
      </c>
      <c r="H55" s="18">
        <f>(G55-F55)*E55</f>
        <v>43343.999999998232</v>
      </c>
      <c r="I55" s="47"/>
      <c r="J55" s="58"/>
    </row>
    <row r="56" spans="1:10" ht="15.75" x14ac:dyDescent="0.25">
      <c r="A56" s="27" t="s">
        <v>76</v>
      </c>
      <c r="B56" s="204" t="s">
        <v>52</v>
      </c>
      <c r="C56" s="204">
        <v>51097623</v>
      </c>
      <c r="D56" s="204" t="s">
        <v>75</v>
      </c>
      <c r="E56" s="204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204"/>
      <c r="C57" s="204"/>
      <c r="D57" s="204"/>
      <c r="E57" s="204"/>
      <c r="F57" s="21"/>
      <c r="G57" s="21"/>
      <c r="H57" s="48">
        <f>H55+H56</f>
        <v>43343.999999998232</v>
      </c>
      <c r="I57" s="61">
        <f>H54-H64-H53</f>
        <v>-104.60000000087894</v>
      </c>
      <c r="J57" s="25">
        <f>I57/H57</f>
        <v>-2.4132521225748247E-3</v>
      </c>
    </row>
    <row r="58" spans="1:10" ht="15.75" x14ac:dyDescent="0.25">
      <c r="A58" s="27" t="s">
        <v>78</v>
      </c>
      <c r="B58" s="204" t="s">
        <v>52</v>
      </c>
      <c r="C58" s="204">
        <v>51097675</v>
      </c>
      <c r="D58" s="204" t="s">
        <v>34</v>
      </c>
      <c r="E58" s="204">
        <v>4800</v>
      </c>
      <c r="F58" s="21">
        <v>583.00699999999995</v>
      </c>
      <c r="G58" s="21">
        <v>584.57799999999997</v>
      </c>
      <c r="H58" s="18">
        <f t="shared" ref="H58:H63" si="2">(G58-F58)*E58</f>
        <v>7540.8000000001266</v>
      </c>
      <c r="I58" s="62"/>
      <c r="J58" s="59"/>
    </row>
    <row r="59" spans="1:10" ht="15.75" x14ac:dyDescent="0.25">
      <c r="A59" s="27" t="s">
        <v>79</v>
      </c>
      <c r="B59" s="204" t="s">
        <v>52</v>
      </c>
      <c r="C59" s="204">
        <v>51100997</v>
      </c>
      <c r="D59" s="204" t="s">
        <v>21</v>
      </c>
      <c r="E59" s="204">
        <v>3600</v>
      </c>
      <c r="F59" s="21">
        <v>1454.0260000000001</v>
      </c>
      <c r="G59" s="21">
        <v>1456.5840000000001</v>
      </c>
      <c r="H59" s="18">
        <f t="shared" si="2"/>
        <v>9208.7999999999738</v>
      </c>
      <c r="I59" s="62"/>
      <c r="J59" s="59"/>
    </row>
    <row r="60" spans="1:10" ht="15.75" x14ac:dyDescent="0.25">
      <c r="A60" s="27" t="s">
        <v>80</v>
      </c>
      <c r="B60" s="204" t="s">
        <v>52</v>
      </c>
      <c r="C60" s="204">
        <v>51555218</v>
      </c>
      <c r="D60" s="204">
        <f>400/5</f>
        <v>80</v>
      </c>
      <c r="E60" s="204">
        <v>4800</v>
      </c>
      <c r="F60" s="21">
        <v>76.102000000000004</v>
      </c>
      <c r="G60" s="21">
        <v>76.337999999999994</v>
      </c>
      <c r="H60" s="18">
        <f t="shared" si="2"/>
        <v>1132.799999999952</v>
      </c>
      <c r="I60" s="62"/>
      <c r="J60" s="59"/>
    </row>
    <row r="61" spans="1:10" ht="15.75" x14ac:dyDescent="0.25">
      <c r="A61" s="27" t="s">
        <v>81</v>
      </c>
      <c r="B61" s="204" t="s">
        <v>52</v>
      </c>
      <c r="C61" s="204">
        <v>51555151</v>
      </c>
      <c r="D61" s="204">
        <f>400/5</f>
        <v>80</v>
      </c>
      <c r="E61" s="204">
        <v>4800</v>
      </c>
      <c r="F61" s="63">
        <v>0.30599999999999999</v>
      </c>
      <c r="G61" s="63">
        <v>0.30599999999999999</v>
      </c>
      <c r="H61" s="18">
        <f t="shared" si="2"/>
        <v>0</v>
      </c>
      <c r="I61" s="62"/>
      <c r="J61" s="59"/>
    </row>
    <row r="62" spans="1:10" ht="15.75" x14ac:dyDescent="0.25">
      <c r="A62" s="27" t="s">
        <v>82</v>
      </c>
      <c r="B62" s="204" t="s">
        <v>52</v>
      </c>
      <c r="C62" s="204">
        <v>51097599</v>
      </c>
      <c r="D62" s="204" t="s">
        <v>21</v>
      </c>
      <c r="E62" s="204">
        <v>3600</v>
      </c>
      <c r="F62" s="21">
        <v>1040.809</v>
      </c>
      <c r="G62" s="21">
        <v>1044.27</v>
      </c>
      <c r="H62" s="18">
        <f t="shared" si="2"/>
        <v>12459.600000000046</v>
      </c>
      <c r="I62" s="62"/>
      <c r="J62" s="59"/>
    </row>
    <row r="63" spans="1:10" ht="15.75" x14ac:dyDescent="0.25">
      <c r="A63" s="27" t="s">
        <v>83</v>
      </c>
      <c r="B63" s="204" t="s">
        <v>52</v>
      </c>
      <c r="C63" s="204">
        <v>51097620</v>
      </c>
      <c r="D63" s="204" t="s">
        <v>34</v>
      </c>
      <c r="E63" s="204">
        <v>4800</v>
      </c>
      <c r="F63" s="21">
        <v>588.09100000000001</v>
      </c>
      <c r="G63" s="21">
        <v>590.82299999999998</v>
      </c>
      <c r="H63" s="18">
        <f t="shared" si="2"/>
        <v>13113.59999999986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43455.599999999955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204" t="s">
        <v>52</v>
      </c>
      <c r="C66" s="9">
        <v>51259238</v>
      </c>
      <c r="D66" s="74" t="s">
        <v>53</v>
      </c>
      <c r="E66" s="74">
        <v>7000</v>
      </c>
      <c r="F66" s="75">
        <v>627.08100000000002</v>
      </c>
      <c r="G66" s="75">
        <v>629.1</v>
      </c>
      <c r="H66" s="76">
        <f>(G66-F66)*E66</f>
        <v>14133.000000000038</v>
      </c>
      <c r="I66" s="77"/>
      <c r="J66" s="78"/>
    </row>
    <row r="67" spans="1:10" ht="15.75" x14ac:dyDescent="0.25">
      <c r="A67" s="27" t="s">
        <v>86</v>
      </c>
      <c r="B67" s="204" t="s">
        <v>52</v>
      </c>
      <c r="C67" s="204">
        <v>51259324</v>
      </c>
      <c r="D67" s="205" t="s">
        <v>53</v>
      </c>
      <c r="E67" s="205">
        <v>7000</v>
      </c>
      <c r="F67" s="21">
        <v>482.79199999999997</v>
      </c>
      <c r="G67" s="21">
        <v>483.87700000000001</v>
      </c>
      <c r="H67" s="18">
        <f>(G67-F67)*E67</f>
        <v>7595.0000000002547</v>
      </c>
      <c r="I67" s="51"/>
      <c r="J67" s="58"/>
    </row>
    <row r="68" spans="1:10" ht="15.75" x14ac:dyDescent="0.25">
      <c r="A68" s="27" t="s">
        <v>87</v>
      </c>
      <c r="B68" s="79" t="s">
        <v>88</v>
      </c>
      <c r="C68" s="204">
        <v>51491618</v>
      </c>
      <c r="D68" s="205" t="s">
        <v>63</v>
      </c>
      <c r="E68" s="204">
        <v>40</v>
      </c>
      <c r="F68" s="28">
        <v>1468.5630000000001</v>
      </c>
      <c r="G68" s="28">
        <v>1472.896</v>
      </c>
      <c r="H68" s="18">
        <f>(G68-F68)*E68</f>
        <v>173.31999999999425</v>
      </c>
      <c r="I68" s="51"/>
      <c r="J68" s="58"/>
    </row>
    <row r="69" spans="1:10" ht="15.75" x14ac:dyDescent="0.25">
      <c r="A69" s="27" t="s">
        <v>89</v>
      </c>
      <c r="B69" s="79" t="s">
        <v>88</v>
      </c>
      <c r="C69" s="204">
        <v>51491624</v>
      </c>
      <c r="D69" s="205" t="s">
        <v>63</v>
      </c>
      <c r="E69" s="204">
        <v>40</v>
      </c>
      <c r="F69" s="28">
        <v>190.904</v>
      </c>
      <c r="G69" s="28">
        <v>191.244</v>
      </c>
      <c r="H69" s="18">
        <f>(G69-F69)*E69</f>
        <v>13.600000000000136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21728.000000000291</v>
      </c>
      <c r="I70" s="85">
        <f>H70-H73-H68-H69</f>
        <v>-694.91999999980521</v>
      </c>
      <c r="J70" s="25">
        <f>I70/H70</f>
        <v>-3.1982695139902241E-2</v>
      </c>
    </row>
    <row r="71" spans="1:10" ht="15.75" x14ac:dyDescent="0.25">
      <c r="A71" s="27" t="s">
        <v>91</v>
      </c>
      <c r="B71" s="204" t="s">
        <v>52</v>
      </c>
      <c r="C71" s="86">
        <v>51097588</v>
      </c>
      <c r="D71" s="205" t="s">
        <v>75</v>
      </c>
      <c r="E71" s="204">
        <v>12000</v>
      </c>
      <c r="F71" s="21">
        <v>374.04500000000002</v>
      </c>
      <c r="G71" s="21">
        <v>375.22500000000002</v>
      </c>
      <c r="H71" s="18">
        <f>(G71-F71)*E71</f>
        <v>14160.000000000082</v>
      </c>
      <c r="I71" s="51"/>
      <c r="J71" s="58"/>
    </row>
    <row r="72" spans="1:10" ht="15.75" x14ac:dyDescent="0.25">
      <c r="A72" s="27" t="s">
        <v>92</v>
      </c>
      <c r="B72" s="204" t="s">
        <v>52</v>
      </c>
      <c r="C72" s="86">
        <v>51431335</v>
      </c>
      <c r="D72" s="205" t="s">
        <v>75</v>
      </c>
      <c r="E72" s="204">
        <v>12000</v>
      </c>
      <c r="F72" s="21">
        <v>294.67700000000002</v>
      </c>
      <c r="G72" s="21">
        <v>295.35000000000002</v>
      </c>
      <c r="H72" s="18">
        <f>(G72-F72)*E72</f>
        <v>8076.0000000000218</v>
      </c>
      <c r="I72" s="51"/>
      <c r="J72" s="58"/>
    </row>
    <row r="73" spans="1:10" ht="15.75" x14ac:dyDescent="0.25">
      <c r="A73" s="87" t="s">
        <v>93</v>
      </c>
      <c r="B73" s="204" t="s">
        <v>27</v>
      </c>
      <c r="C73" s="204"/>
      <c r="D73" s="205"/>
      <c r="E73" s="204"/>
      <c r="F73" s="21"/>
      <c r="G73" s="21"/>
      <c r="H73" s="48">
        <f>H71+ H72</f>
        <v>22236.000000000102</v>
      </c>
      <c r="I73" s="85">
        <f>H73-H81</f>
        <v>-10.799999999595457</v>
      </c>
      <c r="J73" s="25">
        <f>I73/H73</f>
        <v>-4.8569886668444899E-4</v>
      </c>
    </row>
    <row r="74" spans="1:10" ht="15.75" x14ac:dyDescent="0.25">
      <c r="A74" s="27" t="s">
        <v>94</v>
      </c>
      <c r="B74" s="204" t="s">
        <v>52</v>
      </c>
      <c r="C74" s="86">
        <v>51097676</v>
      </c>
      <c r="D74" s="88" t="s">
        <v>63</v>
      </c>
      <c r="E74" s="204">
        <v>2400</v>
      </c>
      <c r="F74" s="21">
        <v>783.37800000000004</v>
      </c>
      <c r="G74" s="21">
        <v>785.601</v>
      </c>
      <c r="H74" s="18">
        <f>(G74-F74)*E74</f>
        <v>5335.1999999998952</v>
      </c>
      <c r="I74" s="51"/>
      <c r="J74" s="58"/>
    </row>
    <row r="75" spans="1:10" ht="15.75" x14ac:dyDescent="0.25">
      <c r="A75" s="27" t="s">
        <v>95</v>
      </c>
      <c r="B75" s="204" t="s">
        <v>52</v>
      </c>
      <c r="C75" s="86">
        <v>51431355</v>
      </c>
      <c r="D75" s="205" t="s">
        <v>21</v>
      </c>
      <c r="E75" s="205">
        <v>3600</v>
      </c>
      <c r="F75" s="21">
        <v>402.63900000000001</v>
      </c>
      <c r="G75" s="21">
        <v>403.85599999999999</v>
      </c>
      <c r="H75" s="18">
        <f>(G75-F75)*E75</f>
        <v>4381.1999999999443</v>
      </c>
      <c r="I75" s="51"/>
      <c r="J75" s="52"/>
    </row>
    <row r="76" spans="1:10" ht="15.75" x14ac:dyDescent="0.25">
      <c r="A76" s="27" t="s">
        <v>96</v>
      </c>
      <c r="B76" s="204" t="s">
        <v>52</v>
      </c>
      <c r="C76" s="86">
        <v>51259331</v>
      </c>
      <c r="D76" s="88" t="s">
        <v>37</v>
      </c>
      <c r="E76" s="204">
        <v>600</v>
      </c>
      <c r="F76" s="21">
        <v>185.851</v>
      </c>
      <c r="G76" s="21">
        <v>186.35900000000001</v>
      </c>
      <c r="H76" s="18">
        <f>(G76-F76)*E76</f>
        <v>304.80000000000587</v>
      </c>
      <c r="I76" s="51"/>
      <c r="J76" s="52"/>
    </row>
    <row r="77" spans="1:10" ht="15.75" x14ac:dyDescent="0.25">
      <c r="A77" s="27" t="s">
        <v>97</v>
      </c>
      <c r="B77" s="204" t="s">
        <v>52</v>
      </c>
      <c r="C77" s="86">
        <v>51259326</v>
      </c>
      <c r="D77" s="88" t="s">
        <v>14</v>
      </c>
      <c r="E77" s="204">
        <v>7200</v>
      </c>
      <c r="F77" s="21">
        <v>369.44900000000001</v>
      </c>
      <c r="G77" s="21">
        <v>370.67599999999999</v>
      </c>
      <c r="H77" s="18">
        <f>(G77-F77)*E77</f>
        <v>8834.3999999998232</v>
      </c>
      <c r="I77" s="51"/>
      <c r="J77" s="52"/>
    </row>
    <row r="78" spans="1:10" ht="15.75" x14ac:dyDescent="0.25">
      <c r="A78" s="27" t="s">
        <v>98</v>
      </c>
      <c r="B78" s="204" t="s">
        <v>52</v>
      </c>
      <c r="C78" s="86">
        <v>51431351</v>
      </c>
      <c r="D78" s="88" t="s">
        <v>14</v>
      </c>
      <c r="E78" s="204">
        <v>7200</v>
      </c>
      <c r="F78" s="21">
        <v>269.24599999999998</v>
      </c>
      <c r="G78" s="21">
        <v>269.71699999999998</v>
      </c>
      <c r="H78" s="18">
        <f>(G78-F78)*E78</f>
        <v>3391.2000000000262</v>
      </c>
      <c r="I78" s="51"/>
      <c r="J78" s="52"/>
    </row>
    <row r="79" spans="1:10" ht="15.75" x14ac:dyDescent="0.25">
      <c r="A79" s="89" t="s">
        <v>99</v>
      </c>
      <c r="B79" s="204" t="s">
        <v>52</v>
      </c>
      <c r="C79" s="90">
        <v>51097666</v>
      </c>
      <c r="D79" s="88" t="s">
        <v>63</v>
      </c>
      <c r="E79" s="204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204" t="s">
        <v>52</v>
      </c>
      <c r="C80" s="90">
        <v>51259323</v>
      </c>
      <c r="D80" s="88" t="s">
        <v>63</v>
      </c>
      <c r="E80" s="204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22246.799999999697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204" t="s">
        <v>52</v>
      </c>
      <c r="C83" s="106">
        <v>51431297</v>
      </c>
      <c r="D83" s="205" t="s">
        <v>53</v>
      </c>
      <c r="E83" s="100">
        <v>7000</v>
      </c>
      <c r="F83" s="17">
        <v>333.78500000000003</v>
      </c>
      <c r="G83" s="17">
        <v>334.42099999999999</v>
      </c>
      <c r="H83" s="18">
        <f>(G83-F83)*E83</f>
        <v>4451.9999999997708</v>
      </c>
      <c r="I83" s="107"/>
      <c r="J83" s="108"/>
    </row>
    <row r="84" spans="1:10" ht="15.75" x14ac:dyDescent="0.25">
      <c r="A84" s="105" t="s">
        <v>86</v>
      </c>
      <c r="B84" s="204" t="s">
        <v>52</v>
      </c>
      <c r="C84" s="106">
        <v>51431332</v>
      </c>
      <c r="D84" s="205" t="s">
        <v>53</v>
      </c>
      <c r="E84" s="100">
        <v>7000</v>
      </c>
      <c r="F84" s="17">
        <v>376.98700000000002</v>
      </c>
      <c r="G84" s="17">
        <v>379.34199999999998</v>
      </c>
      <c r="H84" s="18">
        <f>(G84-F84)*E84</f>
        <v>16484.999999999731</v>
      </c>
      <c r="I84" s="204"/>
      <c r="J84" s="58"/>
    </row>
    <row r="85" spans="1:10" ht="15.75" x14ac:dyDescent="0.25">
      <c r="A85" s="27" t="s">
        <v>87</v>
      </c>
      <c r="B85" s="204" t="s">
        <v>103</v>
      </c>
      <c r="C85" s="109">
        <v>150773</v>
      </c>
      <c r="D85" s="205" t="s">
        <v>53</v>
      </c>
      <c r="E85" s="109">
        <v>20</v>
      </c>
      <c r="F85" s="17">
        <v>15804.2</v>
      </c>
      <c r="G85" s="17">
        <v>15806.2</v>
      </c>
      <c r="H85" s="18">
        <f>(G85-F85)*E85</f>
        <v>40</v>
      </c>
      <c r="I85" s="51"/>
      <c r="J85" s="58"/>
    </row>
    <row r="86" spans="1:10" ht="15.75" x14ac:dyDescent="0.25">
      <c r="A86" s="27" t="s">
        <v>89</v>
      </c>
      <c r="B86" s="204" t="s">
        <v>103</v>
      </c>
      <c r="C86" s="109">
        <v>150791</v>
      </c>
      <c r="D86" s="205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206"/>
      <c r="C87" s="32"/>
      <c r="D87" s="82"/>
      <c r="E87" s="82"/>
      <c r="F87" s="21"/>
      <c r="G87" s="21"/>
      <c r="H87" s="48">
        <f>H83+H84</f>
        <v>20936.999999999502</v>
      </c>
      <c r="I87" s="85">
        <f>H87-H90-H85-H86</f>
        <v>338.59999999942738</v>
      </c>
      <c r="J87" s="25">
        <f>I87/H87</f>
        <v>1.6172326503292516E-2</v>
      </c>
    </row>
    <row r="88" spans="1:10" ht="15.75" x14ac:dyDescent="0.25">
      <c r="A88" s="27" t="s">
        <v>104</v>
      </c>
      <c r="B88" s="204" t="s">
        <v>52</v>
      </c>
      <c r="C88" s="106">
        <v>51431342</v>
      </c>
      <c r="D88" s="88" t="s">
        <v>34</v>
      </c>
      <c r="E88" s="204">
        <v>4800</v>
      </c>
      <c r="F88" s="21">
        <v>474.94400000000002</v>
      </c>
      <c r="G88" s="21">
        <v>475.84399999999999</v>
      </c>
      <c r="H88" s="18">
        <f>(G88-F88)*E88</f>
        <v>4319.9999999998909</v>
      </c>
      <c r="I88" s="51"/>
      <c r="J88" s="52"/>
    </row>
    <row r="89" spans="1:10" ht="15.75" x14ac:dyDescent="0.25">
      <c r="A89" s="27" t="s">
        <v>105</v>
      </c>
      <c r="B89" s="204" t="s">
        <v>52</v>
      </c>
      <c r="C89" s="106">
        <v>51431343</v>
      </c>
      <c r="D89" s="88" t="s">
        <v>34</v>
      </c>
      <c r="E89" s="204">
        <v>4800</v>
      </c>
      <c r="F89" s="21">
        <v>531.87</v>
      </c>
      <c r="G89" s="21">
        <v>535.25300000000004</v>
      </c>
      <c r="H89" s="18">
        <f>(G89-F89)*E89</f>
        <v>16238.400000000183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20558.400000000074</v>
      </c>
      <c r="I90" s="85">
        <f>H90-H98</f>
        <v>-10.59999999980937</v>
      </c>
      <c r="J90" s="25">
        <f>I90/H90</f>
        <v>-5.1560432717572045E-4</v>
      </c>
    </row>
    <row r="91" spans="1:10" ht="15.75" x14ac:dyDescent="0.25">
      <c r="A91" s="27" t="s">
        <v>107</v>
      </c>
      <c r="B91" s="204" t="s">
        <v>52</v>
      </c>
      <c r="C91" s="106">
        <v>51431347</v>
      </c>
      <c r="D91" s="205" t="s">
        <v>53</v>
      </c>
      <c r="E91" s="204">
        <v>1200</v>
      </c>
      <c r="F91" s="21">
        <v>1275.954</v>
      </c>
      <c r="G91" s="21">
        <v>1284.5119999999999</v>
      </c>
      <c r="H91" s="18">
        <f>(G91-F91)*E91</f>
        <v>10269.599999999991</v>
      </c>
      <c r="I91" s="51"/>
      <c r="J91" s="52"/>
    </row>
    <row r="92" spans="1:10" ht="15.75" x14ac:dyDescent="0.25">
      <c r="A92" s="27" t="s">
        <v>108</v>
      </c>
      <c r="B92" s="204" t="s">
        <v>52</v>
      </c>
      <c r="C92" s="106">
        <v>51431339</v>
      </c>
      <c r="D92" s="205" t="s">
        <v>53</v>
      </c>
      <c r="E92" s="204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204" t="s">
        <v>52</v>
      </c>
      <c r="C93" s="106">
        <v>51217244</v>
      </c>
      <c r="D93" s="204" t="s">
        <v>37</v>
      </c>
      <c r="E93" s="204">
        <v>600</v>
      </c>
      <c r="F93" s="30">
        <v>371.66699999999997</v>
      </c>
      <c r="G93" s="30">
        <v>374.14699999999999</v>
      </c>
      <c r="H93" s="18">
        <f t="shared" si="4"/>
        <v>1488.0000000000109</v>
      </c>
      <c r="I93" s="51"/>
      <c r="J93" s="52"/>
    </row>
    <row r="94" spans="1:10" ht="15.75" x14ac:dyDescent="0.25">
      <c r="A94" s="27" t="s">
        <v>110</v>
      </c>
      <c r="B94" s="204" t="s">
        <v>52</v>
      </c>
      <c r="C94" s="106">
        <v>51217267</v>
      </c>
      <c r="D94" s="88" t="s">
        <v>63</v>
      </c>
      <c r="E94" s="204">
        <v>2400</v>
      </c>
      <c r="F94" s="30">
        <v>27.228999999999999</v>
      </c>
      <c r="G94" s="30">
        <v>29.097999999999999</v>
      </c>
      <c r="H94" s="18">
        <f t="shared" si="4"/>
        <v>4485.5999999999995</v>
      </c>
      <c r="I94" s="51"/>
      <c r="J94" s="52"/>
    </row>
    <row r="95" spans="1:10" ht="15.75" x14ac:dyDescent="0.25">
      <c r="A95" s="27" t="s">
        <v>111</v>
      </c>
      <c r="B95" s="204" t="s">
        <v>52</v>
      </c>
      <c r="C95" s="204">
        <v>51555165</v>
      </c>
      <c r="D95" s="205" t="s">
        <v>53</v>
      </c>
      <c r="E95" s="204">
        <v>1200</v>
      </c>
      <c r="F95" s="30">
        <v>1007.984</v>
      </c>
      <c r="G95" s="30">
        <v>1007.984</v>
      </c>
      <c r="H95" s="18">
        <f t="shared" si="4"/>
        <v>0</v>
      </c>
      <c r="I95" s="51" t="s">
        <v>27</v>
      </c>
      <c r="J95" s="52"/>
    </row>
    <row r="96" spans="1:10" ht="15.75" x14ac:dyDescent="0.25">
      <c r="A96" s="113" t="s">
        <v>112</v>
      </c>
      <c r="B96" s="204" t="s">
        <v>52</v>
      </c>
      <c r="C96" s="106">
        <v>51431346</v>
      </c>
      <c r="D96" s="114" t="s">
        <v>37</v>
      </c>
      <c r="E96" s="114">
        <v>600</v>
      </c>
      <c r="F96" s="30">
        <v>394.435</v>
      </c>
      <c r="G96" s="30">
        <v>394.54599999999999</v>
      </c>
      <c r="H96" s="115">
        <f t="shared" si="4"/>
        <v>66.599999999993997</v>
      </c>
      <c r="I96" s="116"/>
      <c r="J96" s="117"/>
    </row>
    <row r="97" spans="1:10" ht="15.75" x14ac:dyDescent="0.25">
      <c r="A97" s="27" t="s">
        <v>113</v>
      </c>
      <c r="B97" s="204" t="s">
        <v>52</v>
      </c>
      <c r="C97" s="106">
        <v>51431352</v>
      </c>
      <c r="D97" s="88" t="s">
        <v>21</v>
      </c>
      <c r="E97" s="204">
        <v>3600</v>
      </c>
      <c r="F97" s="21">
        <v>271.55200000000002</v>
      </c>
      <c r="G97" s="21">
        <v>272.72399999999999</v>
      </c>
      <c r="H97" s="18">
        <f t="shared" si="4"/>
        <v>4219.199999999887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20568.999999999884</v>
      </c>
      <c r="I98" s="51"/>
      <c r="J98" s="52"/>
    </row>
    <row r="99" spans="1:10" ht="15.75" x14ac:dyDescent="0.25">
      <c r="A99" s="45" t="s">
        <v>114</v>
      </c>
      <c r="B99" s="204" t="s">
        <v>52</v>
      </c>
      <c r="C99" s="120">
        <v>51431357</v>
      </c>
      <c r="D99" s="205" t="s">
        <v>63</v>
      </c>
      <c r="E99" s="205">
        <v>14000</v>
      </c>
      <c r="F99" s="28">
        <v>926.221</v>
      </c>
      <c r="G99" s="28">
        <v>929.88699999999994</v>
      </c>
      <c r="H99" s="121">
        <f t="shared" si="4"/>
        <v>51323.999999999156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opLeftCell="E64" zoomScaleNormal="100" workbookViewId="0">
      <selection activeCell="D29" sqref="D29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143</v>
      </c>
      <c r="G2" s="4" t="s">
        <v>144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207" t="s">
        <v>13</v>
      </c>
      <c r="C4" s="207">
        <v>51555166</v>
      </c>
      <c r="D4" s="207" t="s">
        <v>14</v>
      </c>
      <c r="E4" s="207">
        <v>132000</v>
      </c>
      <c r="F4" s="17">
        <v>7.1050000000000004</v>
      </c>
      <c r="G4" s="17">
        <v>7.1109999999999998</v>
      </c>
      <c r="H4" s="18">
        <f>(G4-F4)*E4</f>
        <v>791.9999999999128</v>
      </c>
      <c r="I4" s="19"/>
      <c r="J4" s="20"/>
    </row>
    <row r="5" spans="1:10" ht="15.75" x14ac:dyDescent="0.25">
      <c r="A5" s="15" t="s">
        <v>15</v>
      </c>
      <c r="B5" s="207" t="s">
        <v>13</v>
      </c>
      <c r="C5" s="207">
        <v>51555191</v>
      </c>
      <c r="D5" s="207" t="s">
        <v>14</v>
      </c>
      <c r="E5" s="207">
        <v>132000</v>
      </c>
      <c r="F5" s="21">
        <v>422.351</v>
      </c>
      <c r="G5" s="21">
        <v>424.01920000000001</v>
      </c>
      <c r="H5" s="18">
        <f>(G5-F5)*E5</f>
        <v>220202.40000000171</v>
      </c>
      <c r="I5" s="19"/>
      <c r="J5" s="20"/>
    </row>
    <row r="6" spans="1:10" ht="15.75" x14ac:dyDescent="0.25">
      <c r="A6" s="218" t="s">
        <v>16</v>
      </c>
      <c r="B6" s="219"/>
      <c r="C6" s="207"/>
      <c r="D6" s="208"/>
      <c r="E6" s="207"/>
      <c r="H6" s="23">
        <f>H4+H5</f>
        <v>220994.40000000162</v>
      </c>
      <c r="I6" s="24">
        <f>H6-H9-H19</f>
        <v>1626.0000000100918</v>
      </c>
      <c r="J6" s="25">
        <f>I6/H6</f>
        <v>7.3576525016474615E-3</v>
      </c>
    </row>
    <row r="7" spans="1:10" ht="15.75" x14ac:dyDescent="0.25">
      <c r="A7" s="26" t="s">
        <v>17</v>
      </c>
      <c r="B7" s="207" t="s">
        <v>13</v>
      </c>
      <c r="C7" s="207">
        <v>51097629</v>
      </c>
      <c r="D7" s="208" t="s">
        <v>14</v>
      </c>
      <c r="E7" s="207">
        <v>42000</v>
      </c>
      <c r="F7" s="21">
        <v>1216.7080000000001</v>
      </c>
      <c r="G7" s="21">
        <v>1220.5519999999999</v>
      </c>
      <c r="H7" s="18">
        <f>(G7-F7)*E7</f>
        <v>161447.99999999258</v>
      </c>
      <c r="I7" s="19"/>
      <c r="J7" s="20"/>
    </row>
    <row r="8" spans="1:10" ht="15.75" x14ac:dyDescent="0.25">
      <c r="A8" s="26" t="s">
        <v>18</v>
      </c>
      <c r="B8" s="207" t="s">
        <v>13</v>
      </c>
      <c r="C8" s="207">
        <v>51616820</v>
      </c>
      <c r="D8" s="208" t="s">
        <v>14</v>
      </c>
      <c r="E8" s="207">
        <v>42000</v>
      </c>
      <c r="F8" s="21">
        <v>15.535</v>
      </c>
      <c r="G8" s="21">
        <v>15.5428</v>
      </c>
      <c r="H8" s="18">
        <f>(G8-F8)*E8</f>
        <v>327.59999999998257</v>
      </c>
      <c r="I8" s="19"/>
      <c r="J8" s="20"/>
    </row>
    <row r="9" spans="1:10" ht="15.75" x14ac:dyDescent="0.25">
      <c r="A9" s="218" t="s">
        <v>19</v>
      </c>
      <c r="B9" s="219"/>
      <c r="C9" s="207"/>
      <c r="D9" s="208"/>
      <c r="E9" s="207"/>
      <c r="F9" s="21"/>
      <c r="G9" s="21"/>
      <c r="H9" s="23">
        <f>H7+H8</f>
        <v>161775.59999999256</v>
      </c>
      <c r="I9" s="24">
        <f>H9-H16</f>
        <v>71.399999993824167</v>
      </c>
      <c r="J9" s="25">
        <f>I9/H9</f>
        <v>4.4135209508620247E-4</v>
      </c>
    </row>
    <row r="10" spans="1:10" ht="15.75" x14ac:dyDescent="0.25">
      <c r="A10" s="27" t="s">
        <v>20</v>
      </c>
      <c r="B10" s="207" t="s">
        <v>13</v>
      </c>
      <c r="C10" s="207">
        <v>51217286</v>
      </c>
      <c r="D10" s="208" t="s">
        <v>21</v>
      </c>
      <c r="E10" s="207">
        <v>21000</v>
      </c>
      <c r="F10" s="21">
        <v>957.06100000000004</v>
      </c>
      <c r="G10" s="21">
        <v>959.86839999999995</v>
      </c>
      <c r="H10" s="18">
        <f t="shared" ref="H10:H15" si="0">(G10-F10)*E10</f>
        <v>58955.399999998233</v>
      </c>
      <c r="I10" s="19"/>
      <c r="J10" s="20"/>
    </row>
    <row r="11" spans="1:10" ht="15.75" x14ac:dyDescent="0.25">
      <c r="A11" s="27" t="s">
        <v>22</v>
      </c>
      <c r="B11" s="207" t="s">
        <v>13</v>
      </c>
      <c r="C11" s="207">
        <v>51217292</v>
      </c>
      <c r="D11" s="208" t="s">
        <v>21</v>
      </c>
      <c r="E11" s="207">
        <v>21000</v>
      </c>
      <c r="F11" s="28">
        <v>4.0369999999999999</v>
      </c>
      <c r="G11" s="28">
        <v>4.04</v>
      </c>
      <c r="H11" s="18">
        <f>(G11-F11)*E11</f>
        <v>63.000000000002387</v>
      </c>
      <c r="I11" s="19"/>
      <c r="J11" s="20"/>
    </row>
    <row r="12" spans="1:10" ht="15.75" x14ac:dyDescent="0.25">
      <c r="A12" s="27" t="s">
        <v>23</v>
      </c>
      <c r="B12" s="207" t="s">
        <v>13</v>
      </c>
      <c r="C12" s="207">
        <v>51217271</v>
      </c>
      <c r="D12" s="208" t="s">
        <v>21</v>
      </c>
      <c r="E12" s="207">
        <v>21000</v>
      </c>
      <c r="F12" s="21">
        <v>720.48800000000006</v>
      </c>
      <c r="G12" s="21">
        <v>722.72199999999998</v>
      </c>
      <c r="H12" s="18">
        <f t="shared" si="0"/>
        <v>46913.999999998399</v>
      </c>
      <c r="I12" s="19"/>
      <c r="J12" s="20"/>
    </row>
    <row r="13" spans="1:10" ht="15.75" x14ac:dyDescent="0.25">
      <c r="A13" s="27" t="s">
        <v>24</v>
      </c>
      <c r="B13" s="207" t="s">
        <v>13</v>
      </c>
      <c r="C13" s="207">
        <v>51217276</v>
      </c>
      <c r="D13" s="208" t="s">
        <v>21</v>
      </c>
      <c r="E13" s="207">
        <v>21000</v>
      </c>
      <c r="F13" s="28">
        <v>0.627</v>
      </c>
      <c r="G13" s="28">
        <v>0.62809999999999999</v>
      </c>
      <c r="H13" s="18">
        <f>(G13-F13)*E13</f>
        <v>23.099999999999788</v>
      </c>
      <c r="I13" s="19"/>
      <c r="J13" s="20"/>
    </row>
    <row r="14" spans="1:10" ht="15.75" x14ac:dyDescent="0.25">
      <c r="A14" s="27" t="s">
        <v>25</v>
      </c>
      <c r="B14" s="207" t="s">
        <v>13</v>
      </c>
      <c r="C14" s="207">
        <v>51100990</v>
      </c>
      <c r="D14" s="208" t="s">
        <v>21</v>
      </c>
      <c r="E14" s="207">
        <v>21000</v>
      </c>
      <c r="F14" s="29">
        <v>775.26199999999994</v>
      </c>
      <c r="G14" s="29">
        <v>777.90970000000004</v>
      </c>
      <c r="H14" s="18">
        <f t="shared" si="0"/>
        <v>55601.7000000021</v>
      </c>
      <c r="I14" s="19"/>
      <c r="J14" s="20"/>
    </row>
    <row r="15" spans="1:10" ht="15.75" x14ac:dyDescent="0.25">
      <c r="A15" s="27" t="s">
        <v>26</v>
      </c>
      <c r="B15" s="207" t="s">
        <v>13</v>
      </c>
      <c r="C15" s="207">
        <v>51097622</v>
      </c>
      <c r="D15" s="208" t="s">
        <v>21</v>
      </c>
      <c r="E15" s="207">
        <v>21000</v>
      </c>
      <c r="F15" s="21">
        <v>9.4770000000000003</v>
      </c>
      <c r="G15" s="21">
        <v>9.484</v>
      </c>
      <c r="H15" s="18">
        <f t="shared" si="0"/>
        <v>146.99999999999312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207"/>
      <c r="D16" s="208"/>
      <c r="E16" s="207"/>
      <c r="F16" s="21"/>
      <c r="G16" s="21"/>
      <c r="H16" s="23">
        <f>H10+H11+H12+H13+H14+H15</f>
        <v>161704.19999999873</v>
      </c>
      <c r="I16" s="19"/>
      <c r="J16" s="20"/>
    </row>
    <row r="17" spans="1:10" ht="15.75" x14ac:dyDescent="0.25">
      <c r="A17" s="26" t="s">
        <v>29</v>
      </c>
      <c r="B17" s="207" t="s">
        <v>13</v>
      </c>
      <c r="C17" s="207">
        <v>51097617</v>
      </c>
      <c r="D17" s="208" t="s">
        <v>30</v>
      </c>
      <c r="E17" s="207">
        <v>18000</v>
      </c>
      <c r="F17" s="30">
        <v>959.55200000000002</v>
      </c>
      <c r="G17" s="30">
        <v>962.75149999999996</v>
      </c>
      <c r="H17" s="18">
        <f>(G17-F17)*E17</f>
        <v>57590.999999998981</v>
      </c>
      <c r="I17" s="19"/>
      <c r="J17" s="20"/>
    </row>
    <row r="18" spans="1:10" ht="15.75" x14ac:dyDescent="0.25">
      <c r="A18" s="26" t="s">
        <v>31</v>
      </c>
      <c r="B18" s="207" t="s">
        <v>13</v>
      </c>
      <c r="C18" s="207">
        <v>51097655</v>
      </c>
      <c r="D18" s="208" t="s">
        <v>30</v>
      </c>
      <c r="E18" s="207">
        <v>18000</v>
      </c>
      <c r="F18" s="30">
        <v>11.542</v>
      </c>
      <c r="G18" s="30">
        <v>11.5421</v>
      </c>
      <c r="H18" s="18">
        <f>(G18-F18)*E18</f>
        <v>1.799999999995805</v>
      </c>
      <c r="I18" s="19"/>
      <c r="J18" s="20"/>
    </row>
    <row r="19" spans="1:10" ht="15.75" x14ac:dyDescent="0.25">
      <c r="A19" s="218" t="s">
        <v>32</v>
      </c>
      <c r="B19" s="219"/>
      <c r="C19" s="207"/>
      <c r="D19" s="208"/>
      <c r="E19" s="207"/>
      <c r="F19" s="30"/>
      <c r="G19" s="30"/>
      <c r="H19" s="23">
        <f>H17+H18</f>
        <v>57592.799999998977</v>
      </c>
      <c r="I19" s="24">
        <f>H19-H34</f>
        <v>481.25999999915803</v>
      </c>
      <c r="J19" s="25">
        <f>I19/H19</f>
        <v>8.3562528649269805E-3</v>
      </c>
    </row>
    <row r="20" spans="1:10" ht="15.75" x14ac:dyDescent="0.25">
      <c r="A20" s="15" t="s">
        <v>33</v>
      </c>
      <c r="B20" s="207" t="s">
        <v>13</v>
      </c>
      <c r="C20" s="207">
        <v>51217282</v>
      </c>
      <c r="D20" s="208" t="s">
        <v>34</v>
      </c>
      <c r="E20" s="207">
        <v>4800</v>
      </c>
      <c r="F20" s="21">
        <v>459.85199999999998</v>
      </c>
      <c r="G20" s="21">
        <v>465.923</v>
      </c>
      <c r="H20" s="18">
        <f t="shared" ref="H20:H33" si="1">(G20-F20)*E20</f>
        <v>29140.800000000127</v>
      </c>
      <c r="I20" s="19" t="s">
        <v>27</v>
      </c>
      <c r="J20" s="20"/>
    </row>
    <row r="21" spans="1:10" ht="15.75" x14ac:dyDescent="0.25">
      <c r="A21" s="15" t="s">
        <v>35</v>
      </c>
      <c r="B21" s="207" t="s">
        <v>13</v>
      </c>
      <c r="C21" s="207">
        <v>51217274</v>
      </c>
      <c r="D21" s="208" t="s">
        <v>34</v>
      </c>
      <c r="E21" s="207">
        <v>4800</v>
      </c>
      <c r="F21" s="21">
        <v>1431.5640000000001</v>
      </c>
      <c r="G21" s="21">
        <v>1432.1302000000001</v>
      </c>
      <c r="H21" s="18">
        <f t="shared" si="1"/>
        <v>2717.7599999999074</v>
      </c>
      <c r="I21" s="19"/>
      <c r="J21" s="20"/>
    </row>
    <row r="22" spans="1:10" ht="15.75" x14ac:dyDescent="0.25">
      <c r="A22" s="15" t="s">
        <v>36</v>
      </c>
      <c r="B22" s="207" t="s">
        <v>13</v>
      </c>
      <c r="C22" s="207">
        <v>51097664</v>
      </c>
      <c r="D22" s="208" t="s">
        <v>37</v>
      </c>
      <c r="E22" s="207">
        <v>600</v>
      </c>
      <c r="F22" s="21">
        <v>4.4409999999999998</v>
      </c>
      <c r="G22" s="21">
        <v>4.4410999999999996</v>
      </c>
      <c r="H22" s="18">
        <f t="shared" si="1"/>
        <v>5.9999999999860165E-2</v>
      </c>
      <c r="I22" s="19"/>
      <c r="J22" s="20"/>
    </row>
    <row r="23" spans="1:10" ht="15.75" x14ac:dyDescent="0.25">
      <c r="A23" s="15" t="s">
        <v>38</v>
      </c>
      <c r="B23" s="207" t="s">
        <v>13</v>
      </c>
      <c r="C23" s="207">
        <v>51097615</v>
      </c>
      <c r="D23" s="208" t="s">
        <v>37</v>
      </c>
      <c r="E23" s="207">
        <v>600</v>
      </c>
      <c r="F23" s="21">
        <v>51.634999999999998</v>
      </c>
      <c r="G23" s="21">
        <v>51.926099999999998</v>
      </c>
      <c r="H23" s="18">
        <f t="shared" si="1"/>
        <v>174.66000000000008</v>
      </c>
      <c r="I23" s="19"/>
      <c r="J23" s="20"/>
    </row>
    <row r="24" spans="1:10" ht="15.75" x14ac:dyDescent="0.25">
      <c r="A24" s="15" t="s">
        <v>39</v>
      </c>
      <c r="B24" s="207" t="s">
        <v>13</v>
      </c>
      <c r="C24" s="207">
        <v>51217264</v>
      </c>
      <c r="D24" s="208" t="s">
        <v>37</v>
      </c>
      <c r="E24" s="207">
        <v>600</v>
      </c>
      <c r="F24" s="21">
        <v>117.70399999999999</v>
      </c>
      <c r="G24" s="21">
        <v>118.0765</v>
      </c>
      <c r="H24" s="18">
        <f t="shared" si="1"/>
        <v>223.50000000000136</v>
      </c>
      <c r="I24" s="19"/>
      <c r="J24" s="20"/>
    </row>
    <row r="25" spans="1:10" ht="15.75" x14ac:dyDescent="0.25">
      <c r="A25" s="15" t="s">
        <v>40</v>
      </c>
      <c r="B25" s="207" t="s">
        <v>13</v>
      </c>
      <c r="C25" s="207">
        <v>51217288</v>
      </c>
      <c r="D25" s="208" t="s">
        <v>37</v>
      </c>
      <c r="E25" s="207">
        <v>600</v>
      </c>
      <c r="F25" s="21">
        <v>21.26</v>
      </c>
      <c r="G25" s="21">
        <v>21.291899999999998</v>
      </c>
      <c r="H25" s="18">
        <f t="shared" si="1"/>
        <v>19.139999999998025</v>
      </c>
      <c r="I25" s="19" t="s">
        <v>27</v>
      </c>
      <c r="J25" s="20"/>
    </row>
    <row r="26" spans="1:10" ht="15.75" x14ac:dyDescent="0.25">
      <c r="A26" s="15" t="s">
        <v>41</v>
      </c>
      <c r="B26" s="207" t="s">
        <v>13</v>
      </c>
      <c r="C26" s="207">
        <v>51217279</v>
      </c>
      <c r="D26" s="208" t="s">
        <v>37</v>
      </c>
      <c r="E26" s="207">
        <v>600</v>
      </c>
      <c r="F26" s="21">
        <v>16.664000000000001</v>
      </c>
      <c r="G26" s="21">
        <v>16.7195</v>
      </c>
      <c r="H26" s="18">
        <f t="shared" si="1"/>
        <v>33.29999999999913</v>
      </c>
      <c r="I26" s="19" t="s">
        <v>27</v>
      </c>
      <c r="J26" s="20"/>
    </row>
    <row r="27" spans="1:10" ht="15.75" x14ac:dyDescent="0.25">
      <c r="A27" s="15" t="s">
        <v>42</v>
      </c>
      <c r="B27" s="207" t="s">
        <v>13</v>
      </c>
      <c r="C27" s="207">
        <v>51217272</v>
      </c>
      <c r="D27" s="208" t="s">
        <v>37</v>
      </c>
      <c r="E27" s="207">
        <v>600</v>
      </c>
      <c r="F27" s="31">
        <v>16.344999999999999</v>
      </c>
      <c r="G27" s="31">
        <v>16.3992</v>
      </c>
      <c r="H27" s="18">
        <f t="shared" si="1"/>
        <v>32.520000000000948</v>
      </c>
      <c r="I27" s="19"/>
      <c r="J27" s="20"/>
    </row>
    <row r="28" spans="1:10" ht="15.75" x14ac:dyDescent="0.25">
      <c r="A28" s="15" t="s">
        <v>43</v>
      </c>
      <c r="B28" s="207" t="s">
        <v>13</v>
      </c>
      <c r="C28" s="207">
        <v>51616744</v>
      </c>
      <c r="D28" s="208">
        <f>300/5</f>
        <v>60</v>
      </c>
      <c r="E28" s="207">
        <v>3600</v>
      </c>
      <c r="F28" s="31">
        <v>109.78400000000001</v>
      </c>
      <c r="G28" s="31">
        <v>109.78489999999999</v>
      </c>
      <c r="H28" s="18">
        <f t="shared" si="1"/>
        <v>3.2399999999540796</v>
      </c>
      <c r="I28" s="19"/>
      <c r="J28" s="20"/>
    </row>
    <row r="29" spans="1:10" ht="15.75" x14ac:dyDescent="0.25">
      <c r="A29" s="15" t="s">
        <v>44</v>
      </c>
      <c r="B29" s="207" t="s">
        <v>13</v>
      </c>
      <c r="C29" s="207">
        <v>51555226</v>
      </c>
      <c r="D29" s="208">
        <f>300/5</f>
        <v>60</v>
      </c>
      <c r="E29" s="207">
        <v>3600</v>
      </c>
      <c r="F29" s="31">
        <v>599.49199999999996</v>
      </c>
      <c r="G29" s="31">
        <v>600.98919999999998</v>
      </c>
      <c r="H29" s="18">
        <f>(G29-F29)*E29</f>
        <v>5389.9200000000747</v>
      </c>
      <c r="I29" s="19"/>
      <c r="J29" s="20"/>
    </row>
    <row r="30" spans="1:10" ht="15.75" x14ac:dyDescent="0.25">
      <c r="A30" s="15" t="s">
        <v>45</v>
      </c>
      <c r="B30" s="207" t="s">
        <v>13</v>
      </c>
      <c r="C30" s="207">
        <v>51097658</v>
      </c>
      <c r="D30" s="208" t="s">
        <v>34</v>
      </c>
      <c r="E30" s="207">
        <v>4800</v>
      </c>
      <c r="F30" s="31">
        <v>749.32</v>
      </c>
      <c r="G30" s="31">
        <v>751.12180000000001</v>
      </c>
      <c r="H30" s="18">
        <f t="shared" si="1"/>
        <v>8648.6399999997957</v>
      </c>
      <c r="I30" s="19"/>
      <c r="J30" s="20"/>
    </row>
    <row r="31" spans="1:10" ht="15.75" x14ac:dyDescent="0.25">
      <c r="A31" s="15" t="s">
        <v>46</v>
      </c>
      <c r="B31" s="207" t="s">
        <v>13</v>
      </c>
      <c r="C31" s="207">
        <v>51097635</v>
      </c>
      <c r="D31" s="208" t="s">
        <v>34</v>
      </c>
      <c r="E31" s="207">
        <v>4800</v>
      </c>
      <c r="F31" s="31">
        <v>48.515999999999998</v>
      </c>
      <c r="G31" s="31">
        <v>48.518799999999999</v>
      </c>
      <c r="H31" s="18">
        <f t="shared" si="1"/>
        <v>13.440000000002783</v>
      </c>
      <c r="I31" s="19"/>
      <c r="J31" s="20"/>
    </row>
    <row r="32" spans="1:10" ht="15.75" x14ac:dyDescent="0.25">
      <c r="A32" s="15" t="s">
        <v>47</v>
      </c>
      <c r="B32" s="207" t="s">
        <v>13</v>
      </c>
      <c r="C32" s="32">
        <v>51097633</v>
      </c>
      <c r="D32" s="208" t="s">
        <v>34</v>
      </c>
      <c r="E32" s="207">
        <v>4800</v>
      </c>
      <c r="F32" s="31">
        <v>242.428</v>
      </c>
      <c r="G32" s="31">
        <v>244.63659999999999</v>
      </c>
      <c r="H32" s="33">
        <f t="shared" si="1"/>
        <v>10601.279999999952</v>
      </c>
      <c r="I32" s="34"/>
      <c r="J32" s="35"/>
    </row>
    <row r="33" spans="1:10" ht="15.75" x14ac:dyDescent="0.25">
      <c r="A33" s="15" t="s">
        <v>48</v>
      </c>
      <c r="B33" s="207" t="s">
        <v>13</v>
      </c>
      <c r="C33" s="32">
        <v>51097662</v>
      </c>
      <c r="D33" s="208" t="s">
        <v>34</v>
      </c>
      <c r="E33" s="207">
        <v>4800</v>
      </c>
      <c r="F33" s="31">
        <v>4.7469999999999999</v>
      </c>
      <c r="G33" s="31">
        <v>4.7706</v>
      </c>
      <c r="H33" s="33">
        <f t="shared" si="1"/>
        <v>113.28000000000031</v>
      </c>
      <c r="I33" s="34"/>
      <c r="J33" s="35"/>
    </row>
    <row r="34" spans="1:10" ht="15.75" x14ac:dyDescent="0.25">
      <c r="A34" s="218" t="s">
        <v>49</v>
      </c>
      <c r="B34" s="219"/>
      <c r="C34" s="207"/>
      <c r="D34" s="208"/>
      <c r="E34" s="207"/>
      <c r="F34" s="36"/>
      <c r="G34" s="36"/>
      <c r="H34" s="23">
        <f>H20+H21+H22+H23+H24+H25+H26+H27+H28+H29+H30+H31+H32+H33</f>
        <v>57111.539999999819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207" t="s">
        <v>52</v>
      </c>
      <c r="C36" s="207">
        <v>51555209</v>
      </c>
      <c r="D36" s="208" t="s">
        <v>53</v>
      </c>
      <c r="E36" s="207">
        <v>7000</v>
      </c>
      <c r="F36" s="17">
        <v>6.3860000000000001</v>
      </c>
      <c r="G36" s="17">
        <v>6.4012000000000002</v>
      </c>
      <c r="H36" s="41">
        <f>(G36-F36)*E36</f>
        <v>106.40000000000072</v>
      </c>
      <c r="I36" s="42"/>
      <c r="J36" s="14"/>
    </row>
    <row r="37" spans="1:10" ht="15.75" x14ac:dyDescent="0.25">
      <c r="A37" s="15" t="s">
        <v>54</v>
      </c>
      <c r="B37" s="207" t="s">
        <v>52</v>
      </c>
      <c r="C37" s="207">
        <v>51555209</v>
      </c>
      <c r="D37" s="208" t="s">
        <v>53</v>
      </c>
      <c r="E37" s="207">
        <v>7000</v>
      </c>
      <c r="F37" s="21">
        <v>11.619</v>
      </c>
      <c r="G37" s="21">
        <v>11.670199999999999</v>
      </c>
      <c r="H37" s="18">
        <f>(G37-F37)*E37</f>
        <v>358.39999999999782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207" t="s">
        <v>52</v>
      </c>
      <c r="C39" s="207">
        <v>51097674</v>
      </c>
      <c r="D39" s="207" t="s">
        <v>14</v>
      </c>
      <c r="E39" s="207">
        <v>7200</v>
      </c>
      <c r="F39" s="21">
        <v>658.54700000000003</v>
      </c>
      <c r="G39" s="21">
        <v>660.59339999999997</v>
      </c>
      <c r="H39" s="18">
        <f>(G39-F39)*E39</f>
        <v>14734.079999999631</v>
      </c>
      <c r="I39" s="47"/>
      <c r="J39" s="20"/>
    </row>
    <row r="40" spans="1:10" ht="15.75" x14ac:dyDescent="0.25">
      <c r="A40" s="27" t="s">
        <v>57</v>
      </c>
      <c r="B40" s="207" t="s">
        <v>52</v>
      </c>
      <c r="C40" s="207">
        <v>51259257</v>
      </c>
      <c r="D40" s="207" t="s">
        <v>14</v>
      </c>
      <c r="E40" s="207">
        <v>7200</v>
      </c>
      <c r="F40" s="21">
        <v>1.0549999999999999</v>
      </c>
      <c r="G40" s="21">
        <v>1.0555000000000001</v>
      </c>
      <c r="H40" s="18">
        <f>(G40-F40)*E40</f>
        <v>3.6000000000012022</v>
      </c>
      <c r="I40" s="43"/>
      <c r="J40" s="20"/>
    </row>
    <row r="41" spans="1:10" ht="15.75" x14ac:dyDescent="0.25">
      <c r="A41" s="44" t="s">
        <v>58</v>
      </c>
      <c r="B41" s="207"/>
      <c r="C41" s="207"/>
      <c r="D41" s="207"/>
      <c r="E41" s="207"/>
      <c r="F41" s="21"/>
      <c r="G41" s="21"/>
      <c r="H41" s="48">
        <f>H39+H40</f>
        <v>14737.679999999631</v>
      </c>
      <c r="I41" s="24">
        <f>H41-H49</f>
        <v>-102.44000000057531</v>
      </c>
      <c r="J41" s="25">
        <f>I41/H41</f>
        <v>-6.9508905065504122E-3</v>
      </c>
    </row>
    <row r="42" spans="1:10" ht="15.75" x14ac:dyDescent="0.25">
      <c r="A42" s="15" t="s">
        <v>59</v>
      </c>
      <c r="B42" s="207"/>
      <c r="C42" s="207"/>
      <c r="D42" s="208"/>
      <c r="E42" s="207"/>
      <c r="H42" s="18"/>
      <c r="I42" s="43"/>
      <c r="J42" s="20"/>
    </row>
    <row r="43" spans="1:10" ht="15.75" x14ac:dyDescent="0.25">
      <c r="A43" s="27" t="s">
        <v>60</v>
      </c>
      <c r="B43" s="207" t="s">
        <v>52</v>
      </c>
      <c r="C43" s="32">
        <v>51097648</v>
      </c>
      <c r="D43" s="207" t="s">
        <v>53</v>
      </c>
      <c r="E43" s="207">
        <v>1200</v>
      </c>
      <c r="F43" s="21">
        <v>538.47400000000005</v>
      </c>
      <c r="G43" s="21">
        <v>540.0788</v>
      </c>
      <c r="H43" s="33">
        <f>(G43-F43)*E43</f>
        <v>1925.7599999999456</v>
      </c>
      <c r="I43" s="43"/>
      <c r="J43" s="20"/>
    </row>
    <row r="44" spans="1:10" ht="15.75" x14ac:dyDescent="0.25">
      <c r="A44" s="27" t="s">
        <v>61</v>
      </c>
      <c r="B44" s="207" t="s">
        <v>52</v>
      </c>
      <c r="C44" s="32">
        <v>50555043</v>
      </c>
      <c r="D44" s="207" t="s">
        <v>53</v>
      </c>
      <c r="E44" s="207">
        <v>1200</v>
      </c>
      <c r="F44" s="21">
        <v>2255.7570000000001</v>
      </c>
      <c r="G44" s="21">
        <v>2263.0338000000002</v>
      </c>
      <c r="H44" s="33">
        <f>(G44-F44)*E44</f>
        <v>8732.1600000001126</v>
      </c>
      <c r="I44" s="43"/>
      <c r="J44" s="20"/>
    </row>
    <row r="45" spans="1:10" ht="15.75" x14ac:dyDescent="0.25">
      <c r="A45" s="27" t="s">
        <v>62</v>
      </c>
      <c r="B45" s="207" t="s">
        <v>52</v>
      </c>
      <c r="C45" s="32">
        <v>51259336</v>
      </c>
      <c r="D45" s="207" t="s">
        <v>63</v>
      </c>
      <c r="E45" s="207">
        <v>2400</v>
      </c>
      <c r="F45" s="21">
        <v>4.516</v>
      </c>
      <c r="G45" s="21">
        <v>4.53</v>
      </c>
      <c r="H45" s="33">
        <f>(G45-F45)*E45</f>
        <v>33.600000000000563</v>
      </c>
      <c r="I45" s="43"/>
      <c r="J45" s="20"/>
    </row>
    <row r="46" spans="1:10" ht="15.75" x14ac:dyDescent="0.25">
      <c r="A46" s="27" t="s">
        <v>64</v>
      </c>
      <c r="B46" s="207" t="s">
        <v>52</v>
      </c>
      <c r="C46" s="32">
        <v>51259266</v>
      </c>
      <c r="D46" s="207" t="s">
        <v>53</v>
      </c>
      <c r="E46" s="207">
        <v>1200</v>
      </c>
      <c r="F46" s="21">
        <v>1092.934</v>
      </c>
      <c r="G46" s="21">
        <v>1096.1011000000001</v>
      </c>
      <c r="H46" s="33">
        <f>(G46-F46)*E46</f>
        <v>3800.5200000001423</v>
      </c>
      <c r="I46" s="43"/>
      <c r="J46" s="20"/>
    </row>
    <row r="47" spans="1:10" ht="15.75" x14ac:dyDescent="0.25">
      <c r="A47" s="27" t="s">
        <v>65</v>
      </c>
      <c r="B47" s="207" t="s">
        <v>52</v>
      </c>
      <c r="C47" s="32">
        <v>51431336</v>
      </c>
      <c r="D47" s="207" t="s">
        <v>53</v>
      </c>
      <c r="E47" s="207">
        <v>1200</v>
      </c>
      <c r="F47" s="21">
        <v>66.992999999999995</v>
      </c>
      <c r="G47" s="21">
        <v>67.241399999999999</v>
      </c>
      <c r="H47" s="33">
        <f>(G47-F47)*E47</f>
        <v>298.08000000000447</v>
      </c>
      <c r="I47" s="43"/>
      <c r="J47" s="20"/>
    </row>
    <row r="48" spans="1:10" ht="15.75" x14ac:dyDescent="0.25">
      <c r="A48" s="15" t="s">
        <v>66</v>
      </c>
      <c r="B48" s="207" t="s">
        <v>67</v>
      </c>
      <c r="C48" s="207">
        <v>49174</v>
      </c>
      <c r="D48" s="208" t="s">
        <v>53</v>
      </c>
      <c r="E48" s="207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14840.120000000206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207" t="s">
        <v>52</v>
      </c>
      <c r="C51" s="207">
        <v>51097603</v>
      </c>
      <c r="D51" s="208" t="s">
        <v>53</v>
      </c>
      <c r="E51" s="207">
        <v>7000</v>
      </c>
      <c r="F51" s="17">
        <v>2133.8359999999998</v>
      </c>
      <c r="G51" s="17">
        <v>2140.0065</v>
      </c>
      <c r="H51" s="18">
        <f>(G51-F51)*E51</f>
        <v>43193.500000001222</v>
      </c>
      <c r="I51" s="43"/>
      <c r="J51" s="20"/>
    </row>
    <row r="52" spans="1:10" ht="15.75" x14ac:dyDescent="0.25">
      <c r="A52" s="27" t="s">
        <v>72</v>
      </c>
      <c r="B52" s="207" t="s">
        <v>52</v>
      </c>
      <c r="C52" s="207">
        <v>51097590</v>
      </c>
      <c r="D52" s="208" t="s">
        <v>53</v>
      </c>
      <c r="E52" s="207">
        <v>7000</v>
      </c>
      <c r="F52" s="21">
        <v>13.321999999999999</v>
      </c>
      <c r="G52" s="21">
        <v>13.345800000000001</v>
      </c>
      <c r="H52" s="18">
        <f>(G52-F52)*E52</f>
        <v>166.60000000000963</v>
      </c>
      <c r="I52" s="43"/>
      <c r="J52" s="20"/>
    </row>
    <row r="53" spans="1:10" ht="15.75" x14ac:dyDescent="0.25">
      <c r="A53" s="15" t="s">
        <v>66</v>
      </c>
      <c r="B53" s="207" t="s">
        <v>67</v>
      </c>
      <c r="C53" s="207">
        <v>49174</v>
      </c>
      <c r="D53" s="208" t="s">
        <v>53</v>
      </c>
      <c r="E53" s="207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207"/>
      <c r="D54" s="208"/>
      <c r="E54" s="207"/>
      <c r="F54" s="21"/>
      <c r="G54" s="21"/>
      <c r="H54" s="48">
        <f>H51+H52+H53</f>
        <v>43460.100000001235</v>
      </c>
      <c r="I54" s="47"/>
      <c r="J54" s="59"/>
    </row>
    <row r="55" spans="1:10" ht="15.75" x14ac:dyDescent="0.25">
      <c r="A55" s="27" t="s">
        <v>74</v>
      </c>
      <c r="B55" s="207" t="s">
        <v>52</v>
      </c>
      <c r="C55" s="207">
        <v>51100980</v>
      </c>
      <c r="D55" s="207" t="s">
        <v>75</v>
      </c>
      <c r="E55" s="207">
        <v>12000</v>
      </c>
      <c r="F55" s="21">
        <v>1254.8699999999999</v>
      </c>
      <c r="G55" s="21">
        <v>1258.4933000000001</v>
      </c>
      <c r="H55" s="18">
        <f>(G55-F55)*E55</f>
        <v>43479.600000002392</v>
      </c>
      <c r="I55" s="47"/>
      <c r="J55" s="58"/>
    </row>
    <row r="56" spans="1:10" ht="15.75" x14ac:dyDescent="0.25">
      <c r="A56" s="27" t="s">
        <v>76</v>
      </c>
      <c r="B56" s="207" t="s">
        <v>52</v>
      </c>
      <c r="C56" s="207">
        <v>51097623</v>
      </c>
      <c r="D56" s="207" t="s">
        <v>75</v>
      </c>
      <c r="E56" s="207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207"/>
      <c r="C57" s="207"/>
      <c r="D57" s="207"/>
      <c r="E57" s="207"/>
      <c r="F57" s="21"/>
      <c r="G57" s="21"/>
      <c r="H57" s="48">
        <f>H55+H56</f>
        <v>43479.600000002392</v>
      </c>
      <c r="I57" s="61">
        <f>H54-H64-H53</f>
        <v>-238.17999999960011</v>
      </c>
      <c r="J57" s="25">
        <f>I57/H57</f>
        <v>-5.4779712784751239E-3</v>
      </c>
    </row>
    <row r="58" spans="1:10" ht="15.75" x14ac:dyDescent="0.25">
      <c r="A58" s="27" t="s">
        <v>78</v>
      </c>
      <c r="B58" s="207" t="s">
        <v>52</v>
      </c>
      <c r="C58" s="207">
        <v>51097675</v>
      </c>
      <c r="D58" s="207" t="s">
        <v>34</v>
      </c>
      <c r="E58" s="207">
        <v>4800</v>
      </c>
      <c r="F58" s="21">
        <v>584.57799999999997</v>
      </c>
      <c r="G58" s="21">
        <v>586.04110000000003</v>
      </c>
      <c r="H58" s="18">
        <f t="shared" ref="H58:H63" si="2">(G58-F58)*E58</f>
        <v>7022.8800000002593</v>
      </c>
      <c r="I58" s="62"/>
      <c r="J58" s="59"/>
    </row>
    <row r="59" spans="1:10" ht="15.75" x14ac:dyDescent="0.25">
      <c r="A59" s="27" t="s">
        <v>79</v>
      </c>
      <c r="B59" s="207" t="s">
        <v>52</v>
      </c>
      <c r="C59" s="207">
        <v>51100997</v>
      </c>
      <c r="D59" s="207" t="s">
        <v>21</v>
      </c>
      <c r="E59" s="207">
        <v>3600</v>
      </c>
      <c r="F59" s="21">
        <v>1456.5840000000001</v>
      </c>
      <c r="G59" s="21">
        <v>1459.1456000000001</v>
      </c>
      <c r="H59" s="18">
        <f t="shared" si="2"/>
        <v>9221.7599999999948</v>
      </c>
      <c r="I59" s="62"/>
      <c r="J59" s="59"/>
    </row>
    <row r="60" spans="1:10" ht="15.75" x14ac:dyDescent="0.25">
      <c r="A60" s="27" t="s">
        <v>80</v>
      </c>
      <c r="B60" s="207" t="s">
        <v>52</v>
      </c>
      <c r="C60" s="207">
        <v>51555218</v>
      </c>
      <c r="D60" s="207">
        <f>400/5</f>
        <v>80</v>
      </c>
      <c r="E60" s="207">
        <v>4800</v>
      </c>
      <c r="F60" s="21">
        <v>76.337999999999994</v>
      </c>
      <c r="G60" s="21">
        <v>76.563400000000001</v>
      </c>
      <c r="H60" s="18">
        <f t="shared" si="2"/>
        <v>1081.9200000000365</v>
      </c>
      <c r="I60" s="62"/>
      <c r="J60" s="59"/>
    </row>
    <row r="61" spans="1:10" ht="15.75" x14ac:dyDescent="0.25">
      <c r="A61" s="27" t="s">
        <v>81</v>
      </c>
      <c r="B61" s="207" t="s">
        <v>52</v>
      </c>
      <c r="C61" s="207">
        <v>51555151</v>
      </c>
      <c r="D61" s="207">
        <f>400/5</f>
        <v>80</v>
      </c>
      <c r="E61" s="207">
        <v>4800</v>
      </c>
      <c r="F61" s="63">
        <v>0.30599999999999999</v>
      </c>
      <c r="G61" s="63">
        <v>0.30690000000000001</v>
      </c>
      <c r="H61" s="18">
        <f t="shared" si="2"/>
        <v>4.3200000000000571</v>
      </c>
      <c r="I61" s="62"/>
      <c r="J61" s="59"/>
    </row>
    <row r="62" spans="1:10" ht="15.75" x14ac:dyDescent="0.25">
      <c r="A62" s="27" t="s">
        <v>82</v>
      </c>
      <c r="B62" s="207" t="s">
        <v>52</v>
      </c>
      <c r="C62" s="207">
        <v>51097599</v>
      </c>
      <c r="D62" s="207" t="s">
        <v>21</v>
      </c>
      <c r="E62" s="207">
        <v>3600</v>
      </c>
      <c r="F62" s="21">
        <v>1044.27</v>
      </c>
      <c r="G62" s="21">
        <v>1047.9273000000001</v>
      </c>
      <c r="H62" s="18">
        <f t="shared" si="2"/>
        <v>13166.280000000279</v>
      </c>
      <c r="I62" s="62"/>
      <c r="J62" s="59"/>
    </row>
    <row r="63" spans="1:10" ht="15.75" x14ac:dyDescent="0.25">
      <c r="A63" s="27" t="s">
        <v>83</v>
      </c>
      <c r="B63" s="207" t="s">
        <v>52</v>
      </c>
      <c r="C63" s="207">
        <v>51097620</v>
      </c>
      <c r="D63" s="207" t="s">
        <v>34</v>
      </c>
      <c r="E63" s="207">
        <v>4800</v>
      </c>
      <c r="F63" s="21">
        <v>590.82299999999998</v>
      </c>
      <c r="G63" s="21">
        <v>593.55240000000003</v>
      </c>
      <c r="H63" s="18">
        <f t="shared" si="2"/>
        <v>13101.120000000265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43598.280000000836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207" t="s">
        <v>52</v>
      </c>
      <c r="C66" s="9">
        <v>51259238</v>
      </c>
      <c r="D66" s="74" t="s">
        <v>53</v>
      </c>
      <c r="E66" s="74">
        <v>7000</v>
      </c>
      <c r="F66" s="75">
        <v>629.1</v>
      </c>
      <c r="G66" s="75">
        <v>631.35469999999998</v>
      </c>
      <c r="H66" s="76">
        <f>(G66-F66)*E66</f>
        <v>15782.8999999997</v>
      </c>
      <c r="I66" s="77"/>
      <c r="J66" s="78"/>
    </row>
    <row r="67" spans="1:10" ht="15.75" x14ac:dyDescent="0.25">
      <c r="A67" s="27" t="s">
        <v>86</v>
      </c>
      <c r="B67" s="207" t="s">
        <v>52</v>
      </c>
      <c r="C67" s="207">
        <v>51259324</v>
      </c>
      <c r="D67" s="208" t="s">
        <v>53</v>
      </c>
      <c r="E67" s="208">
        <v>7000</v>
      </c>
      <c r="F67" s="21">
        <v>483.87700000000001</v>
      </c>
      <c r="G67" s="21">
        <v>484.7013</v>
      </c>
      <c r="H67" s="18">
        <f>(G67-F67)*E67</f>
        <v>5770.0999999999567</v>
      </c>
      <c r="I67" s="51"/>
      <c r="J67" s="58"/>
    </row>
    <row r="68" spans="1:10" ht="15.75" x14ac:dyDescent="0.25">
      <c r="A68" s="27" t="s">
        <v>87</v>
      </c>
      <c r="B68" s="79" t="s">
        <v>88</v>
      </c>
      <c r="C68" s="207">
        <v>51491618</v>
      </c>
      <c r="D68" s="208" t="s">
        <v>63</v>
      </c>
      <c r="E68" s="207">
        <v>40</v>
      </c>
      <c r="F68" s="28">
        <v>1472.896</v>
      </c>
      <c r="G68" s="28">
        <v>1477.1975</v>
      </c>
      <c r="H68" s="18">
        <f>(G68-F68)*E68</f>
        <v>172.06000000000131</v>
      </c>
      <c r="I68" s="51"/>
      <c r="J68" s="58"/>
    </row>
    <row r="69" spans="1:10" ht="15.75" x14ac:dyDescent="0.25">
      <c r="A69" s="27" t="s">
        <v>89</v>
      </c>
      <c r="B69" s="79" t="s">
        <v>88</v>
      </c>
      <c r="C69" s="207">
        <v>51491624</v>
      </c>
      <c r="D69" s="208" t="s">
        <v>63</v>
      </c>
      <c r="E69" s="207">
        <v>40</v>
      </c>
      <c r="F69" s="28">
        <v>191.244</v>
      </c>
      <c r="G69" s="28">
        <v>191.59700000000001</v>
      </c>
      <c r="H69" s="18">
        <f>(G69-F69)*E69</f>
        <v>14.120000000000346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21552.999999999658</v>
      </c>
      <c r="I70" s="85">
        <f>H70-H73-H68-H69</f>
        <v>-367.57999999948652</v>
      </c>
      <c r="J70" s="25">
        <f>I70/H70</f>
        <v>-1.7054702361596639E-2</v>
      </c>
    </row>
    <row r="71" spans="1:10" ht="15.75" x14ac:dyDescent="0.25">
      <c r="A71" s="27" t="s">
        <v>91</v>
      </c>
      <c r="B71" s="207" t="s">
        <v>52</v>
      </c>
      <c r="C71" s="86">
        <v>51097588</v>
      </c>
      <c r="D71" s="208" t="s">
        <v>75</v>
      </c>
      <c r="E71" s="207">
        <v>12000</v>
      </c>
      <c r="F71" s="21">
        <v>375.22500000000002</v>
      </c>
      <c r="G71" s="21">
        <v>376.52929999999998</v>
      </c>
      <c r="H71" s="18">
        <f>(G71-F71)*E71</f>
        <v>15651.599999999462</v>
      </c>
      <c r="I71" s="51"/>
      <c r="J71" s="58"/>
    </row>
    <row r="72" spans="1:10" ht="15.75" x14ac:dyDescent="0.25">
      <c r="A72" s="27" t="s">
        <v>92</v>
      </c>
      <c r="B72" s="207" t="s">
        <v>52</v>
      </c>
      <c r="C72" s="86">
        <v>51431335</v>
      </c>
      <c r="D72" s="208" t="s">
        <v>75</v>
      </c>
      <c r="E72" s="207">
        <v>12000</v>
      </c>
      <c r="F72" s="21">
        <v>295.35000000000002</v>
      </c>
      <c r="G72" s="21">
        <v>295.8569</v>
      </c>
      <c r="H72" s="18">
        <f>(G72-F72)*E72</f>
        <v>6082.7999999996791</v>
      </c>
      <c r="I72" s="51"/>
      <c r="J72" s="58"/>
    </row>
    <row r="73" spans="1:10" ht="15.75" x14ac:dyDescent="0.25">
      <c r="A73" s="87" t="s">
        <v>93</v>
      </c>
      <c r="B73" s="207" t="s">
        <v>27</v>
      </c>
      <c r="C73" s="207"/>
      <c r="D73" s="208"/>
      <c r="E73" s="207"/>
      <c r="F73" s="21"/>
      <c r="G73" s="21"/>
      <c r="H73" s="48">
        <f>H71+ H72</f>
        <v>21734.399999999143</v>
      </c>
      <c r="I73" s="85">
        <f>H73-H81</f>
        <v>-26.580000000765722</v>
      </c>
      <c r="J73" s="25">
        <f>I73/H73</f>
        <v>-1.2229461131094839E-3</v>
      </c>
    </row>
    <row r="74" spans="1:10" ht="15.75" x14ac:dyDescent="0.25">
      <c r="A74" s="27" t="s">
        <v>94</v>
      </c>
      <c r="B74" s="207" t="s">
        <v>52</v>
      </c>
      <c r="C74" s="86">
        <v>51097676</v>
      </c>
      <c r="D74" s="88" t="s">
        <v>63</v>
      </c>
      <c r="E74" s="207">
        <v>2400</v>
      </c>
      <c r="F74" s="21">
        <v>785.601</v>
      </c>
      <c r="G74" s="21">
        <v>787.71550000000002</v>
      </c>
      <c r="H74" s="18">
        <f>(G74-F74)*E74</f>
        <v>5074.8000000000502</v>
      </c>
      <c r="I74" s="51"/>
      <c r="J74" s="58"/>
    </row>
    <row r="75" spans="1:10" ht="15.75" x14ac:dyDescent="0.25">
      <c r="A75" s="27" t="s">
        <v>95</v>
      </c>
      <c r="B75" s="207" t="s">
        <v>52</v>
      </c>
      <c r="C75" s="86">
        <v>51431355</v>
      </c>
      <c r="D75" s="208" t="s">
        <v>21</v>
      </c>
      <c r="E75" s="208">
        <v>3600</v>
      </c>
      <c r="F75" s="21">
        <v>403.85599999999999</v>
      </c>
      <c r="G75" s="21">
        <v>405.03879999999998</v>
      </c>
      <c r="H75" s="18">
        <f>(G75-F75)*E75</f>
        <v>4258.0799999999499</v>
      </c>
      <c r="I75" s="51"/>
      <c r="J75" s="52"/>
    </row>
    <row r="76" spans="1:10" ht="15.75" x14ac:dyDescent="0.25">
      <c r="A76" s="27" t="s">
        <v>96</v>
      </c>
      <c r="B76" s="207" t="s">
        <v>52</v>
      </c>
      <c r="C76" s="86">
        <v>51259331</v>
      </c>
      <c r="D76" s="88" t="s">
        <v>37</v>
      </c>
      <c r="E76" s="207">
        <v>600</v>
      </c>
      <c r="F76" s="21">
        <v>186.35900000000001</v>
      </c>
      <c r="G76" s="21">
        <v>186.7757</v>
      </c>
      <c r="H76" s="18">
        <f>(G76-F76)*E76</f>
        <v>250.01999999999498</v>
      </c>
      <c r="I76" s="51"/>
      <c r="J76" s="52"/>
    </row>
    <row r="77" spans="1:10" ht="15.75" x14ac:dyDescent="0.25">
      <c r="A77" s="27" t="s">
        <v>97</v>
      </c>
      <c r="B77" s="207" t="s">
        <v>52</v>
      </c>
      <c r="C77" s="86">
        <v>51259326</v>
      </c>
      <c r="D77" s="88" t="s">
        <v>14</v>
      </c>
      <c r="E77" s="207">
        <v>7200</v>
      </c>
      <c r="F77" s="21">
        <v>370.67599999999999</v>
      </c>
      <c r="G77" s="21">
        <v>371.89569999999998</v>
      </c>
      <c r="H77" s="18">
        <f>(G77-F77)*E77</f>
        <v>8781.8399999999201</v>
      </c>
      <c r="I77" s="51"/>
      <c r="J77" s="52"/>
    </row>
    <row r="78" spans="1:10" ht="15.75" x14ac:dyDescent="0.25">
      <c r="A78" s="27" t="s">
        <v>98</v>
      </c>
      <c r="B78" s="207" t="s">
        <v>52</v>
      </c>
      <c r="C78" s="86">
        <v>51431351</v>
      </c>
      <c r="D78" s="88" t="s">
        <v>14</v>
      </c>
      <c r="E78" s="207">
        <v>7200</v>
      </c>
      <c r="F78" s="21">
        <v>269.71699999999998</v>
      </c>
      <c r="G78" s="21">
        <v>270.18869999999998</v>
      </c>
      <c r="H78" s="18">
        <f>(G78-F78)*E78</f>
        <v>3396.2399999999889</v>
      </c>
      <c r="I78" s="51"/>
      <c r="J78" s="52"/>
    </row>
    <row r="79" spans="1:10" ht="15.75" x14ac:dyDescent="0.25">
      <c r="A79" s="89" t="s">
        <v>99</v>
      </c>
      <c r="B79" s="207" t="s">
        <v>52</v>
      </c>
      <c r="C79" s="90">
        <v>51097666</v>
      </c>
      <c r="D79" s="88" t="s">
        <v>63</v>
      </c>
      <c r="E79" s="207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207" t="s">
        <v>52</v>
      </c>
      <c r="C80" s="90">
        <v>51259323</v>
      </c>
      <c r="D80" s="88" t="s">
        <v>63</v>
      </c>
      <c r="E80" s="207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21760.979999999909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207" t="s">
        <v>52</v>
      </c>
      <c r="C83" s="106">
        <v>51431297</v>
      </c>
      <c r="D83" s="208" t="s">
        <v>53</v>
      </c>
      <c r="E83" s="100">
        <v>7000</v>
      </c>
      <c r="F83" s="17">
        <v>334.42099999999999</v>
      </c>
      <c r="G83" s="17">
        <v>335.12329999999997</v>
      </c>
      <c r="H83" s="18">
        <f>(G83-F83)*E83</f>
        <v>4916.0999999998585</v>
      </c>
      <c r="I83" s="107"/>
      <c r="J83" s="108"/>
    </row>
    <row r="84" spans="1:10" ht="15.75" x14ac:dyDescent="0.25">
      <c r="A84" s="105" t="s">
        <v>86</v>
      </c>
      <c r="B84" s="207" t="s">
        <v>52</v>
      </c>
      <c r="C84" s="106">
        <v>51431332</v>
      </c>
      <c r="D84" s="208" t="s">
        <v>53</v>
      </c>
      <c r="E84" s="100">
        <v>7000</v>
      </c>
      <c r="F84" s="17">
        <v>379.34199999999998</v>
      </c>
      <c r="G84" s="17">
        <v>381.7962</v>
      </c>
      <c r="H84" s="18">
        <f>(G84-F84)*E84</f>
        <v>17179.4000000001</v>
      </c>
      <c r="I84" s="207"/>
      <c r="J84" s="58"/>
    </row>
    <row r="85" spans="1:10" ht="15.75" x14ac:dyDescent="0.25">
      <c r="A85" s="27" t="s">
        <v>87</v>
      </c>
      <c r="B85" s="207" t="s">
        <v>103</v>
      </c>
      <c r="C85" s="109">
        <v>150773</v>
      </c>
      <c r="D85" s="208" t="s">
        <v>53</v>
      </c>
      <c r="E85" s="109">
        <v>20</v>
      </c>
      <c r="F85" s="17">
        <v>15806.2</v>
      </c>
      <c r="G85" s="17">
        <v>15808.2</v>
      </c>
      <c r="H85" s="18">
        <f>(G85-F85)*E85</f>
        <v>40</v>
      </c>
      <c r="I85" s="51"/>
      <c r="J85" s="58"/>
    </row>
    <row r="86" spans="1:10" ht="15.75" x14ac:dyDescent="0.25">
      <c r="A86" s="27" t="s">
        <v>89</v>
      </c>
      <c r="B86" s="207" t="s">
        <v>103</v>
      </c>
      <c r="C86" s="109">
        <v>150791</v>
      </c>
      <c r="D86" s="208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209"/>
      <c r="C87" s="32"/>
      <c r="D87" s="82"/>
      <c r="E87" s="82"/>
      <c r="F87" s="21"/>
      <c r="G87" s="21"/>
      <c r="H87" s="48">
        <f>H83+H84</f>
        <v>22095.499999999956</v>
      </c>
      <c r="I87" s="85">
        <f>H87-H90-H85-H86</f>
        <v>352.78000000036627</v>
      </c>
      <c r="J87" s="25">
        <f>I87/H87</f>
        <v>1.5966146953016087E-2</v>
      </c>
    </row>
    <row r="88" spans="1:10" ht="15.75" x14ac:dyDescent="0.25">
      <c r="A88" s="27" t="s">
        <v>104</v>
      </c>
      <c r="B88" s="207" t="s">
        <v>52</v>
      </c>
      <c r="C88" s="106">
        <v>51431342</v>
      </c>
      <c r="D88" s="88" t="s">
        <v>34</v>
      </c>
      <c r="E88" s="207">
        <v>4800</v>
      </c>
      <c r="F88" s="21">
        <v>475.84399999999999</v>
      </c>
      <c r="G88" s="21">
        <v>476.84059999999999</v>
      </c>
      <c r="H88" s="18">
        <f>(G88-F88)*E88</f>
        <v>4783.6800000000039</v>
      </c>
      <c r="I88" s="51"/>
      <c r="J88" s="52"/>
    </row>
    <row r="89" spans="1:10" ht="15.75" x14ac:dyDescent="0.25">
      <c r="A89" s="27" t="s">
        <v>105</v>
      </c>
      <c r="B89" s="207" t="s">
        <v>52</v>
      </c>
      <c r="C89" s="106">
        <v>51431343</v>
      </c>
      <c r="D89" s="88" t="s">
        <v>34</v>
      </c>
      <c r="E89" s="207">
        <v>4800</v>
      </c>
      <c r="F89" s="21">
        <v>535.25300000000004</v>
      </c>
      <c r="G89" s="21">
        <v>538.77779999999996</v>
      </c>
      <c r="H89" s="18">
        <f>(G89-F89)*E89</f>
        <v>16919.039999999586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21702.71999999959</v>
      </c>
      <c r="I90" s="85">
        <f>H90-H98</f>
        <v>-12.580000000340078</v>
      </c>
      <c r="J90" s="25">
        <f>I90/H90</f>
        <v>-5.7965084562397321E-4</v>
      </c>
    </row>
    <row r="91" spans="1:10" ht="15.75" x14ac:dyDescent="0.25">
      <c r="A91" s="27" t="s">
        <v>107</v>
      </c>
      <c r="B91" s="207" t="s">
        <v>52</v>
      </c>
      <c r="C91" s="106">
        <v>51431347</v>
      </c>
      <c r="D91" s="208" t="s">
        <v>53</v>
      </c>
      <c r="E91" s="207">
        <v>1200</v>
      </c>
      <c r="F91" s="21">
        <v>1284.5119999999999</v>
      </c>
      <c r="G91" s="21">
        <v>1293.068</v>
      </c>
      <c r="H91" s="18">
        <f>(G91-F91)*E91</f>
        <v>10267.200000000048</v>
      </c>
      <c r="I91" s="51"/>
      <c r="J91" s="52"/>
    </row>
    <row r="92" spans="1:10" ht="15.75" x14ac:dyDescent="0.25">
      <c r="A92" s="27" t="s">
        <v>108</v>
      </c>
      <c r="B92" s="207" t="s">
        <v>52</v>
      </c>
      <c r="C92" s="106">
        <v>51431339</v>
      </c>
      <c r="D92" s="208" t="s">
        <v>53</v>
      </c>
      <c r="E92" s="207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207" t="s">
        <v>52</v>
      </c>
      <c r="C93" s="106">
        <v>51217244</v>
      </c>
      <c r="D93" s="207" t="s">
        <v>37</v>
      </c>
      <c r="E93" s="207">
        <v>600</v>
      </c>
      <c r="F93" s="30">
        <v>374.14699999999999</v>
      </c>
      <c r="G93" s="30">
        <v>376.6379</v>
      </c>
      <c r="H93" s="18">
        <f t="shared" si="4"/>
        <v>1494.5400000000063</v>
      </c>
      <c r="I93" s="51"/>
      <c r="J93" s="52"/>
    </row>
    <row r="94" spans="1:10" ht="15.75" x14ac:dyDescent="0.25">
      <c r="A94" s="27" t="s">
        <v>110</v>
      </c>
      <c r="B94" s="207" t="s">
        <v>52</v>
      </c>
      <c r="C94" s="106">
        <v>51217267</v>
      </c>
      <c r="D94" s="88" t="s">
        <v>63</v>
      </c>
      <c r="E94" s="207">
        <v>2400</v>
      </c>
      <c r="F94" s="30">
        <v>29.097999999999999</v>
      </c>
      <c r="G94" s="30">
        <v>31.249500000000001</v>
      </c>
      <c r="H94" s="18">
        <f t="shared" si="4"/>
        <v>5163.6000000000049</v>
      </c>
      <c r="I94" s="51"/>
      <c r="J94" s="52"/>
    </row>
    <row r="95" spans="1:10" ht="15.75" x14ac:dyDescent="0.25">
      <c r="A95" s="27" t="s">
        <v>111</v>
      </c>
      <c r="B95" s="207" t="s">
        <v>52</v>
      </c>
      <c r="C95" s="207">
        <v>51555165</v>
      </c>
      <c r="D95" s="208" t="s">
        <v>53</v>
      </c>
      <c r="E95" s="207">
        <v>1200</v>
      </c>
      <c r="F95" s="30">
        <v>1007.984</v>
      </c>
      <c r="G95" s="30">
        <v>1007.9848</v>
      </c>
      <c r="H95" s="18">
        <f t="shared" si="4"/>
        <v>0.95999999989544449</v>
      </c>
      <c r="I95" s="51" t="s">
        <v>27</v>
      </c>
      <c r="J95" s="52"/>
    </row>
    <row r="96" spans="1:10" ht="15.75" x14ac:dyDescent="0.25">
      <c r="A96" s="113" t="s">
        <v>112</v>
      </c>
      <c r="B96" s="207" t="s">
        <v>52</v>
      </c>
      <c r="C96" s="106">
        <v>51431346</v>
      </c>
      <c r="D96" s="114" t="s">
        <v>37</v>
      </c>
      <c r="E96" s="114">
        <v>600</v>
      </c>
      <c r="F96" s="30">
        <v>394.54599999999999</v>
      </c>
      <c r="G96" s="30">
        <v>394.63339999999999</v>
      </c>
      <c r="H96" s="115">
        <f t="shared" si="4"/>
        <v>52.440000000001419</v>
      </c>
      <c r="I96" s="116"/>
      <c r="J96" s="117"/>
    </row>
    <row r="97" spans="1:10" ht="15.75" x14ac:dyDescent="0.25">
      <c r="A97" s="27" t="s">
        <v>113</v>
      </c>
      <c r="B97" s="207" t="s">
        <v>52</v>
      </c>
      <c r="C97" s="106">
        <v>51431352</v>
      </c>
      <c r="D97" s="88" t="s">
        <v>21</v>
      </c>
      <c r="E97" s="207">
        <v>3600</v>
      </c>
      <c r="F97" s="21">
        <v>272.72399999999999</v>
      </c>
      <c r="G97" s="21">
        <v>274.02859999999998</v>
      </c>
      <c r="H97" s="18">
        <f t="shared" si="4"/>
        <v>4696.5599999999768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21715.29999999993</v>
      </c>
      <c r="I98" s="51"/>
      <c r="J98" s="52"/>
    </row>
    <row r="99" spans="1:10" ht="15.75" x14ac:dyDescent="0.25">
      <c r="A99" s="45" t="s">
        <v>114</v>
      </c>
      <c r="B99" s="207" t="s">
        <v>52</v>
      </c>
      <c r="C99" s="120">
        <v>51431357</v>
      </c>
      <c r="D99" s="208" t="s">
        <v>63</v>
      </c>
      <c r="E99" s="208">
        <v>14000</v>
      </c>
      <c r="F99" s="28">
        <v>929.88699999999994</v>
      </c>
      <c r="G99" s="28">
        <v>933.41859999999997</v>
      </c>
      <c r="H99" s="121">
        <f t="shared" si="4"/>
        <v>49442.400000000358</v>
      </c>
      <c r="I99" s="51"/>
      <c r="J99" s="122"/>
    </row>
  </sheetData>
  <mergeCells count="12">
    <mergeCell ref="F1:G1"/>
    <mergeCell ref="B50:E50"/>
    <mergeCell ref="A1:A2"/>
    <mergeCell ref="B1:B2"/>
    <mergeCell ref="C1:C2"/>
    <mergeCell ref="D1:D2"/>
    <mergeCell ref="E1:E2"/>
    <mergeCell ref="A6:B6"/>
    <mergeCell ref="A9:B9"/>
    <mergeCell ref="A16:B16"/>
    <mergeCell ref="A19:B19"/>
    <mergeCell ref="A34:B3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abSelected="1" topLeftCell="A76" workbookViewId="0">
      <selection activeCell="G86" sqref="G8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6" t="s">
        <v>0</v>
      </c>
      <c r="B1" s="216" t="s">
        <v>1</v>
      </c>
      <c r="C1" s="216" t="s">
        <v>2</v>
      </c>
      <c r="D1" s="217" t="s">
        <v>3</v>
      </c>
      <c r="E1" s="216" t="s">
        <v>4</v>
      </c>
      <c r="F1" s="213" t="s">
        <v>5</v>
      </c>
      <c r="G1" s="214"/>
      <c r="H1" s="1" t="s">
        <v>6</v>
      </c>
      <c r="I1" s="2" t="s">
        <v>7</v>
      </c>
      <c r="J1" s="3" t="s">
        <v>7</v>
      </c>
    </row>
    <row r="2" spans="1:10" ht="16.5" thickBot="1" x14ac:dyDescent="0.3">
      <c r="A2" s="216"/>
      <c r="B2" s="216"/>
      <c r="C2" s="216"/>
      <c r="D2" s="217"/>
      <c r="E2" s="216"/>
      <c r="F2" s="4" t="s">
        <v>144</v>
      </c>
      <c r="G2" s="4" t="s">
        <v>145</v>
      </c>
      <c r="H2" s="5" t="s">
        <v>9</v>
      </c>
      <c r="I2" s="6" t="s">
        <v>9</v>
      </c>
      <c r="J2" s="7" t="s">
        <v>10</v>
      </c>
    </row>
    <row r="3" spans="1:10" ht="15.75" x14ac:dyDescent="0.25">
      <c r="A3" s="8"/>
      <c r="B3" s="9"/>
      <c r="C3" s="9"/>
      <c r="D3" s="10" t="s">
        <v>11</v>
      </c>
      <c r="E3" s="9"/>
      <c r="F3" s="11"/>
      <c r="G3" s="11"/>
      <c r="H3" s="12"/>
      <c r="I3" s="13"/>
      <c r="J3" s="14"/>
    </row>
    <row r="4" spans="1:10" ht="15.75" x14ac:dyDescent="0.25">
      <c r="A4" s="15" t="s">
        <v>12</v>
      </c>
      <c r="B4" s="210" t="s">
        <v>13</v>
      </c>
      <c r="C4" s="210">
        <v>51555166</v>
      </c>
      <c r="D4" s="210" t="s">
        <v>14</v>
      </c>
      <c r="E4" s="210">
        <v>132000</v>
      </c>
      <c r="F4" s="17">
        <v>7.1109999999999998</v>
      </c>
      <c r="G4" s="17">
        <v>7.1185999999999998</v>
      </c>
      <c r="H4" s="18">
        <f>(G4-F4)*E4</f>
        <v>1003.2000000000068</v>
      </c>
      <c r="I4" s="19"/>
      <c r="J4" s="20"/>
    </row>
    <row r="5" spans="1:10" ht="15.75" x14ac:dyDescent="0.25">
      <c r="A5" s="15" t="s">
        <v>15</v>
      </c>
      <c r="B5" s="210" t="s">
        <v>13</v>
      </c>
      <c r="C5" s="210">
        <v>51555191</v>
      </c>
      <c r="D5" s="210" t="s">
        <v>14</v>
      </c>
      <c r="E5" s="210">
        <v>132000</v>
      </c>
      <c r="F5" s="21">
        <v>424.01920000000001</v>
      </c>
      <c r="G5" s="21">
        <v>425.65640000000002</v>
      </c>
      <c r="H5" s="18">
        <f>(G5-F5)*E5</f>
        <v>216110.40000000093</v>
      </c>
      <c r="I5" s="19"/>
      <c r="J5" s="20"/>
    </row>
    <row r="6" spans="1:10" ht="15.75" x14ac:dyDescent="0.25">
      <c r="A6" s="218" t="s">
        <v>16</v>
      </c>
      <c r="B6" s="219"/>
      <c r="C6" s="210"/>
      <c r="D6" s="211"/>
      <c r="E6" s="210"/>
      <c r="H6" s="23">
        <f>H4+H5</f>
        <v>217113.60000000094</v>
      </c>
      <c r="I6" s="24">
        <f>H6-H9-H19</f>
        <v>1804.8000000010579</v>
      </c>
      <c r="J6" s="25">
        <f>I6/H6</f>
        <v>8.3126989741824104E-3</v>
      </c>
    </row>
    <row r="7" spans="1:10" ht="15.75" x14ac:dyDescent="0.25">
      <c r="A7" s="26" t="s">
        <v>17</v>
      </c>
      <c r="B7" s="210" t="s">
        <v>13</v>
      </c>
      <c r="C7" s="210">
        <v>51097629</v>
      </c>
      <c r="D7" s="211" t="s">
        <v>14</v>
      </c>
      <c r="E7" s="210">
        <v>42000</v>
      </c>
      <c r="F7" s="21">
        <v>1220.5519999999999</v>
      </c>
      <c r="G7" s="21">
        <v>1224.3056999999999</v>
      </c>
      <c r="H7" s="18">
        <f>(G7-F7)*E7</f>
        <v>157655.39999999918</v>
      </c>
      <c r="I7" s="19"/>
      <c r="J7" s="20"/>
    </row>
    <row r="8" spans="1:10" ht="15.75" x14ac:dyDescent="0.25">
      <c r="A8" s="26" t="s">
        <v>18</v>
      </c>
      <c r="B8" s="210" t="s">
        <v>13</v>
      </c>
      <c r="C8" s="210">
        <v>51616820</v>
      </c>
      <c r="D8" s="211" t="s">
        <v>14</v>
      </c>
      <c r="E8" s="210">
        <v>42000</v>
      </c>
      <c r="F8" s="21">
        <v>15.5428</v>
      </c>
      <c r="G8" s="21">
        <v>15.5526</v>
      </c>
      <c r="H8" s="18">
        <f>(G8-F8)*E8</f>
        <v>411.6000000000106</v>
      </c>
      <c r="I8" s="19"/>
      <c r="J8" s="20"/>
    </row>
    <row r="9" spans="1:10" ht="15.75" x14ac:dyDescent="0.25">
      <c r="A9" s="218" t="s">
        <v>19</v>
      </c>
      <c r="B9" s="219"/>
      <c r="C9" s="210"/>
      <c r="D9" s="211"/>
      <c r="E9" s="210"/>
      <c r="F9" s="21"/>
      <c r="G9" s="21"/>
      <c r="H9" s="23">
        <f>H7+H8</f>
        <v>158066.99999999919</v>
      </c>
      <c r="I9" s="24">
        <f>H9-H16</f>
        <v>-58.800000001967419</v>
      </c>
      <c r="J9" s="25">
        <f>I9/H9</f>
        <v>-3.7199415439002274E-4</v>
      </c>
    </row>
    <row r="10" spans="1:10" ht="15.75" x14ac:dyDescent="0.25">
      <c r="A10" s="27" t="s">
        <v>20</v>
      </c>
      <c r="B10" s="210" t="s">
        <v>13</v>
      </c>
      <c r="C10" s="210">
        <v>51217286</v>
      </c>
      <c r="D10" s="211" t="s">
        <v>21</v>
      </c>
      <c r="E10" s="210">
        <v>21000</v>
      </c>
      <c r="F10" s="21">
        <v>959.86839999999995</v>
      </c>
      <c r="G10" s="21">
        <v>962.63440000000003</v>
      </c>
      <c r="H10" s="18">
        <f t="shared" ref="H10:H15" si="0">(G10-F10)*E10</f>
        <v>58086.000000001601</v>
      </c>
      <c r="I10" s="19"/>
      <c r="J10" s="20"/>
    </row>
    <row r="11" spans="1:10" ht="15.75" x14ac:dyDescent="0.25">
      <c r="A11" s="27" t="s">
        <v>22</v>
      </c>
      <c r="B11" s="210" t="s">
        <v>13</v>
      </c>
      <c r="C11" s="210">
        <v>51217292</v>
      </c>
      <c r="D11" s="211" t="s">
        <v>21</v>
      </c>
      <c r="E11" s="210">
        <v>21000</v>
      </c>
      <c r="F11" s="28">
        <v>4.04</v>
      </c>
      <c r="G11" s="28">
        <v>4.0491000000000001</v>
      </c>
      <c r="H11" s="18">
        <f>(G11-F11)*E11</f>
        <v>191.10000000000227</v>
      </c>
      <c r="I11" s="19"/>
      <c r="J11" s="20"/>
    </row>
    <row r="12" spans="1:10" ht="15.75" x14ac:dyDescent="0.25">
      <c r="A12" s="27" t="s">
        <v>23</v>
      </c>
      <c r="B12" s="210" t="s">
        <v>13</v>
      </c>
      <c r="C12" s="210">
        <v>51217271</v>
      </c>
      <c r="D12" s="211" t="s">
        <v>21</v>
      </c>
      <c r="E12" s="210">
        <v>21000</v>
      </c>
      <c r="F12" s="21">
        <v>722.72199999999998</v>
      </c>
      <c r="G12" s="21">
        <v>724.8528</v>
      </c>
      <c r="H12" s="18">
        <f t="shared" si="0"/>
        <v>44746.800000000461</v>
      </c>
      <c r="I12" s="19"/>
      <c r="J12" s="20"/>
    </row>
    <row r="13" spans="1:10" ht="15.75" x14ac:dyDescent="0.25">
      <c r="A13" s="27" t="s">
        <v>24</v>
      </c>
      <c r="B13" s="210" t="s">
        <v>13</v>
      </c>
      <c r="C13" s="210">
        <v>51217276</v>
      </c>
      <c r="D13" s="211" t="s">
        <v>21</v>
      </c>
      <c r="E13" s="210">
        <v>21000</v>
      </c>
      <c r="F13" s="28">
        <v>0.62809999999999999</v>
      </c>
      <c r="G13" s="28">
        <v>0.62970000000000004</v>
      </c>
      <c r="H13" s="18">
        <f>(G13-F13)*E13</f>
        <v>33.600000000000961</v>
      </c>
      <c r="I13" s="19"/>
      <c r="J13" s="20"/>
    </row>
    <row r="14" spans="1:10" ht="15.75" x14ac:dyDescent="0.25">
      <c r="A14" s="27" t="s">
        <v>25</v>
      </c>
      <c r="B14" s="210" t="s">
        <v>13</v>
      </c>
      <c r="C14" s="210">
        <v>51100990</v>
      </c>
      <c r="D14" s="211" t="s">
        <v>21</v>
      </c>
      <c r="E14" s="210">
        <v>21000</v>
      </c>
      <c r="F14" s="29">
        <v>777.90970000000004</v>
      </c>
      <c r="G14" s="29">
        <v>780.5231</v>
      </c>
      <c r="H14" s="18">
        <f t="shared" si="0"/>
        <v>54881.399999999077</v>
      </c>
      <c r="I14" s="19"/>
      <c r="J14" s="20"/>
    </row>
    <row r="15" spans="1:10" ht="15.75" x14ac:dyDescent="0.25">
      <c r="A15" s="27" t="s">
        <v>26</v>
      </c>
      <c r="B15" s="210" t="s">
        <v>13</v>
      </c>
      <c r="C15" s="210">
        <v>51097622</v>
      </c>
      <c r="D15" s="211" t="s">
        <v>21</v>
      </c>
      <c r="E15" s="210">
        <v>21000</v>
      </c>
      <c r="F15" s="21">
        <v>9.484</v>
      </c>
      <c r="G15" s="21">
        <v>9.4929000000000006</v>
      </c>
      <c r="H15" s="18">
        <f t="shared" si="0"/>
        <v>186.90000000001206</v>
      </c>
      <c r="I15" s="19" t="s">
        <v>27</v>
      </c>
      <c r="J15" s="20"/>
    </row>
    <row r="16" spans="1:10" ht="15.75" x14ac:dyDescent="0.25">
      <c r="A16" s="218" t="s">
        <v>28</v>
      </c>
      <c r="B16" s="219"/>
      <c r="C16" s="210"/>
      <c r="D16" s="211"/>
      <c r="E16" s="210"/>
      <c r="F16" s="21"/>
      <c r="G16" s="21"/>
      <c r="H16" s="23">
        <f>H10+H11+H12+H13+H14+H15</f>
        <v>158125.80000000115</v>
      </c>
      <c r="I16" s="19"/>
      <c r="J16" s="20"/>
    </row>
    <row r="17" spans="1:10" ht="15.75" x14ac:dyDescent="0.25">
      <c r="A17" s="26" t="s">
        <v>29</v>
      </c>
      <c r="B17" s="210" t="s">
        <v>13</v>
      </c>
      <c r="C17" s="210">
        <v>51097617</v>
      </c>
      <c r="D17" s="211" t="s">
        <v>30</v>
      </c>
      <c r="E17" s="210">
        <v>18000</v>
      </c>
      <c r="F17" s="30">
        <v>962.75149999999996</v>
      </c>
      <c r="G17" s="30">
        <v>965.9316</v>
      </c>
      <c r="H17" s="18">
        <f>(G17-F17)*E17</f>
        <v>57241.800000000694</v>
      </c>
      <c r="I17" s="19"/>
      <c r="J17" s="20"/>
    </row>
    <row r="18" spans="1:10" ht="15.75" x14ac:dyDescent="0.25">
      <c r="A18" s="26" t="s">
        <v>31</v>
      </c>
      <c r="B18" s="210" t="s">
        <v>13</v>
      </c>
      <c r="C18" s="210">
        <v>51097655</v>
      </c>
      <c r="D18" s="211" t="s">
        <v>30</v>
      </c>
      <c r="E18" s="210">
        <v>18000</v>
      </c>
      <c r="F18" s="30">
        <v>11.5421</v>
      </c>
      <c r="G18" s="30">
        <v>11.5421</v>
      </c>
      <c r="H18" s="18">
        <f>(G18-F18)*E18</f>
        <v>0</v>
      </c>
      <c r="I18" s="19"/>
      <c r="J18" s="20"/>
    </row>
    <row r="19" spans="1:10" ht="15.75" x14ac:dyDescent="0.25">
      <c r="A19" s="218" t="s">
        <v>32</v>
      </c>
      <c r="B19" s="219"/>
      <c r="C19" s="210"/>
      <c r="D19" s="211"/>
      <c r="E19" s="210"/>
      <c r="F19" s="30"/>
      <c r="G19" s="30"/>
      <c r="H19" s="23">
        <f>H17+H18</f>
        <v>57241.800000000694</v>
      </c>
      <c r="I19" s="24">
        <f>H19-H34</f>
        <v>382.08000000048196</v>
      </c>
      <c r="J19" s="25">
        <f>I19/H19</f>
        <v>6.6748425102019383E-3</v>
      </c>
    </row>
    <row r="20" spans="1:10" ht="15.75" x14ac:dyDescent="0.25">
      <c r="A20" s="15" t="s">
        <v>33</v>
      </c>
      <c r="B20" s="210" t="s">
        <v>13</v>
      </c>
      <c r="C20" s="210">
        <v>51217282</v>
      </c>
      <c r="D20" s="211" t="s">
        <v>34</v>
      </c>
      <c r="E20" s="210">
        <v>4800</v>
      </c>
      <c r="F20" s="21">
        <v>465.923</v>
      </c>
      <c r="G20" s="21">
        <v>472.00049999999999</v>
      </c>
      <c r="H20" s="18">
        <f t="shared" ref="H20:H33" si="1">(G20-F20)*E20</f>
        <v>29171.999999999935</v>
      </c>
      <c r="I20" s="19" t="s">
        <v>27</v>
      </c>
      <c r="J20" s="20"/>
    </row>
    <row r="21" spans="1:10" ht="15.75" x14ac:dyDescent="0.25">
      <c r="A21" s="15" t="s">
        <v>35</v>
      </c>
      <c r="B21" s="210" t="s">
        <v>13</v>
      </c>
      <c r="C21" s="210">
        <v>51217274</v>
      </c>
      <c r="D21" s="211" t="s">
        <v>34</v>
      </c>
      <c r="E21" s="210">
        <v>4800</v>
      </c>
      <c r="F21" s="21">
        <v>1432.1302000000001</v>
      </c>
      <c r="G21" s="21">
        <v>1432.7298000000001</v>
      </c>
      <c r="H21" s="18">
        <f t="shared" si="1"/>
        <v>2878.0800000000454</v>
      </c>
      <c r="I21" s="19"/>
      <c r="J21" s="20"/>
    </row>
    <row r="22" spans="1:10" ht="15.75" x14ac:dyDescent="0.25">
      <c r="A22" s="15" t="s">
        <v>36</v>
      </c>
      <c r="B22" s="210" t="s">
        <v>13</v>
      </c>
      <c r="C22" s="210">
        <v>51097664</v>
      </c>
      <c r="D22" s="211" t="s">
        <v>37</v>
      </c>
      <c r="E22" s="210">
        <v>600</v>
      </c>
      <c r="F22" s="21">
        <v>4.4410999999999996</v>
      </c>
      <c r="G22" s="21">
        <v>4.4429999999999996</v>
      </c>
      <c r="H22" s="18">
        <f t="shared" si="1"/>
        <v>1.1400000000000077</v>
      </c>
      <c r="I22" s="19"/>
      <c r="J22" s="20"/>
    </row>
    <row r="23" spans="1:10" ht="15.75" x14ac:dyDescent="0.25">
      <c r="A23" s="15" t="s">
        <v>38</v>
      </c>
      <c r="B23" s="210" t="s">
        <v>13</v>
      </c>
      <c r="C23" s="210">
        <v>51097615</v>
      </c>
      <c r="D23" s="211" t="s">
        <v>37</v>
      </c>
      <c r="E23" s="210">
        <v>600</v>
      </c>
      <c r="F23" s="21">
        <v>51.926099999999998</v>
      </c>
      <c r="G23" s="21">
        <v>52.1081</v>
      </c>
      <c r="H23" s="18">
        <f t="shared" si="1"/>
        <v>109.2000000000013</v>
      </c>
      <c r="I23" s="19"/>
      <c r="J23" s="20"/>
    </row>
    <row r="24" spans="1:10" ht="15.75" x14ac:dyDescent="0.25">
      <c r="A24" s="15" t="s">
        <v>39</v>
      </c>
      <c r="B24" s="210" t="s">
        <v>13</v>
      </c>
      <c r="C24" s="210">
        <v>51217264</v>
      </c>
      <c r="D24" s="211" t="s">
        <v>37</v>
      </c>
      <c r="E24" s="210">
        <v>600</v>
      </c>
      <c r="F24" s="21">
        <v>118.0765</v>
      </c>
      <c r="G24" s="21">
        <v>118.41419999999999</v>
      </c>
      <c r="H24" s="18">
        <f t="shared" si="1"/>
        <v>202.61999999999887</v>
      </c>
      <c r="I24" s="19"/>
      <c r="J24" s="20"/>
    </row>
    <row r="25" spans="1:10" ht="15.75" x14ac:dyDescent="0.25">
      <c r="A25" s="15" t="s">
        <v>40</v>
      </c>
      <c r="B25" s="210" t="s">
        <v>13</v>
      </c>
      <c r="C25" s="210">
        <v>51217288</v>
      </c>
      <c r="D25" s="211" t="s">
        <v>37</v>
      </c>
      <c r="E25" s="210">
        <v>600</v>
      </c>
      <c r="F25" s="21">
        <v>21.291899999999998</v>
      </c>
      <c r="G25" s="21">
        <v>21.3232</v>
      </c>
      <c r="H25" s="18">
        <f t="shared" si="1"/>
        <v>18.780000000000996</v>
      </c>
      <c r="I25" s="19" t="s">
        <v>27</v>
      </c>
      <c r="J25" s="20"/>
    </row>
    <row r="26" spans="1:10" ht="15.75" x14ac:dyDescent="0.25">
      <c r="A26" s="15" t="s">
        <v>41</v>
      </c>
      <c r="B26" s="210" t="s">
        <v>13</v>
      </c>
      <c r="C26" s="210">
        <v>51217279</v>
      </c>
      <c r="D26" s="211" t="s">
        <v>37</v>
      </c>
      <c r="E26" s="210">
        <v>600</v>
      </c>
      <c r="F26" s="21">
        <v>16.7195</v>
      </c>
      <c r="G26" s="21">
        <v>16.773499999999999</v>
      </c>
      <c r="H26" s="18">
        <f t="shared" si="1"/>
        <v>32.399999999999096</v>
      </c>
      <c r="I26" s="19" t="s">
        <v>27</v>
      </c>
      <c r="J26" s="20"/>
    </row>
    <row r="27" spans="1:10" ht="15.75" x14ac:dyDescent="0.25">
      <c r="A27" s="15" t="s">
        <v>42</v>
      </c>
      <c r="B27" s="210" t="s">
        <v>13</v>
      </c>
      <c r="C27" s="210">
        <v>51217272</v>
      </c>
      <c r="D27" s="211" t="s">
        <v>37</v>
      </c>
      <c r="E27" s="210">
        <v>600</v>
      </c>
      <c r="F27" s="31">
        <v>16.3992</v>
      </c>
      <c r="G27" s="31">
        <v>16.452300000000001</v>
      </c>
      <c r="H27" s="18">
        <f t="shared" si="1"/>
        <v>31.860000000000355</v>
      </c>
      <c r="I27" s="19"/>
      <c r="J27" s="20"/>
    </row>
    <row r="28" spans="1:10" ht="15.75" x14ac:dyDescent="0.25">
      <c r="A28" s="15" t="s">
        <v>43</v>
      </c>
      <c r="B28" s="210" t="s">
        <v>13</v>
      </c>
      <c r="C28" s="210">
        <v>51616744</v>
      </c>
      <c r="D28" s="211">
        <f>300/5</f>
        <v>60</v>
      </c>
      <c r="E28" s="210">
        <v>3600</v>
      </c>
      <c r="F28" s="31">
        <v>109.78489999999999</v>
      </c>
      <c r="G28" s="31">
        <v>109.78489999999999</v>
      </c>
      <c r="H28" s="18">
        <f t="shared" si="1"/>
        <v>0</v>
      </c>
      <c r="I28" s="19"/>
      <c r="J28" s="20"/>
    </row>
    <row r="29" spans="1:10" ht="15.75" x14ac:dyDescent="0.25">
      <c r="A29" s="15" t="s">
        <v>44</v>
      </c>
      <c r="B29" s="210" t="s">
        <v>13</v>
      </c>
      <c r="C29" s="210">
        <v>51555226</v>
      </c>
      <c r="D29" s="211">
        <f>300/5</f>
        <v>60</v>
      </c>
      <c r="E29" s="210">
        <v>3600</v>
      </c>
      <c r="F29" s="31">
        <v>600.98919999999998</v>
      </c>
      <c r="G29" s="31">
        <v>602.42970000000003</v>
      </c>
      <c r="H29" s="18">
        <f>(G29-F29)*E29</f>
        <v>5185.8000000001539</v>
      </c>
      <c r="I29" s="19"/>
      <c r="J29" s="20"/>
    </row>
    <row r="30" spans="1:10" ht="15.75" x14ac:dyDescent="0.25">
      <c r="A30" s="15" t="s">
        <v>45</v>
      </c>
      <c r="B30" s="210" t="s">
        <v>13</v>
      </c>
      <c r="C30" s="210">
        <v>51097658</v>
      </c>
      <c r="D30" s="211" t="s">
        <v>34</v>
      </c>
      <c r="E30" s="210">
        <v>4800</v>
      </c>
      <c r="F30" s="31">
        <v>751.12180000000001</v>
      </c>
      <c r="G30" s="31">
        <v>752.91800000000001</v>
      </c>
      <c r="H30" s="18">
        <f t="shared" si="1"/>
        <v>8621.7599999999948</v>
      </c>
      <c r="I30" s="19"/>
      <c r="J30" s="20"/>
    </row>
    <row r="31" spans="1:10" ht="15.75" x14ac:dyDescent="0.25">
      <c r="A31" s="15" t="s">
        <v>46</v>
      </c>
      <c r="B31" s="210" t="s">
        <v>13</v>
      </c>
      <c r="C31" s="210">
        <v>51097635</v>
      </c>
      <c r="D31" s="211" t="s">
        <v>34</v>
      </c>
      <c r="E31" s="210">
        <v>4800</v>
      </c>
      <c r="F31" s="31">
        <v>48.518799999999999</v>
      </c>
      <c r="G31" s="31">
        <v>48.521099999999997</v>
      </c>
      <c r="H31" s="18">
        <f t="shared" si="1"/>
        <v>11.039999999991323</v>
      </c>
      <c r="I31" s="19"/>
      <c r="J31" s="20"/>
    </row>
    <row r="32" spans="1:10" ht="15.75" x14ac:dyDescent="0.25">
      <c r="A32" s="15" t="s">
        <v>47</v>
      </c>
      <c r="B32" s="210" t="s">
        <v>13</v>
      </c>
      <c r="C32" s="32">
        <v>51097633</v>
      </c>
      <c r="D32" s="211" t="s">
        <v>34</v>
      </c>
      <c r="E32" s="210">
        <v>4800</v>
      </c>
      <c r="F32" s="31">
        <v>244.63659999999999</v>
      </c>
      <c r="G32" s="31">
        <v>246.82550000000001</v>
      </c>
      <c r="H32" s="33">
        <f t="shared" si="1"/>
        <v>10506.720000000087</v>
      </c>
      <c r="I32" s="34"/>
      <c r="J32" s="35"/>
    </row>
    <row r="33" spans="1:10" ht="15.75" x14ac:dyDescent="0.25">
      <c r="A33" s="15" t="s">
        <v>48</v>
      </c>
      <c r="B33" s="210" t="s">
        <v>13</v>
      </c>
      <c r="C33" s="32">
        <v>51097662</v>
      </c>
      <c r="D33" s="211" t="s">
        <v>34</v>
      </c>
      <c r="E33" s="210">
        <v>4800</v>
      </c>
      <c r="F33" s="31">
        <v>4.7706</v>
      </c>
      <c r="G33" s="31">
        <v>4.7889999999999997</v>
      </c>
      <c r="H33" s="33">
        <f t="shared" si="1"/>
        <v>88.319999999998799</v>
      </c>
      <c r="I33" s="34"/>
      <c r="J33" s="35"/>
    </row>
    <row r="34" spans="1:10" ht="15.75" x14ac:dyDescent="0.25">
      <c r="A34" s="218" t="s">
        <v>49</v>
      </c>
      <c r="B34" s="219"/>
      <c r="C34" s="210"/>
      <c r="D34" s="211"/>
      <c r="E34" s="210"/>
      <c r="F34" s="36"/>
      <c r="G34" s="36"/>
      <c r="H34" s="23">
        <f>H20+H21+H22+H23+H24+H25+H26+H27+H28+H29+H30+H31+H32+H33</f>
        <v>56859.720000000212</v>
      </c>
      <c r="I34" s="19"/>
      <c r="J34" s="20"/>
    </row>
    <row r="35" spans="1:10" ht="15.75" x14ac:dyDescent="0.25">
      <c r="A35" s="37"/>
      <c r="B35" s="37"/>
      <c r="C35" s="37"/>
      <c r="D35" s="38" t="s">
        <v>50</v>
      </c>
      <c r="E35" s="37"/>
      <c r="F35" s="37"/>
      <c r="G35" s="37"/>
      <c r="H35" s="37"/>
      <c r="I35" s="37"/>
      <c r="J35" s="39"/>
    </row>
    <row r="36" spans="1:10" ht="15.75" x14ac:dyDescent="0.25">
      <c r="A36" s="40" t="s">
        <v>51</v>
      </c>
      <c r="B36" s="210" t="s">
        <v>52</v>
      </c>
      <c r="C36" s="210">
        <v>51555209</v>
      </c>
      <c r="D36" s="211" t="s">
        <v>53</v>
      </c>
      <c r="E36" s="210">
        <v>7000</v>
      </c>
      <c r="F36" s="17">
        <v>6.4012000000000002</v>
      </c>
      <c r="G36" s="17">
        <v>6.4160000000000004</v>
      </c>
      <c r="H36" s="41">
        <f>(G36-F36)*E36</f>
        <v>103.60000000000102</v>
      </c>
      <c r="I36" s="42"/>
      <c r="J36" s="14"/>
    </row>
    <row r="37" spans="1:10" ht="15.75" x14ac:dyDescent="0.25">
      <c r="A37" s="15" t="s">
        <v>54</v>
      </c>
      <c r="B37" s="210" t="s">
        <v>52</v>
      </c>
      <c r="C37" s="210">
        <v>51555209</v>
      </c>
      <c r="D37" s="211" t="s">
        <v>53</v>
      </c>
      <c r="E37" s="210">
        <v>7000</v>
      </c>
      <c r="F37" s="21">
        <v>11.670199999999999</v>
      </c>
      <c r="G37" s="21">
        <v>11.722200000000001</v>
      </c>
      <c r="H37" s="18">
        <f>(G37-F37)*E37</f>
        <v>364.00000000000966</v>
      </c>
      <c r="I37" s="43"/>
      <c r="J37" s="20"/>
    </row>
    <row r="38" spans="1:10" ht="15.75" x14ac:dyDescent="0.25">
      <c r="A38" s="44" t="s">
        <v>55</v>
      </c>
      <c r="B38" s="45"/>
      <c r="C38" s="45"/>
      <c r="D38" s="45"/>
      <c r="E38" s="45"/>
      <c r="F38" s="21"/>
      <c r="G38" s="21"/>
      <c r="H38" s="46"/>
      <c r="I38" s="43"/>
      <c r="J38" s="20"/>
    </row>
    <row r="39" spans="1:10" ht="15.75" x14ac:dyDescent="0.25">
      <c r="A39" s="27" t="s">
        <v>56</v>
      </c>
      <c r="B39" s="210" t="s">
        <v>52</v>
      </c>
      <c r="C39" s="210">
        <v>51097674</v>
      </c>
      <c r="D39" s="210" t="s">
        <v>14</v>
      </c>
      <c r="E39" s="210">
        <v>7200</v>
      </c>
      <c r="F39" s="21">
        <v>660.59339999999997</v>
      </c>
      <c r="G39" s="21">
        <v>662.63289999999995</v>
      </c>
      <c r="H39" s="18">
        <f>(G39-F39)*E39</f>
        <v>14684.399999999823</v>
      </c>
      <c r="I39" s="47"/>
      <c r="J39" s="20"/>
    </row>
    <row r="40" spans="1:10" ht="15.75" x14ac:dyDescent="0.25">
      <c r="A40" s="27" t="s">
        <v>57</v>
      </c>
      <c r="B40" s="210" t="s">
        <v>52</v>
      </c>
      <c r="C40" s="210">
        <v>51259257</v>
      </c>
      <c r="D40" s="210" t="s">
        <v>14</v>
      </c>
      <c r="E40" s="210">
        <v>7200</v>
      </c>
      <c r="F40" s="21">
        <v>1.0555000000000001</v>
      </c>
      <c r="G40" s="21">
        <v>1.0555000000000001</v>
      </c>
      <c r="H40" s="18">
        <f>(G40-F40)*E40</f>
        <v>0</v>
      </c>
      <c r="I40" s="43"/>
      <c r="J40" s="20"/>
    </row>
    <row r="41" spans="1:10" ht="15.75" x14ac:dyDescent="0.25">
      <c r="A41" s="44" t="s">
        <v>58</v>
      </c>
      <c r="B41" s="210"/>
      <c r="C41" s="210"/>
      <c r="D41" s="210"/>
      <c r="E41" s="210"/>
      <c r="F41" s="21"/>
      <c r="G41" s="21"/>
      <c r="H41" s="48">
        <f>H39+H40</f>
        <v>14684.399999999823</v>
      </c>
      <c r="I41" s="24">
        <f>H41-H49</f>
        <v>-103.63999999971566</v>
      </c>
      <c r="J41" s="25">
        <f>I41/H41</f>
        <v>-7.057830078158924E-3</v>
      </c>
    </row>
    <row r="42" spans="1:10" ht="15.75" x14ac:dyDescent="0.25">
      <c r="A42" s="15" t="s">
        <v>59</v>
      </c>
      <c r="B42" s="210"/>
      <c r="C42" s="210"/>
      <c r="D42" s="211"/>
      <c r="E42" s="210"/>
      <c r="H42" s="18"/>
      <c r="I42" s="43"/>
      <c r="J42" s="20"/>
    </row>
    <row r="43" spans="1:10" ht="15.75" x14ac:dyDescent="0.25">
      <c r="A43" s="27" t="s">
        <v>60</v>
      </c>
      <c r="B43" s="210" t="s">
        <v>52</v>
      </c>
      <c r="C43" s="32">
        <v>51097648</v>
      </c>
      <c r="D43" s="210" t="s">
        <v>53</v>
      </c>
      <c r="E43" s="210">
        <v>1200</v>
      </c>
      <c r="F43" s="21">
        <v>540.0788</v>
      </c>
      <c r="G43" s="21">
        <v>541.68799999999999</v>
      </c>
      <c r="H43" s="33">
        <f>(G43-F43)*E43</f>
        <v>1931.0399999999845</v>
      </c>
      <c r="I43" s="43"/>
      <c r="J43" s="20"/>
    </row>
    <row r="44" spans="1:10" ht="15.75" x14ac:dyDescent="0.25">
      <c r="A44" s="27" t="s">
        <v>61</v>
      </c>
      <c r="B44" s="210" t="s">
        <v>52</v>
      </c>
      <c r="C44" s="32">
        <v>50555043</v>
      </c>
      <c r="D44" s="210" t="s">
        <v>53</v>
      </c>
      <c r="E44" s="210">
        <v>1200</v>
      </c>
      <c r="F44" s="21">
        <v>2263.0338000000002</v>
      </c>
      <c r="G44" s="21">
        <v>2270.165</v>
      </c>
      <c r="H44" s="33">
        <f>(G44-F44)*E44</f>
        <v>8557.4399999997695</v>
      </c>
      <c r="I44" s="43"/>
      <c r="J44" s="20"/>
    </row>
    <row r="45" spans="1:10" ht="15.75" x14ac:dyDescent="0.25">
      <c r="A45" s="27" t="s">
        <v>62</v>
      </c>
      <c r="B45" s="210" t="s">
        <v>52</v>
      </c>
      <c r="C45" s="32">
        <v>51259336</v>
      </c>
      <c r="D45" s="210" t="s">
        <v>63</v>
      </c>
      <c r="E45" s="210">
        <v>2400</v>
      </c>
      <c r="F45" s="21">
        <v>4.53</v>
      </c>
      <c r="G45" s="21">
        <v>4.5437000000000003</v>
      </c>
      <c r="H45" s="33">
        <f>(G45-F45)*E45</f>
        <v>32.880000000000109</v>
      </c>
      <c r="I45" s="43"/>
      <c r="J45" s="20"/>
    </row>
    <row r="46" spans="1:10" ht="15.75" x14ac:dyDescent="0.25">
      <c r="A46" s="27" t="s">
        <v>64</v>
      </c>
      <c r="B46" s="210" t="s">
        <v>52</v>
      </c>
      <c r="C46" s="32">
        <v>51259266</v>
      </c>
      <c r="D46" s="210" t="s">
        <v>53</v>
      </c>
      <c r="E46" s="210">
        <v>1200</v>
      </c>
      <c r="F46" s="21">
        <v>1096.1011000000001</v>
      </c>
      <c r="G46" s="21">
        <v>1099.3771999999999</v>
      </c>
      <c r="H46" s="33">
        <f>(G46-F46)*E46</f>
        <v>3931.3199999997778</v>
      </c>
      <c r="I46" s="43"/>
      <c r="J46" s="20"/>
    </row>
    <row r="47" spans="1:10" ht="15.75" x14ac:dyDescent="0.25">
      <c r="A47" s="27" t="s">
        <v>65</v>
      </c>
      <c r="B47" s="210" t="s">
        <v>52</v>
      </c>
      <c r="C47" s="32">
        <v>51431336</v>
      </c>
      <c r="D47" s="210" t="s">
        <v>53</v>
      </c>
      <c r="E47" s="210">
        <v>1200</v>
      </c>
      <c r="F47" s="21">
        <v>67.241399999999999</v>
      </c>
      <c r="G47" s="21">
        <v>67.479200000000006</v>
      </c>
      <c r="H47" s="33">
        <f>(G47-F47)*E47</f>
        <v>285.36000000000854</v>
      </c>
      <c r="I47" s="43"/>
      <c r="J47" s="20"/>
    </row>
    <row r="48" spans="1:10" ht="15.75" x14ac:dyDescent="0.25">
      <c r="A48" s="15" t="s">
        <v>66</v>
      </c>
      <c r="B48" s="210" t="s">
        <v>67</v>
      </c>
      <c r="C48" s="210">
        <v>49174</v>
      </c>
      <c r="D48" s="211" t="s">
        <v>53</v>
      </c>
      <c r="E48" s="210">
        <v>20</v>
      </c>
      <c r="F48" s="49"/>
      <c r="G48" s="49"/>
      <c r="H48" s="18">
        <v>50</v>
      </c>
      <c r="I48" s="43"/>
      <c r="J48" s="20"/>
    </row>
    <row r="49" spans="1:10" ht="15.75" x14ac:dyDescent="0.25">
      <c r="A49" s="44" t="s">
        <v>68</v>
      </c>
      <c r="B49" s="45"/>
      <c r="C49" s="45"/>
      <c r="D49" s="45"/>
      <c r="E49" s="45"/>
      <c r="F49" s="49"/>
      <c r="G49" s="49"/>
      <c r="H49" s="50">
        <f>H43+H44+H45+H46+H47+H48</f>
        <v>14788.039999999539</v>
      </c>
      <c r="I49" s="51"/>
      <c r="J49" s="52"/>
    </row>
    <row r="50" spans="1:10" ht="15.75" x14ac:dyDescent="0.25">
      <c r="A50" s="53" t="s">
        <v>69</v>
      </c>
      <c r="B50" s="215" t="s">
        <v>70</v>
      </c>
      <c r="C50" s="215"/>
      <c r="D50" s="215"/>
      <c r="E50" s="215"/>
      <c r="F50" s="54"/>
      <c r="G50" s="54"/>
      <c r="H50" s="55"/>
      <c r="I50" s="56"/>
      <c r="J50" s="57"/>
    </row>
    <row r="51" spans="1:10" ht="15.75" x14ac:dyDescent="0.25">
      <c r="A51" s="27" t="s">
        <v>71</v>
      </c>
      <c r="B51" s="210" t="s">
        <v>52</v>
      </c>
      <c r="C51" s="210">
        <v>51097603</v>
      </c>
      <c r="D51" s="211" t="s">
        <v>53</v>
      </c>
      <c r="E51" s="210">
        <v>7000</v>
      </c>
      <c r="F51" s="17">
        <v>2140.0065</v>
      </c>
      <c r="G51" s="17">
        <v>2146.0650999999998</v>
      </c>
      <c r="H51" s="18">
        <f>(G51-F51)*E51</f>
        <v>42410.199999998891</v>
      </c>
      <c r="I51" s="43"/>
      <c r="J51" s="20"/>
    </row>
    <row r="52" spans="1:10" ht="15.75" x14ac:dyDescent="0.25">
      <c r="A52" s="27" t="s">
        <v>72</v>
      </c>
      <c r="B52" s="210" t="s">
        <v>52</v>
      </c>
      <c r="C52" s="210">
        <v>51097590</v>
      </c>
      <c r="D52" s="211" t="s">
        <v>53</v>
      </c>
      <c r="E52" s="210">
        <v>7000</v>
      </c>
      <c r="F52" s="21">
        <v>13.345800000000001</v>
      </c>
      <c r="G52" s="21">
        <v>13.369</v>
      </c>
      <c r="H52" s="18">
        <f>(G52-F52)*E52</f>
        <v>162.39999999999455</v>
      </c>
      <c r="I52" s="43"/>
      <c r="J52" s="20"/>
    </row>
    <row r="53" spans="1:10" ht="15.75" x14ac:dyDescent="0.25">
      <c r="A53" s="15" t="s">
        <v>66</v>
      </c>
      <c r="B53" s="210" t="s">
        <v>67</v>
      </c>
      <c r="C53" s="210">
        <v>49174</v>
      </c>
      <c r="D53" s="211" t="s">
        <v>53</v>
      </c>
      <c r="E53" s="210">
        <v>20</v>
      </c>
      <c r="F53" s="21"/>
      <c r="G53" s="21"/>
      <c r="H53" s="18">
        <v>100</v>
      </c>
      <c r="I53" s="47"/>
      <c r="J53" s="58"/>
    </row>
    <row r="54" spans="1:10" ht="15.75" x14ac:dyDescent="0.25">
      <c r="A54" s="44" t="s">
        <v>73</v>
      </c>
      <c r="B54" s="40"/>
      <c r="C54" s="210"/>
      <c r="D54" s="211"/>
      <c r="E54" s="210"/>
      <c r="F54" s="21"/>
      <c r="G54" s="21"/>
      <c r="H54" s="48">
        <f>H51+H52+H53</f>
        <v>42672.599999998885</v>
      </c>
      <c r="I54" s="47"/>
      <c r="J54" s="59"/>
    </row>
    <row r="55" spans="1:10" ht="15.75" x14ac:dyDescent="0.25">
      <c r="A55" s="27" t="s">
        <v>74</v>
      </c>
      <c r="B55" s="210" t="s">
        <v>52</v>
      </c>
      <c r="C55" s="210">
        <v>51100980</v>
      </c>
      <c r="D55" s="210" t="s">
        <v>75</v>
      </c>
      <c r="E55" s="210">
        <v>12000</v>
      </c>
      <c r="F55" s="21">
        <v>1258.4933000000001</v>
      </c>
      <c r="G55" s="21">
        <v>1262.0510999999999</v>
      </c>
      <c r="H55" s="18">
        <f>(G55-F55)*E55</f>
        <v>42693.599999997787</v>
      </c>
      <c r="I55" s="47"/>
      <c r="J55" s="58"/>
    </row>
    <row r="56" spans="1:10" ht="15.75" x14ac:dyDescent="0.25">
      <c r="A56" s="27" t="s">
        <v>76</v>
      </c>
      <c r="B56" s="210" t="s">
        <v>52</v>
      </c>
      <c r="C56" s="210">
        <v>51097623</v>
      </c>
      <c r="D56" s="210" t="s">
        <v>75</v>
      </c>
      <c r="E56" s="210">
        <v>12000</v>
      </c>
      <c r="F56" s="21">
        <v>0.129</v>
      </c>
      <c r="G56" s="21">
        <v>0.129</v>
      </c>
      <c r="H56" s="18">
        <f>(G56-F56)*E56</f>
        <v>0</v>
      </c>
      <c r="I56" s="47"/>
      <c r="J56" s="58"/>
    </row>
    <row r="57" spans="1:10" ht="15.75" x14ac:dyDescent="0.25">
      <c r="A57" s="60" t="s">
        <v>77</v>
      </c>
      <c r="B57" s="210"/>
      <c r="C57" s="210"/>
      <c r="D57" s="210"/>
      <c r="E57" s="210"/>
      <c r="F57" s="21"/>
      <c r="G57" s="21"/>
      <c r="H57" s="48">
        <f>H55+H56</f>
        <v>42693.599999997787</v>
      </c>
      <c r="I57" s="61">
        <f>H54-H64-H53</f>
        <v>-228.04000000072847</v>
      </c>
      <c r="J57" s="25">
        <f>I57/H57</f>
        <v>-5.341315794422122E-3</v>
      </c>
    </row>
    <row r="58" spans="1:10" ht="15.75" x14ac:dyDescent="0.25">
      <c r="A58" s="27" t="s">
        <v>78</v>
      </c>
      <c r="B58" s="210" t="s">
        <v>52</v>
      </c>
      <c r="C58" s="210">
        <v>51097675</v>
      </c>
      <c r="D58" s="210" t="s">
        <v>34</v>
      </c>
      <c r="E58" s="210">
        <v>4800</v>
      </c>
      <c r="F58" s="21">
        <v>586.04110000000003</v>
      </c>
      <c r="G58" s="21">
        <v>587.45190000000002</v>
      </c>
      <c r="H58" s="18">
        <f t="shared" ref="H58:H63" si="2">(G58-F58)*E58</f>
        <v>6771.8399999999747</v>
      </c>
      <c r="I58" s="62"/>
      <c r="J58" s="59"/>
    </row>
    <row r="59" spans="1:10" ht="15.75" x14ac:dyDescent="0.25">
      <c r="A59" s="27" t="s">
        <v>79</v>
      </c>
      <c r="B59" s="210" t="s">
        <v>52</v>
      </c>
      <c r="C59" s="210">
        <v>51100997</v>
      </c>
      <c r="D59" s="210" t="s">
        <v>21</v>
      </c>
      <c r="E59" s="210">
        <v>3600</v>
      </c>
      <c r="F59" s="21">
        <v>1459.1456000000001</v>
      </c>
      <c r="G59" s="21">
        <v>1461.6901</v>
      </c>
      <c r="H59" s="18">
        <f t="shared" si="2"/>
        <v>9160.1999999998952</v>
      </c>
      <c r="I59" s="62"/>
      <c r="J59" s="59"/>
    </row>
    <row r="60" spans="1:10" ht="15.75" x14ac:dyDescent="0.25">
      <c r="A60" s="27" t="s">
        <v>80</v>
      </c>
      <c r="B60" s="210" t="s">
        <v>52</v>
      </c>
      <c r="C60" s="210">
        <v>51555218</v>
      </c>
      <c r="D60" s="210">
        <f>400/5</f>
        <v>80</v>
      </c>
      <c r="E60" s="210">
        <v>4800</v>
      </c>
      <c r="F60" s="21">
        <v>76.563400000000001</v>
      </c>
      <c r="G60" s="21">
        <v>76.740200000000002</v>
      </c>
      <c r="H60" s="18">
        <f t="shared" si="2"/>
        <v>848.64000000000033</v>
      </c>
      <c r="I60" s="62"/>
      <c r="J60" s="59"/>
    </row>
    <row r="61" spans="1:10" ht="15.75" x14ac:dyDescent="0.25">
      <c r="A61" s="27" t="s">
        <v>81</v>
      </c>
      <c r="B61" s="210" t="s">
        <v>52</v>
      </c>
      <c r="C61" s="210">
        <v>51555151</v>
      </c>
      <c r="D61" s="210">
        <f>400/5</f>
        <v>80</v>
      </c>
      <c r="E61" s="210">
        <v>4800</v>
      </c>
      <c r="F61" s="63">
        <v>0.30690000000000001</v>
      </c>
      <c r="G61" s="63">
        <v>0.307</v>
      </c>
      <c r="H61" s="18">
        <f t="shared" si="2"/>
        <v>0.47999999999994714</v>
      </c>
      <c r="I61" s="62"/>
      <c r="J61" s="59"/>
    </row>
    <row r="62" spans="1:10" ht="15.75" x14ac:dyDescent="0.25">
      <c r="A62" s="27" t="s">
        <v>82</v>
      </c>
      <c r="B62" s="210" t="s">
        <v>52</v>
      </c>
      <c r="C62" s="210">
        <v>51097599</v>
      </c>
      <c r="D62" s="210" t="s">
        <v>21</v>
      </c>
      <c r="E62" s="210">
        <v>3600</v>
      </c>
      <c r="F62" s="21">
        <v>1047.9273000000001</v>
      </c>
      <c r="G62" s="21">
        <v>1051.4988000000001</v>
      </c>
      <c r="H62" s="18">
        <f t="shared" si="2"/>
        <v>12857.400000000052</v>
      </c>
      <c r="I62" s="62"/>
      <c r="J62" s="59"/>
    </row>
    <row r="63" spans="1:10" ht="15.75" x14ac:dyDescent="0.25">
      <c r="A63" s="27" t="s">
        <v>83</v>
      </c>
      <c r="B63" s="210" t="s">
        <v>52</v>
      </c>
      <c r="C63" s="210">
        <v>51097620</v>
      </c>
      <c r="D63" s="210" t="s">
        <v>34</v>
      </c>
      <c r="E63" s="210">
        <v>4800</v>
      </c>
      <c r="F63" s="21">
        <v>593.55240000000003</v>
      </c>
      <c r="G63" s="21">
        <v>596.29449999999997</v>
      </c>
      <c r="H63" s="18">
        <f t="shared" si="2"/>
        <v>13162.079999999696</v>
      </c>
      <c r="I63" s="62"/>
      <c r="J63" s="64"/>
    </row>
    <row r="64" spans="1:10" ht="16.5" thickBot="1" x14ac:dyDescent="0.3">
      <c r="A64" s="44" t="s">
        <v>49</v>
      </c>
      <c r="B64" s="45"/>
      <c r="C64" s="45"/>
      <c r="D64" s="45"/>
      <c r="E64" s="45"/>
      <c r="F64" s="21"/>
      <c r="G64" s="21"/>
      <c r="H64" s="50">
        <f>+H59+H60+H61+H62+ H63+H58</f>
        <v>42800.639999999614</v>
      </c>
      <c r="I64" s="65"/>
      <c r="J64" s="59"/>
    </row>
    <row r="65" spans="1:10" ht="16.5" thickBot="1" x14ac:dyDescent="0.3">
      <c r="A65" s="66"/>
      <c r="B65" s="67" t="s">
        <v>84</v>
      </c>
      <c r="C65" s="68"/>
      <c r="D65" s="68"/>
      <c r="E65" s="68"/>
      <c r="F65" s="69"/>
      <c r="G65" s="69"/>
      <c r="H65" s="70"/>
      <c r="I65" s="71"/>
      <c r="J65" s="72"/>
    </row>
    <row r="66" spans="1:10" ht="15.75" x14ac:dyDescent="0.25">
      <c r="A66" s="73" t="s">
        <v>85</v>
      </c>
      <c r="B66" s="210" t="s">
        <v>52</v>
      </c>
      <c r="C66" s="9">
        <v>51259238</v>
      </c>
      <c r="D66" s="74" t="s">
        <v>53</v>
      </c>
      <c r="E66" s="74">
        <v>7000</v>
      </c>
      <c r="F66" s="75">
        <v>631.35469999999998</v>
      </c>
      <c r="G66" s="75">
        <v>633.38040000000001</v>
      </c>
      <c r="H66" s="76">
        <f>(G66-F66)*E66</f>
        <v>14179.900000000202</v>
      </c>
      <c r="I66" s="77"/>
      <c r="J66" s="78"/>
    </row>
    <row r="67" spans="1:10" ht="15.75" x14ac:dyDescent="0.25">
      <c r="A67" s="27" t="s">
        <v>86</v>
      </c>
      <c r="B67" s="210" t="s">
        <v>52</v>
      </c>
      <c r="C67" s="210">
        <v>51259324</v>
      </c>
      <c r="D67" s="211" t="s">
        <v>53</v>
      </c>
      <c r="E67" s="211">
        <v>7000</v>
      </c>
      <c r="F67" s="21">
        <v>484.7013</v>
      </c>
      <c r="G67" s="21">
        <v>485.78890000000001</v>
      </c>
      <c r="H67" s="18">
        <f>(G67-F67)*E67</f>
        <v>7613.2000000000626</v>
      </c>
      <c r="I67" s="51"/>
      <c r="J67" s="58"/>
    </row>
    <row r="68" spans="1:10" ht="15.75" x14ac:dyDescent="0.25">
      <c r="A68" s="27" t="s">
        <v>87</v>
      </c>
      <c r="B68" s="79" t="s">
        <v>88</v>
      </c>
      <c r="C68" s="210">
        <v>51491618</v>
      </c>
      <c r="D68" s="211" t="s">
        <v>63</v>
      </c>
      <c r="E68" s="210">
        <v>40</v>
      </c>
      <c r="F68" s="28">
        <v>1477.1975</v>
      </c>
      <c r="G68" s="28">
        <v>1481.259</v>
      </c>
      <c r="H68" s="18">
        <f>(G68-F68)*E68</f>
        <v>162.46000000000095</v>
      </c>
      <c r="I68" s="51"/>
      <c r="J68" s="58"/>
    </row>
    <row r="69" spans="1:10" ht="15.75" x14ac:dyDescent="0.25">
      <c r="A69" s="27" t="s">
        <v>89</v>
      </c>
      <c r="B69" s="79" t="s">
        <v>88</v>
      </c>
      <c r="C69" s="210">
        <v>51491624</v>
      </c>
      <c r="D69" s="211" t="s">
        <v>63</v>
      </c>
      <c r="E69" s="210">
        <v>40</v>
      </c>
      <c r="F69" s="28">
        <v>191.59700000000001</v>
      </c>
      <c r="G69" s="28">
        <v>191.97049999999999</v>
      </c>
      <c r="H69" s="18">
        <f>(G69-F69)*E69</f>
        <v>14.939999999999145</v>
      </c>
      <c r="I69" s="51"/>
      <c r="J69" s="58"/>
    </row>
    <row r="70" spans="1:10" ht="15.75" x14ac:dyDescent="0.25">
      <c r="A70" s="80" t="s">
        <v>90</v>
      </c>
      <c r="B70" s="81"/>
      <c r="C70" s="32" t="s">
        <v>27</v>
      </c>
      <c r="D70" s="82"/>
      <c r="E70" s="82"/>
      <c r="F70" s="83"/>
      <c r="G70" s="83"/>
      <c r="H70" s="84">
        <f>H66+H67</f>
        <v>21793.100000000264</v>
      </c>
      <c r="I70" s="85">
        <f>H70-H73-H68-H69</f>
        <v>-226.70000000041409</v>
      </c>
      <c r="J70" s="25">
        <f>I70/H70</f>
        <v>-1.0402375063685815E-2</v>
      </c>
    </row>
    <row r="71" spans="1:10" ht="15.75" x14ac:dyDescent="0.25">
      <c r="A71" s="27" t="s">
        <v>91</v>
      </c>
      <c r="B71" s="210" t="s">
        <v>52</v>
      </c>
      <c r="C71" s="86">
        <v>51097588</v>
      </c>
      <c r="D71" s="211" t="s">
        <v>75</v>
      </c>
      <c r="E71" s="210">
        <v>12000</v>
      </c>
      <c r="F71" s="21">
        <v>376.52929999999998</v>
      </c>
      <c r="G71" s="21">
        <v>377.68290000000002</v>
      </c>
      <c r="H71" s="18">
        <f>(G71-F71)*E71</f>
        <v>13843.200000000479</v>
      </c>
      <c r="I71" s="51"/>
      <c r="J71" s="58"/>
    </row>
    <row r="72" spans="1:10" ht="15.75" x14ac:dyDescent="0.25">
      <c r="A72" s="27" t="s">
        <v>92</v>
      </c>
      <c r="B72" s="210" t="s">
        <v>52</v>
      </c>
      <c r="C72" s="86">
        <v>51431335</v>
      </c>
      <c r="D72" s="211" t="s">
        <v>75</v>
      </c>
      <c r="E72" s="210">
        <v>12000</v>
      </c>
      <c r="F72" s="21">
        <v>295.8569</v>
      </c>
      <c r="G72" s="21">
        <v>296.52350000000001</v>
      </c>
      <c r="H72" s="18">
        <f>(G72-F72)*E72</f>
        <v>7999.2000000002008</v>
      </c>
      <c r="I72" s="51"/>
      <c r="J72" s="58"/>
    </row>
    <row r="73" spans="1:10" ht="15.75" x14ac:dyDescent="0.25">
      <c r="A73" s="87" t="s">
        <v>93</v>
      </c>
      <c r="B73" s="210" t="s">
        <v>27</v>
      </c>
      <c r="C73" s="210"/>
      <c r="D73" s="211"/>
      <c r="E73" s="210"/>
      <c r="F73" s="21"/>
      <c r="G73" s="21"/>
      <c r="H73" s="48">
        <f>H71+ H72</f>
        <v>21842.400000000678</v>
      </c>
      <c r="I73" s="85">
        <f>H73-H81</f>
        <v>-30.179999999585561</v>
      </c>
      <c r="J73" s="25">
        <f>I73/H73</f>
        <v>-1.38171629489363E-3</v>
      </c>
    </row>
    <row r="74" spans="1:10" ht="15.75" x14ac:dyDescent="0.25">
      <c r="A74" s="27" t="s">
        <v>94</v>
      </c>
      <c r="B74" s="210" t="s">
        <v>52</v>
      </c>
      <c r="C74" s="86">
        <v>51097676</v>
      </c>
      <c r="D74" s="88" t="s">
        <v>63</v>
      </c>
      <c r="E74" s="210">
        <v>2400</v>
      </c>
      <c r="F74" s="21">
        <v>787.71550000000002</v>
      </c>
      <c r="G74" s="21">
        <v>789.84950000000003</v>
      </c>
      <c r="H74" s="18">
        <f>(G74-F74)*E74</f>
        <v>5121.6000000000349</v>
      </c>
      <c r="I74" s="51"/>
      <c r="J74" s="58"/>
    </row>
    <row r="75" spans="1:10" ht="15.75" x14ac:dyDescent="0.25">
      <c r="A75" s="27" t="s">
        <v>95</v>
      </c>
      <c r="B75" s="210" t="s">
        <v>52</v>
      </c>
      <c r="C75" s="86">
        <v>51431355</v>
      </c>
      <c r="D75" s="211" t="s">
        <v>21</v>
      </c>
      <c r="E75" s="211">
        <v>3600</v>
      </c>
      <c r="F75" s="21">
        <v>405.03879999999998</v>
      </c>
      <c r="G75" s="21">
        <v>406.21199999999999</v>
      </c>
      <c r="H75" s="18">
        <f>(G75-F75)*E75</f>
        <v>4223.5200000000304</v>
      </c>
      <c r="I75" s="51"/>
      <c r="J75" s="52"/>
    </row>
    <row r="76" spans="1:10" ht="15.75" x14ac:dyDescent="0.25">
      <c r="A76" s="27" t="s">
        <v>96</v>
      </c>
      <c r="B76" s="210" t="s">
        <v>52</v>
      </c>
      <c r="C76" s="86">
        <v>51259331</v>
      </c>
      <c r="D76" s="88" t="s">
        <v>37</v>
      </c>
      <c r="E76" s="210">
        <v>600</v>
      </c>
      <c r="F76" s="21">
        <v>186.7757</v>
      </c>
      <c r="G76" s="21">
        <v>187.24039999999999</v>
      </c>
      <c r="H76" s="18">
        <f>(G76-F76)*E76</f>
        <v>278.81999999999607</v>
      </c>
      <c r="I76" s="51"/>
      <c r="J76" s="52"/>
    </row>
    <row r="77" spans="1:10" ht="15.75" x14ac:dyDescent="0.25">
      <c r="A77" s="27" t="s">
        <v>97</v>
      </c>
      <c r="B77" s="210" t="s">
        <v>52</v>
      </c>
      <c r="C77" s="86">
        <v>51259326</v>
      </c>
      <c r="D77" s="88" t="s">
        <v>14</v>
      </c>
      <c r="E77" s="210">
        <v>7200</v>
      </c>
      <c r="F77" s="21">
        <v>371.89569999999998</v>
      </c>
      <c r="G77" s="21">
        <v>373.10980000000001</v>
      </c>
      <c r="H77" s="18">
        <f>(G77-F77)*E77</f>
        <v>8741.5200000002187</v>
      </c>
      <c r="I77" s="51"/>
      <c r="J77" s="52"/>
    </row>
    <row r="78" spans="1:10" ht="15.75" x14ac:dyDescent="0.25">
      <c r="A78" s="27" t="s">
        <v>98</v>
      </c>
      <c r="B78" s="210" t="s">
        <v>52</v>
      </c>
      <c r="C78" s="86">
        <v>51431351</v>
      </c>
      <c r="D78" s="88" t="s">
        <v>14</v>
      </c>
      <c r="E78" s="210">
        <v>7200</v>
      </c>
      <c r="F78" s="21">
        <v>270.18869999999998</v>
      </c>
      <c r="G78" s="21">
        <v>270.67579999999998</v>
      </c>
      <c r="H78" s="18">
        <f>(G78-F78)*E78</f>
        <v>3507.1199999999862</v>
      </c>
      <c r="I78" s="51"/>
      <c r="J78" s="52"/>
    </row>
    <row r="79" spans="1:10" ht="15.75" x14ac:dyDescent="0.25">
      <c r="A79" s="89" t="s">
        <v>99</v>
      </c>
      <c r="B79" s="210" t="s">
        <v>52</v>
      </c>
      <c r="C79" s="90">
        <v>51097666</v>
      </c>
      <c r="D79" s="88" t="s">
        <v>63</v>
      </c>
      <c r="E79" s="210">
        <v>2400</v>
      </c>
      <c r="F79" s="31">
        <v>0.435</v>
      </c>
      <c r="G79" s="31">
        <v>0.435</v>
      </c>
      <c r="H79" s="33">
        <f t="shared" ref="H79:H80" si="3">(G79-F79)*E79</f>
        <v>0</v>
      </c>
      <c r="I79" s="91"/>
      <c r="J79" s="92"/>
    </row>
    <row r="80" spans="1:10" ht="15.75" x14ac:dyDescent="0.25">
      <c r="A80" s="89" t="s">
        <v>100</v>
      </c>
      <c r="B80" s="210" t="s">
        <v>52</v>
      </c>
      <c r="C80" s="90">
        <v>51259323</v>
      </c>
      <c r="D80" s="88" t="s">
        <v>63</v>
      </c>
      <c r="E80" s="210">
        <v>2400</v>
      </c>
      <c r="F80" s="31">
        <v>7.6399999999999996E-2</v>
      </c>
      <c r="G80" s="31">
        <v>7.6399999999999996E-2</v>
      </c>
      <c r="H80" s="33">
        <f t="shared" si="3"/>
        <v>0</v>
      </c>
      <c r="I80" s="91"/>
      <c r="J80" s="92"/>
    </row>
    <row r="81" spans="1:10" ht="15.75" x14ac:dyDescent="0.25">
      <c r="A81" s="93" t="s">
        <v>101</v>
      </c>
      <c r="B81" s="32"/>
      <c r="C81" s="32"/>
      <c r="D81" s="94"/>
      <c r="E81" s="32"/>
      <c r="F81" s="95"/>
      <c r="G81" s="95"/>
      <c r="H81" s="84">
        <f>H74+H75+H76+H77+H78+H79+H80</f>
        <v>21872.580000000264</v>
      </c>
      <c r="I81" s="91"/>
      <c r="J81" s="96"/>
    </row>
    <row r="82" spans="1:10" ht="15.75" x14ac:dyDescent="0.25">
      <c r="A82" s="97"/>
      <c r="B82" s="98"/>
      <c r="C82" s="99" t="s">
        <v>102</v>
      </c>
      <c r="D82" s="100"/>
      <c r="E82" s="100"/>
      <c r="F82" s="101"/>
      <c r="G82" s="101"/>
      <c r="H82" s="102"/>
      <c r="I82" s="103"/>
      <c r="J82" s="104"/>
    </row>
    <row r="83" spans="1:10" ht="15.75" x14ac:dyDescent="0.25">
      <c r="A83" s="105" t="s">
        <v>85</v>
      </c>
      <c r="B83" s="210" t="s">
        <v>52</v>
      </c>
      <c r="C83" s="106">
        <v>51431297</v>
      </c>
      <c r="D83" s="211" t="s">
        <v>53</v>
      </c>
      <c r="E83" s="100">
        <v>7000</v>
      </c>
      <c r="F83" s="17">
        <v>335.12329999999997</v>
      </c>
      <c r="G83" s="17">
        <v>335.83339999999998</v>
      </c>
      <c r="H83" s="18">
        <f>(G83-F83)*E83</f>
        <v>4970.7000000000789</v>
      </c>
      <c r="I83" s="107"/>
      <c r="J83" s="108"/>
    </row>
    <row r="84" spans="1:10" ht="15.75" x14ac:dyDescent="0.25">
      <c r="A84" s="105" t="s">
        <v>86</v>
      </c>
      <c r="B84" s="210" t="s">
        <v>52</v>
      </c>
      <c r="C84" s="106">
        <v>51431332</v>
      </c>
      <c r="D84" s="211" t="s">
        <v>53</v>
      </c>
      <c r="E84" s="100">
        <v>7000</v>
      </c>
      <c r="F84" s="17">
        <v>381.7962</v>
      </c>
      <c r="G84" s="17">
        <v>384.09289999999999</v>
      </c>
      <c r="H84" s="18">
        <f>(G84-F84)*E84</f>
        <v>16076.899999999911</v>
      </c>
      <c r="I84" s="210"/>
      <c r="J84" s="58"/>
    </row>
    <row r="85" spans="1:10" ht="15.75" x14ac:dyDescent="0.25">
      <c r="A85" s="27" t="s">
        <v>87</v>
      </c>
      <c r="B85" s="210" t="s">
        <v>103</v>
      </c>
      <c r="C85" s="109">
        <v>150773</v>
      </c>
      <c r="D85" s="211" t="s">
        <v>53</v>
      </c>
      <c r="E85" s="109">
        <v>20</v>
      </c>
      <c r="F85" s="17">
        <v>15808.2</v>
      </c>
      <c r="G85" s="17">
        <v>15810.1</v>
      </c>
      <c r="H85" s="18">
        <f>(G85-F85)*E85</f>
        <v>37.999999999992724</v>
      </c>
      <c r="I85" s="51"/>
      <c r="J85" s="58"/>
    </row>
    <row r="86" spans="1:10" ht="15.75" x14ac:dyDescent="0.25">
      <c r="A86" s="27" t="s">
        <v>89</v>
      </c>
      <c r="B86" s="210" t="s">
        <v>103</v>
      </c>
      <c r="C86" s="109">
        <v>150791</v>
      </c>
      <c r="D86" s="211" t="s">
        <v>53</v>
      </c>
      <c r="E86" s="109">
        <v>20</v>
      </c>
      <c r="F86" s="21">
        <v>231.7</v>
      </c>
      <c r="G86" s="21">
        <v>231.7</v>
      </c>
      <c r="H86" s="18">
        <f>(G86-F86)*E86</f>
        <v>0</v>
      </c>
      <c r="I86" s="51"/>
      <c r="J86" s="58"/>
    </row>
    <row r="87" spans="1:10" ht="15.75" x14ac:dyDescent="0.25">
      <c r="A87" s="110" t="s">
        <v>90</v>
      </c>
      <c r="B87" s="212"/>
      <c r="C87" s="32"/>
      <c r="D87" s="82"/>
      <c r="E87" s="82"/>
      <c r="F87" s="21"/>
      <c r="G87" s="21"/>
      <c r="H87" s="48">
        <f>H83+H84</f>
        <v>21047.599999999991</v>
      </c>
      <c r="I87" s="85">
        <f>H87-H90-H85-H86</f>
        <v>349.91999999969994</v>
      </c>
      <c r="J87" s="25">
        <f>I87/H87</f>
        <v>1.6625173416432281E-2</v>
      </c>
    </row>
    <row r="88" spans="1:10" ht="15.75" x14ac:dyDescent="0.25">
      <c r="A88" s="27" t="s">
        <v>104</v>
      </c>
      <c r="B88" s="210" t="s">
        <v>52</v>
      </c>
      <c r="C88" s="106">
        <v>51431342</v>
      </c>
      <c r="D88" s="88" t="s">
        <v>34</v>
      </c>
      <c r="E88" s="210">
        <v>4800</v>
      </c>
      <c r="F88" s="21">
        <v>476.84059999999999</v>
      </c>
      <c r="G88" s="21">
        <v>477.84829999999999</v>
      </c>
      <c r="H88" s="18">
        <f>(G88-F88)*E88</f>
        <v>4836.9599999999991</v>
      </c>
      <c r="I88" s="51"/>
      <c r="J88" s="52"/>
    </row>
    <row r="89" spans="1:10" ht="15.75" x14ac:dyDescent="0.25">
      <c r="A89" s="27" t="s">
        <v>105</v>
      </c>
      <c r="B89" s="210" t="s">
        <v>52</v>
      </c>
      <c r="C89" s="106">
        <v>51431343</v>
      </c>
      <c r="D89" s="88" t="s">
        <v>34</v>
      </c>
      <c r="E89" s="210">
        <v>4800</v>
      </c>
      <c r="F89" s="21">
        <v>538.77779999999996</v>
      </c>
      <c r="G89" s="21">
        <v>542.07420000000002</v>
      </c>
      <c r="H89" s="18">
        <f>(G89-F89)*E89</f>
        <v>15822.720000000299</v>
      </c>
      <c r="I89" s="51"/>
      <c r="J89" s="52"/>
    </row>
    <row r="90" spans="1:10" ht="15.75" x14ac:dyDescent="0.25">
      <c r="A90" s="44" t="s">
        <v>106</v>
      </c>
      <c r="B90" s="79"/>
      <c r="C90" s="109"/>
      <c r="D90" s="112"/>
      <c r="E90" s="109"/>
      <c r="F90" s="21"/>
      <c r="G90" s="21"/>
      <c r="H90" s="48">
        <f>H88+H89</f>
        <v>20659.680000000299</v>
      </c>
      <c r="I90" s="85">
        <f>H90-H98</f>
        <v>-13.57999999963431</v>
      </c>
      <c r="J90" s="25">
        <f>I90/H90</f>
        <v>-6.5731899040227695E-4</v>
      </c>
    </row>
    <row r="91" spans="1:10" ht="15.75" x14ac:dyDescent="0.25">
      <c r="A91" s="27" t="s">
        <v>107</v>
      </c>
      <c r="B91" s="210" t="s">
        <v>52</v>
      </c>
      <c r="C91" s="106">
        <v>51431347</v>
      </c>
      <c r="D91" s="211" t="s">
        <v>53</v>
      </c>
      <c r="E91" s="210">
        <v>1200</v>
      </c>
      <c r="F91" s="21">
        <v>1293.068</v>
      </c>
      <c r="G91" s="21">
        <v>1301.6224</v>
      </c>
      <c r="H91" s="18">
        <f>(G91-F91)*E91</f>
        <v>10265.279999999984</v>
      </c>
      <c r="I91" s="51"/>
      <c r="J91" s="52"/>
    </row>
    <row r="92" spans="1:10" ht="15.75" x14ac:dyDescent="0.25">
      <c r="A92" s="27" t="s">
        <v>108</v>
      </c>
      <c r="B92" s="210" t="s">
        <v>52</v>
      </c>
      <c r="C92" s="106">
        <v>51431339</v>
      </c>
      <c r="D92" s="211" t="s">
        <v>53</v>
      </c>
      <c r="E92" s="210">
        <v>1200</v>
      </c>
      <c r="F92" s="21"/>
      <c r="G92" s="21"/>
      <c r="H92" s="18">
        <f t="shared" ref="H92:H99" si="4">(G92-F92)*E92</f>
        <v>0</v>
      </c>
      <c r="I92" s="51"/>
      <c r="J92" s="52"/>
    </row>
    <row r="93" spans="1:10" ht="15.75" x14ac:dyDescent="0.25">
      <c r="A93" s="27" t="s">
        <v>109</v>
      </c>
      <c r="B93" s="210" t="s">
        <v>52</v>
      </c>
      <c r="C93" s="106">
        <v>51217244</v>
      </c>
      <c r="D93" s="210" t="s">
        <v>37</v>
      </c>
      <c r="E93" s="210">
        <v>600</v>
      </c>
      <c r="F93" s="30">
        <v>376.6379</v>
      </c>
      <c r="G93" s="30">
        <v>379.14069999999998</v>
      </c>
      <c r="H93" s="18">
        <f t="shared" si="4"/>
        <v>1501.6799999999876</v>
      </c>
      <c r="I93" s="51"/>
      <c r="J93" s="52"/>
    </row>
    <row r="94" spans="1:10" ht="15.75" x14ac:dyDescent="0.25">
      <c r="A94" s="27" t="s">
        <v>110</v>
      </c>
      <c r="B94" s="210" t="s">
        <v>52</v>
      </c>
      <c r="C94" s="106">
        <v>51217267</v>
      </c>
      <c r="D94" s="88" t="s">
        <v>63</v>
      </c>
      <c r="E94" s="210">
        <v>2400</v>
      </c>
      <c r="F94" s="30">
        <v>31.249500000000001</v>
      </c>
      <c r="G94" s="30">
        <v>32.943100000000001</v>
      </c>
      <c r="H94" s="18">
        <f t="shared" si="4"/>
        <v>4064.64</v>
      </c>
      <c r="I94" s="51"/>
      <c r="J94" s="52"/>
    </row>
    <row r="95" spans="1:10" ht="15.75" x14ac:dyDescent="0.25">
      <c r="A95" s="27" t="s">
        <v>111</v>
      </c>
      <c r="B95" s="210" t="s">
        <v>52</v>
      </c>
      <c r="C95" s="210">
        <v>51555165</v>
      </c>
      <c r="D95" s="211" t="s">
        <v>53</v>
      </c>
      <c r="E95" s="210">
        <v>1200</v>
      </c>
      <c r="F95" s="30">
        <v>1007.9848</v>
      </c>
      <c r="G95" s="30">
        <v>1007.9848</v>
      </c>
      <c r="H95" s="18">
        <f t="shared" si="4"/>
        <v>0</v>
      </c>
      <c r="I95" s="51" t="s">
        <v>27</v>
      </c>
      <c r="J95" s="52"/>
    </row>
    <row r="96" spans="1:10" ht="15.75" x14ac:dyDescent="0.25">
      <c r="A96" s="113" t="s">
        <v>112</v>
      </c>
      <c r="B96" s="210" t="s">
        <v>52</v>
      </c>
      <c r="C96" s="106">
        <v>51431346</v>
      </c>
      <c r="D96" s="114" t="s">
        <v>37</v>
      </c>
      <c r="E96" s="114">
        <v>600</v>
      </c>
      <c r="F96" s="30">
        <v>394.63339999999999</v>
      </c>
      <c r="G96" s="30">
        <v>394.7045</v>
      </c>
      <c r="H96" s="115">
        <f t="shared" si="4"/>
        <v>42.660000000000764</v>
      </c>
      <c r="I96" s="116"/>
      <c r="J96" s="117"/>
    </row>
    <row r="97" spans="1:10" ht="15.75" x14ac:dyDescent="0.25">
      <c r="A97" s="27" t="s">
        <v>113</v>
      </c>
      <c r="B97" s="210" t="s">
        <v>52</v>
      </c>
      <c r="C97" s="106">
        <v>51431352</v>
      </c>
      <c r="D97" s="88" t="s">
        <v>21</v>
      </c>
      <c r="E97" s="210">
        <v>3600</v>
      </c>
      <c r="F97" s="21">
        <v>274.02859999999998</v>
      </c>
      <c r="G97" s="21">
        <v>275.35109999999997</v>
      </c>
      <c r="H97" s="18">
        <f t="shared" si="4"/>
        <v>4760.9999999999673</v>
      </c>
      <c r="I97" s="51"/>
      <c r="J97" s="52"/>
    </row>
    <row r="98" spans="1:10" ht="15.75" x14ac:dyDescent="0.25">
      <c r="A98" s="44" t="s">
        <v>106</v>
      </c>
      <c r="B98" s="51"/>
      <c r="C98" s="51"/>
      <c r="D98" s="51"/>
      <c r="E98" s="51"/>
      <c r="F98" s="118"/>
      <c r="G98" s="118"/>
      <c r="H98" s="119">
        <f>H91+H92+H93+H94+H95+H96+H97+H85+H86</f>
        <v>20673.259999999933</v>
      </c>
      <c r="I98" s="51"/>
      <c r="J98" s="52"/>
    </row>
    <row r="99" spans="1:10" ht="15.75" x14ac:dyDescent="0.25">
      <c r="A99" s="45" t="s">
        <v>114</v>
      </c>
      <c r="B99" s="210" t="s">
        <v>52</v>
      </c>
      <c r="C99" s="120">
        <v>51431357</v>
      </c>
      <c r="D99" s="211" t="s">
        <v>63</v>
      </c>
      <c r="E99" s="211">
        <v>14000</v>
      </c>
      <c r="F99" s="28">
        <v>933.41859999999997</v>
      </c>
      <c r="G99" s="28">
        <v>936.98810000000003</v>
      </c>
      <c r="H99" s="121">
        <f t="shared" si="4"/>
        <v>49973.000000000866</v>
      </c>
      <c r="I99" s="51"/>
      <c r="J99" s="122"/>
    </row>
  </sheetData>
  <mergeCells count="12">
    <mergeCell ref="A6:B6"/>
    <mergeCell ref="A9:B9"/>
    <mergeCell ref="A16:B16"/>
    <mergeCell ref="A19:B19"/>
    <mergeCell ref="A34:B34"/>
    <mergeCell ref="B50:E50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01.03</vt:lpstr>
      <vt:lpstr>02.03</vt:lpstr>
      <vt:lpstr>03.03</vt:lpstr>
      <vt:lpstr>04.03</vt:lpstr>
      <vt:lpstr>05.03</vt:lpstr>
      <vt:lpstr>06.03</vt:lpstr>
      <vt:lpstr>07.03</vt:lpstr>
      <vt:lpstr>08.03</vt:lpstr>
      <vt:lpstr>09.03</vt:lpstr>
      <vt:lpstr>10.03</vt:lpstr>
      <vt:lpstr>11.03</vt:lpstr>
      <vt:lpstr>12.03</vt:lpstr>
      <vt:lpstr>13.03</vt:lpstr>
      <vt:lpstr>14.03</vt:lpstr>
      <vt:lpstr>15.03</vt:lpstr>
      <vt:lpstr>16.03</vt:lpstr>
      <vt:lpstr>17.03</vt:lpstr>
      <vt:lpstr>18.03</vt:lpstr>
      <vt:lpstr>19.03</vt:lpstr>
      <vt:lpstr>20.03</vt:lpstr>
      <vt:lpstr>21.03</vt:lpstr>
      <vt:lpstr>22.03</vt:lpstr>
      <vt:lpstr>23.03</vt:lpstr>
      <vt:lpstr>24.03</vt:lpstr>
      <vt:lpstr>25.03</vt:lpstr>
      <vt:lpstr>26.03</vt:lpstr>
      <vt:lpstr>27.03</vt:lpstr>
      <vt:lpstr>28.03</vt:lpstr>
      <vt:lpstr>29.03</vt:lpstr>
      <vt:lpstr>30.03</vt:lpstr>
      <vt:lpstr>31.03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2026-03-31T02:33:40Z</dcterms:modified>
</cp:coreProperties>
</file>