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0" activeTab="27"/>
  </bookViews>
  <sheets>
    <sheet name="01.02" sheetId="1" r:id="rId1"/>
    <sheet name="02.02" sheetId="2" r:id="rId2"/>
    <sheet name="03.02" sheetId="3" r:id="rId3"/>
    <sheet name="04.02" sheetId="4" r:id="rId4"/>
    <sheet name="05.02" sheetId="5" r:id="rId5"/>
    <sheet name="06.02" sheetId="6" r:id="rId6"/>
    <sheet name="07.02" sheetId="7" r:id="rId7"/>
    <sheet name="08.02" sheetId="8" r:id="rId8"/>
    <sheet name="09.02" sheetId="9" r:id="rId9"/>
    <sheet name="10.02" sheetId="10" r:id="rId10"/>
    <sheet name="11.02" sheetId="11" r:id="rId11"/>
    <sheet name="12.02" sheetId="12" r:id="rId12"/>
    <sheet name="13.02" sheetId="13" r:id="rId13"/>
    <sheet name="14.02" sheetId="14" r:id="rId14"/>
    <sheet name="15.02" sheetId="15" r:id="rId15"/>
    <sheet name="16.02" sheetId="16" r:id="rId16"/>
    <sheet name="17.02" sheetId="17" r:id="rId17"/>
    <sheet name="18.02" sheetId="18" r:id="rId18"/>
    <sheet name="19.02" sheetId="19" r:id="rId19"/>
    <sheet name="20.02" sheetId="20" r:id="rId20"/>
    <sheet name="21.02" sheetId="21" r:id="rId21"/>
    <sheet name="22.02" sheetId="22" r:id="rId22"/>
    <sheet name="23.02" sheetId="23" r:id="rId23"/>
    <sheet name="24.02" sheetId="24" r:id="rId24"/>
    <sheet name="25.02" sheetId="25" r:id="rId25"/>
    <sheet name="26.02" sheetId="26" r:id="rId26"/>
    <sheet name="27.02" sheetId="27" r:id="rId27"/>
    <sheet name="28.02" sheetId="28" r:id="rId2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9" i="28" l="1"/>
  <c r="H97" i="28"/>
  <c r="H96" i="28"/>
  <c r="H95" i="28"/>
  <c r="H94" i="28"/>
  <c r="H93" i="28"/>
  <c r="H92" i="28"/>
  <c r="H91" i="28"/>
  <c r="H89" i="28"/>
  <c r="H88" i="28"/>
  <c r="H86" i="28"/>
  <c r="H85" i="28"/>
  <c r="H84" i="28"/>
  <c r="H83" i="28"/>
  <c r="H80" i="28"/>
  <c r="H79" i="28"/>
  <c r="H78" i="28"/>
  <c r="H77" i="28"/>
  <c r="H76" i="28"/>
  <c r="H75" i="28"/>
  <c r="H74" i="28"/>
  <c r="H72" i="28"/>
  <c r="H71" i="28"/>
  <c r="H73" i="28" s="1"/>
  <c r="H69" i="28"/>
  <c r="H68" i="28"/>
  <c r="H67" i="28"/>
  <c r="H66" i="28"/>
  <c r="H63" i="28"/>
  <c r="H62" i="28"/>
  <c r="H61" i="28"/>
  <c r="D61" i="28"/>
  <c r="H60" i="28"/>
  <c r="D60" i="28"/>
  <c r="H59" i="28"/>
  <c r="H58" i="28"/>
  <c r="H56" i="28"/>
  <c r="H55" i="28"/>
  <c r="H52" i="28"/>
  <c r="H51" i="28"/>
  <c r="H54" i="28" s="1"/>
  <c r="H47" i="28"/>
  <c r="H46" i="28"/>
  <c r="H45" i="28"/>
  <c r="H44" i="28"/>
  <c r="H43" i="28"/>
  <c r="H40" i="28"/>
  <c r="H39" i="28"/>
  <c r="H37" i="28"/>
  <c r="H36" i="28"/>
  <c r="H33" i="28"/>
  <c r="H32" i="28"/>
  <c r="H31" i="28"/>
  <c r="H30" i="28"/>
  <c r="H29" i="28"/>
  <c r="D29" i="28"/>
  <c r="H28" i="28"/>
  <c r="D28" i="28"/>
  <c r="H27" i="28"/>
  <c r="H26" i="28"/>
  <c r="H25" i="28"/>
  <c r="H24" i="28"/>
  <c r="H23" i="28"/>
  <c r="H22" i="28"/>
  <c r="H21" i="28"/>
  <c r="H20" i="28"/>
  <c r="H18" i="28"/>
  <c r="H17" i="28"/>
  <c r="H15" i="28"/>
  <c r="H14" i="28"/>
  <c r="H13" i="28"/>
  <c r="H12" i="28"/>
  <c r="H11" i="28"/>
  <c r="H10" i="28"/>
  <c r="H8" i="28"/>
  <c r="H7" i="28"/>
  <c r="H5" i="28"/>
  <c r="H4" i="28"/>
  <c r="H90" i="28" l="1"/>
  <c r="H9" i="28"/>
  <c r="H19" i="28"/>
  <c r="H41" i="28"/>
  <c r="H64" i="28"/>
  <c r="I57" i="28" s="1"/>
  <c r="H6" i="28"/>
  <c r="H98" i="28"/>
  <c r="H16" i="28"/>
  <c r="H34" i="28"/>
  <c r="H49" i="28"/>
  <c r="H57" i="28"/>
  <c r="H87" i="28"/>
  <c r="I9" i="28"/>
  <c r="J9" i="28" s="1"/>
  <c r="H81" i="28"/>
  <c r="I73" i="28" s="1"/>
  <c r="J73" i="28" s="1"/>
  <c r="H70" i="28"/>
  <c r="I70" i="28" s="1"/>
  <c r="J70" i="28" s="1"/>
  <c r="H99" i="27"/>
  <c r="H97" i="27"/>
  <c r="H96" i="27"/>
  <c r="H95" i="27"/>
  <c r="H94" i="27"/>
  <c r="H93" i="27"/>
  <c r="H92" i="27"/>
  <c r="H91" i="27"/>
  <c r="H89" i="27"/>
  <c r="H88" i="27"/>
  <c r="H86" i="27"/>
  <c r="H85" i="27"/>
  <c r="H84" i="27"/>
  <c r="H83" i="27"/>
  <c r="H80" i="27"/>
  <c r="H79" i="27"/>
  <c r="H78" i="27"/>
  <c r="H77" i="27"/>
  <c r="H76" i="27"/>
  <c r="H75" i="27"/>
  <c r="H74" i="27"/>
  <c r="H72" i="27"/>
  <c r="H71" i="27"/>
  <c r="H69" i="27"/>
  <c r="H68" i="27"/>
  <c r="H67" i="27"/>
  <c r="H66" i="27"/>
  <c r="H63" i="27"/>
  <c r="H62" i="27"/>
  <c r="H61" i="27"/>
  <c r="D61" i="27"/>
  <c r="H60" i="27"/>
  <c r="D60" i="27"/>
  <c r="H59" i="27"/>
  <c r="H58" i="27"/>
  <c r="H56" i="27"/>
  <c r="H55" i="27"/>
  <c r="H52" i="27"/>
  <c r="H51" i="27"/>
  <c r="H47" i="27"/>
  <c r="H46" i="27"/>
  <c r="H45" i="27"/>
  <c r="H44" i="27"/>
  <c r="H43" i="27"/>
  <c r="H40" i="27"/>
  <c r="H39" i="27"/>
  <c r="H37" i="27"/>
  <c r="H36" i="27"/>
  <c r="H33" i="27"/>
  <c r="H32" i="27"/>
  <c r="H31" i="27"/>
  <c r="H30" i="27"/>
  <c r="H29" i="27"/>
  <c r="D29" i="27"/>
  <c r="H28" i="27"/>
  <c r="D28" i="27"/>
  <c r="H27" i="27"/>
  <c r="H26" i="27"/>
  <c r="H25" i="27"/>
  <c r="H24" i="27"/>
  <c r="H23" i="27"/>
  <c r="H22" i="27"/>
  <c r="H21" i="27"/>
  <c r="H20" i="27"/>
  <c r="H18" i="27"/>
  <c r="H19" i="27" s="1"/>
  <c r="H17" i="27"/>
  <c r="H15" i="27"/>
  <c r="H14" i="27"/>
  <c r="H13" i="27"/>
  <c r="H12" i="27"/>
  <c r="H11" i="27"/>
  <c r="H10" i="27"/>
  <c r="H8" i="27"/>
  <c r="H7" i="27"/>
  <c r="H9" i="27" s="1"/>
  <c r="H5" i="27"/>
  <c r="H4" i="27"/>
  <c r="H6" i="27" s="1"/>
  <c r="I87" i="28" l="1"/>
  <c r="J87" i="28" s="1"/>
  <c r="I90" i="28"/>
  <c r="J90" i="28" s="1"/>
  <c r="I6" i="28"/>
  <c r="J6" i="28" s="1"/>
  <c r="I19" i="28"/>
  <c r="J19" i="28" s="1"/>
  <c r="I41" i="28"/>
  <c r="J41" i="28" s="1"/>
  <c r="J57" i="28"/>
  <c r="H16" i="27"/>
  <c r="I9" i="27" s="1"/>
  <c r="J9" i="27" s="1"/>
  <c r="I6" i="27"/>
  <c r="J6" i="27" s="1"/>
  <c r="H41" i="27"/>
  <c r="H81" i="27"/>
  <c r="H87" i="27"/>
  <c r="H90" i="27"/>
  <c r="H49" i="27"/>
  <c r="I41" i="27" s="1"/>
  <c r="J41" i="27" s="1"/>
  <c r="H57" i="27"/>
  <c r="H54" i="27"/>
  <c r="H64" i="27"/>
  <c r="H70" i="27"/>
  <c r="H73" i="27"/>
  <c r="H34" i="27"/>
  <c r="I19" i="27" s="1"/>
  <c r="J19" i="27" s="1"/>
  <c r="H98" i="27"/>
  <c r="I90" i="27" s="1"/>
  <c r="J90" i="27" s="1"/>
  <c r="H99" i="26"/>
  <c r="H97" i="26"/>
  <c r="H96" i="26"/>
  <c r="H95" i="26"/>
  <c r="H94" i="26"/>
  <c r="H93" i="26"/>
  <c r="H92" i="26"/>
  <c r="H91" i="26"/>
  <c r="H89" i="26"/>
  <c r="H88" i="26"/>
  <c r="H86" i="26"/>
  <c r="H85" i="26"/>
  <c r="H84" i="26"/>
  <c r="H83" i="26"/>
  <c r="H80" i="26"/>
  <c r="H79" i="26"/>
  <c r="H78" i="26"/>
  <c r="H77" i="26"/>
  <c r="H76" i="26"/>
  <c r="H75" i="26"/>
  <c r="H74" i="26"/>
  <c r="H72" i="26"/>
  <c r="H71" i="26"/>
  <c r="H69" i="26"/>
  <c r="H68" i="26"/>
  <c r="H67" i="26"/>
  <c r="H66" i="26"/>
  <c r="H70" i="26" s="1"/>
  <c r="H63" i="26"/>
  <c r="H62" i="26"/>
  <c r="H61" i="26"/>
  <c r="D61" i="26"/>
  <c r="H60" i="26"/>
  <c r="D60" i="26"/>
  <c r="H59" i="26"/>
  <c r="H58" i="26"/>
  <c r="H56" i="26"/>
  <c r="H55" i="26"/>
  <c r="H57" i="26" s="1"/>
  <c r="H52" i="26"/>
  <c r="H51" i="26"/>
  <c r="H47" i="26"/>
  <c r="H46" i="26"/>
  <c r="H45" i="26"/>
  <c r="H44" i="26"/>
  <c r="H43" i="26"/>
  <c r="H40" i="26"/>
  <c r="H39" i="26"/>
  <c r="H37" i="26"/>
  <c r="H36" i="26"/>
  <c r="H33" i="26"/>
  <c r="H32" i="26"/>
  <c r="H31" i="26"/>
  <c r="H30" i="26"/>
  <c r="H29" i="26"/>
  <c r="D29" i="26"/>
  <c r="H28" i="26"/>
  <c r="D28" i="26"/>
  <c r="H27" i="26"/>
  <c r="H26" i="26"/>
  <c r="H25" i="26"/>
  <c r="H24" i="26"/>
  <c r="H23" i="26"/>
  <c r="H22" i="26"/>
  <c r="H21" i="26"/>
  <c r="H20" i="26"/>
  <c r="H18" i="26"/>
  <c r="H17" i="26"/>
  <c r="H19" i="26" s="1"/>
  <c r="H15" i="26"/>
  <c r="H14" i="26"/>
  <c r="H13" i="26"/>
  <c r="H12" i="26"/>
  <c r="H11" i="26"/>
  <c r="H10" i="26"/>
  <c r="H8" i="26"/>
  <c r="H7" i="26"/>
  <c r="H5" i="26"/>
  <c r="H4" i="26"/>
  <c r="I73" i="27" l="1"/>
  <c r="J73" i="27" s="1"/>
  <c r="I87" i="27"/>
  <c r="J87" i="27" s="1"/>
  <c r="I70" i="27"/>
  <c r="J70" i="27" s="1"/>
  <c r="I57" i="27"/>
  <c r="J57" i="27" s="1"/>
  <c r="H90" i="26"/>
  <c r="H98" i="26"/>
  <c r="H6" i="26"/>
  <c r="I6" i="26" s="1"/>
  <c r="J6" i="26" s="1"/>
  <c r="H9" i="26"/>
  <c r="H41" i="26"/>
  <c r="H54" i="26"/>
  <c r="H64" i="26"/>
  <c r="H73" i="26"/>
  <c r="H87" i="26"/>
  <c r="I87" i="26" s="1"/>
  <c r="J87" i="26" s="1"/>
  <c r="H16" i="26"/>
  <c r="I9" i="26" s="1"/>
  <c r="J9" i="26" s="1"/>
  <c r="H34" i="26"/>
  <c r="I19" i="26" s="1"/>
  <c r="J19" i="26" s="1"/>
  <c r="H49" i="26"/>
  <c r="I41" i="26" s="1"/>
  <c r="J41" i="26" s="1"/>
  <c r="H81" i="26"/>
  <c r="H100" i="25"/>
  <c r="H98" i="25"/>
  <c r="H97" i="25"/>
  <c r="H96" i="25"/>
  <c r="H95" i="25"/>
  <c r="H94" i="25"/>
  <c r="H93" i="25"/>
  <c r="H92" i="25"/>
  <c r="H90" i="25"/>
  <c r="H89" i="25"/>
  <c r="H87" i="25"/>
  <c r="H86" i="25"/>
  <c r="H85" i="25"/>
  <c r="H84" i="25"/>
  <c r="H88" i="25" s="1"/>
  <c r="H81" i="25"/>
  <c r="H80" i="25"/>
  <c r="H79" i="25"/>
  <c r="H78" i="25"/>
  <c r="H77" i="25"/>
  <c r="H76" i="25"/>
  <c r="H75" i="25"/>
  <c r="H73" i="25"/>
  <c r="H74" i="25" s="1"/>
  <c r="H72" i="25"/>
  <c r="H70" i="25"/>
  <c r="H69" i="25"/>
  <c r="H68" i="25"/>
  <c r="H67" i="25"/>
  <c r="H64" i="25"/>
  <c r="H63" i="25"/>
  <c r="H62" i="25"/>
  <c r="D62" i="25"/>
  <c r="H61" i="25"/>
  <c r="D61" i="25"/>
  <c r="H60" i="25"/>
  <c r="H59" i="25"/>
  <c r="H57" i="25"/>
  <c r="H56" i="25"/>
  <c r="H55" i="25"/>
  <c r="H53" i="25"/>
  <c r="H52" i="25"/>
  <c r="H48" i="25"/>
  <c r="H47" i="25"/>
  <c r="H46" i="25"/>
  <c r="H45" i="25"/>
  <c r="H44" i="25"/>
  <c r="H41" i="25"/>
  <c r="H40" i="25"/>
  <c r="H38" i="25"/>
  <c r="H37" i="25"/>
  <c r="H34" i="25"/>
  <c r="H33" i="25"/>
  <c r="H32" i="25"/>
  <c r="H31" i="25"/>
  <c r="H30" i="25"/>
  <c r="D30" i="25"/>
  <c r="H29" i="25"/>
  <c r="D29" i="25"/>
  <c r="H28" i="25"/>
  <c r="H27" i="25"/>
  <c r="H26" i="25"/>
  <c r="H25" i="25"/>
  <c r="H24" i="25"/>
  <c r="H23" i="25"/>
  <c r="H22" i="25"/>
  <c r="H21" i="25"/>
  <c r="H19" i="25"/>
  <c r="H18" i="25"/>
  <c r="H16" i="25"/>
  <c r="H15" i="25"/>
  <c r="H14" i="25"/>
  <c r="H13" i="25"/>
  <c r="H12" i="25"/>
  <c r="H11" i="25"/>
  <c r="H9" i="25"/>
  <c r="H8" i="25"/>
  <c r="H6" i="25"/>
  <c r="H5" i="25"/>
  <c r="I90" i="26" l="1"/>
  <c r="J90" i="26" s="1"/>
  <c r="I57" i="26"/>
  <c r="J57" i="26" s="1"/>
  <c r="I73" i="26"/>
  <c r="J73" i="26" s="1"/>
  <c r="I70" i="26"/>
  <c r="J70" i="26" s="1"/>
  <c r="H91" i="25"/>
  <c r="H42" i="25"/>
  <c r="H20" i="25"/>
  <c r="H99" i="25"/>
  <c r="I91" i="25" s="1"/>
  <c r="J91" i="25" s="1"/>
  <c r="H65" i="25"/>
  <c r="I58" i="25" s="1"/>
  <c r="H7" i="25"/>
  <c r="H58" i="25"/>
  <c r="H35" i="25"/>
  <c r="H50" i="25"/>
  <c r="I42" i="25" s="1"/>
  <c r="J42" i="25" s="1"/>
  <c r="I88" i="25"/>
  <c r="J88" i="25" s="1"/>
  <c r="H82" i="25"/>
  <c r="I74" i="25" s="1"/>
  <c r="J74" i="25" s="1"/>
  <c r="H17" i="25"/>
  <c r="H10" i="25"/>
  <c r="I10" i="25" s="1"/>
  <c r="J10" i="25" s="1"/>
  <c r="H71" i="25"/>
  <c r="I71" i="25" s="1"/>
  <c r="J71" i="25" s="1"/>
  <c r="H100" i="24"/>
  <c r="H98" i="24"/>
  <c r="H97" i="24"/>
  <c r="H96" i="24"/>
  <c r="H95" i="24"/>
  <c r="H94" i="24"/>
  <c r="H93" i="24"/>
  <c r="H92" i="24"/>
  <c r="H90" i="24"/>
  <c r="H89" i="24"/>
  <c r="H87" i="24"/>
  <c r="H86" i="24"/>
  <c r="H85" i="24"/>
  <c r="H84" i="24"/>
  <c r="H81" i="24"/>
  <c r="H80" i="24"/>
  <c r="H79" i="24"/>
  <c r="H78" i="24"/>
  <c r="H77" i="24"/>
  <c r="H76" i="24"/>
  <c r="H75" i="24"/>
  <c r="H73" i="24"/>
  <c r="H72" i="24"/>
  <c r="H70" i="24"/>
  <c r="H69" i="24"/>
  <c r="H68" i="24"/>
  <c r="H67" i="24"/>
  <c r="H64" i="24"/>
  <c r="H63" i="24"/>
  <c r="H62" i="24"/>
  <c r="D62" i="24"/>
  <c r="H61" i="24"/>
  <c r="D61" i="24"/>
  <c r="H60" i="24"/>
  <c r="H59" i="24"/>
  <c r="H57" i="24"/>
  <c r="H56" i="24"/>
  <c r="H53" i="24"/>
  <c r="H52" i="24"/>
  <c r="H48" i="24"/>
  <c r="H47" i="24"/>
  <c r="H46" i="24"/>
  <c r="H45" i="24"/>
  <c r="H44" i="24"/>
  <c r="H41" i="24"/>
  <c r="H40" i="24"/>
  <c r="H38" i="24"/>
  <c r="H37" i="24"/>
  <c r="H34" i="24"/>
  <c r="H33" i="24"/>
  <c r="H32" i="24"/>
  <c r="H31" i="24"/>
  <c r="H30" i="24"/>
  <c r="D30" i="24"/>
  <c r="H29" i="24"/>
  <c r="D29" i="24"/>
  <c r="H28" i="24"/>
  <c r="H27" i="24"/>
  <c r="H26" i="24"/>
  <c r="H25" i="24"/>
  <c r="H24" i="24"/>
  <c r="H23" i="24"/>
  <c r="H22" i="24"/>
  <c r="H21" i="24"/>
  <c r="H19" i="24"/>
  <c r="H18" i="24"/>
  <c r="H16" i="24"/>
  <c r="H15" i="24"/>
  <c r="H14" i="24"/>
  <c r="H13" i="24"/>
  <c r="H12" i="24"/>
  <c r="H11" i="24"/>
  <c r="H9" i="24"/>
  <c r="H8" i="24"/>
  <c r="H6" i="24"/>
  <c r="H5" i="24"/>
  <c r="H7" i="24" s="1"/>
  <c r="J58" i="25" l="1"/>
  <c r="I7" i="25"/>
  <c r="J7" i="25" s="1"/>
  <c r="I20" i="25"/>
  <c r="J20" i="25" s="1"/>
  <c r="H55" i="24"/>
  <c r="H42" i="24"/>
  <c r="H10" i="24"/>
  <c r="I7" i="24" s="1"/>
  <c r="J7" i="24" s="1"/>
  <c r="H20" i="24"/>
  <c r="H74" i="24"/>
  <c r="H88" i="24"/>
  <c r="H91" i="24"/>
  <c r="I88" i="24" s="1"/>
  <c r="J88" i="24" s="1"/>
  <c r="H58" i="24"/>
  <c r="H17" i="24"/>
  <c r="H50" i="24"/>
  <c r="H99" i="24"/>
  <c r="H65" i="24"/>
  <c r="I58" i="24" s="1"/>
  <c r="I42" i="24"/>
  <c r="J42" i="24" s="1"/>
  <c r="H35" i="24"/>
  <c r="I20" i="24" s="1"/>
  <c r="J20" i="24" s="1"/>
  <c r="H71" i="24"/>
  <c r="H82" i="24"/>
  <c r="I74" i="24" s="1"/>
  <c r="J74" i="24" s="1"/>
  <c r="H100" i="23"/>
  <c r="H98" i="23"/>
  <c r="H97" i="23"/>
  <c r="H96" i="23"/>
  <c r="H95" i="23"/>
  <c r="H94" i="23"/>
  <c r="H93" i="23"/>
  <c r="H92" i="23"/>
  <c r="H90" i="23"/>
  <c r="H89" i="23"/>
  <c r="H91" i="23" s="1"/>
  <c r="H87" i="23"/>
  <c r="H86" i="23"/>
  <c r="H85" i="23"/>
  <c r="H84" i="23"/>
  <c r="H88" i="23" s="1"/>
  <c r="H81" i="23"/>
  <c r="H80" i="23"/>
  <c r="H79" i="23"/>
  <c r="H78" i="23"/>
  <c r="H77" i="23"/>
  <c r="H76" i="23"/>
  <c r="H75" i="23"/>
  <c r="H73" i="23"/>
  <c r="H72" i="23"/>
  <c r="H70" i="23"/>
  <c r="H69" i="23"/>
  <c r="H68" i="23"/>
  <c r="H67" i="23"/>
  <c r="H64" i="23"/>
  <c r="H63" i="23"/>
  <c r="H62" i="23"/>
  <c r="D62" i="23"/>
  <c r="H61" i="23"/>
  <c r="D61" i="23"/>
  <c r="H60" i="23"/>
  <c r="H59" i="23"/>
  <c r="H57" i="23"/>
  <c r="H56" i="23"/>
  <c r="H53" i="23"/>
  <c r="H52" i="23"/>
  <c r="H48" i="23"/>
  <c r="H47" i="23"/>
  <c r="H46" i="23"/>
  <c r="H45" i="23"/>
  <c r="H44" i="23"/>
  <c r="H41" i="23"/>
  <c r="H40" i="23"/>
  <c r="H42" i="23" s="1"/>
  <c r="H38" i="23"/>
  <c r="H37" i="23"/>
  <c r="H34" i="23"/>
  <c r="H33" i="23"/>
  <c r="H32" i="23"/>
  <c r="H31" i="23"/>
  <c r="H30" i="23"/>
  <c r="D30" i="23"/>
  <c r="H29" i="23"/>
  <c r="D29" i="23"/>
  <c r="H28" i="23"/>
  <c r="H27" i="23"/>
  <c r="H26" i="23"/>
  <c r="H25" i="23"/>
  <c r="H24" i="23"/>
  <c r="H23" i="23"/>
  <c r="H22" i="23"/>
  <c r="H21" i="23"/>
  <c r="H19" i="23"/>
  <c r="H18" i="23"/>
  <c r="H20" i="23" s="1"/>
  <c r="H16" i="23"/>
  <c r="H15" i="23"/>
  <c r="H14" i="23"/>
  <c r="H13" i="23"/>
  <c r="H12" i="23"/>
  <c r="H11" i="23"/>
  <c r="H9" i="23"/>
  <c r="H8" i="23"/>
  <c r="H6" i="23"/>
  <c r="H5" i="23"/>
  <c r="H7" i="23" s="1"/>
  <c r="I91" i="24" l="1"/>
  <c r="J91" i="24" s="1"/>
  <c r="I71" i="24"/>
  <c r="J71" i="24" s="1"/>
  <c r="I10" i="24"/>
  <c r="J10" i="24" s="1"/>
  <c r="J58" i="24"/>
  <c r="H65" i="23"/>
  <c r="H55" i="23"/>
  <c r="H71" i="23"/>
  <c r="H74" i="23"/>
  <c r="H10" i="23"/>
  <c r="I7" i="23" s="1"/>
  <c r="J7" i="23" s="1"/>
  <c r="I88" i="23"/>
  <c r="J88" i="23" s="1"/>
  <c r="H99" i="23"/>
  <c r="I91" i="23" s="1"/>
  <c r="J91" i="23" s="1"/>
  <c r="H50" i="23"/>
  <c r="I42" i="23" s="1"/>
  <c r="J42" i="23" s="1"/>
  <c r="H82" i="23"/>
  <c r="H17" i="23"/>
  <c r="H35" i="23"/>
  <c r="I20" i="23" s="1"/>
  <c r="J20" i="23" s="1"/>
  <c r="H58" i="23"/>
  <c r="H100" i="22"/>
  <c r="H98" i="22"/>
  <c r="H97" i="22"/>
  <c r="H96" i="22"/>
  <c r="H95" i="22"/>
  <c r="H94" i="22"/>
  <c r="H93" i="22"/>
  <c r="H92" i="22"/>
  <c r="H90" i="22"/>
  <c r="H89" i="22"/>
  <c r="H87" i="22"/>
  <c r="H86" i="22"/>
  <c r="H85" i="22"/>
  <c r="H84" i="22"/>
  <c r="H81" i="22"/>
  <c r="H80" i="22"/>
  <c r="H79" i="22"/>
  <c r="H78" i="22"/>
  <c r="H77" i="22"/>
  <c r="H76" i="22"/>
  <c r="H75" i="22"/>
  <c r="H73" i="22"/>
  <c r="H72" i="22"/>
  <c r="H70" i="22"/>
  <c r="H69" i="22"/>
  <c r="H68" i="22"/>
  <c r="H67" i="22"/>
  <c r="H64" i="22"/>
  <c r="H63" i="22"/>
  <c r="H62" i="22"/>
  <c r="D62" i="22"/>
  <c r="H61" i="22"/>
  <c r="D61" i="22"/>
  <c r="H60" i="22"/>
  <c r="H59" i="22"/>
  <c r="H57" i="22"/>
  <c r="H56" i="22"/>
  <c r="H53" i="22"/>
  <c r="H52" i="22"/>
  <c r="H48" i="22"/>
  <c r="H47" i="22"/>
  <c r="H46" i="22"/>
  <c r="H45" i="22"/>
  <c r="H44" i="22"/>
  <c r="H41" i="22"/>
  <c r="H40" i="22"/>
  <c r="H38" i="22"/>
  <c r="H37" i="22"/>
  <c r="H34" i="22"/>
  <c r="H33" i="22"/>
  <c r="H32" i="22"/>
  <c r="H31" i="22"/>
  <c r="H30" i="22"/>
  <c r="D30" i="22"/>
  <c r="H29" i="22"/>
  <c r="D29" i="22"/>
  <c r="H28" i="22"/>
  <c r="H27" i="22"/>
  <c r="H26" i="22"/>
  <c r="H25" i="22"/>
  <c r="H24" i="22"/>
  <c r="H23" i="22"/>
  <c r="H22" i="22"/>
  <c r="H21" i="22"/>
  <c r="H20" i="22"/>
  <c r="H19" i="22"/>
  <c r="H18" i="22"/>
  <c r="H16" i="22"/>
  <c r="H15" i="22"/>
  <c r="H14" i="22"/>
  <c r="H13" i="22"/>
  <c r="H12" i="22"/>
  <c r="H11" i="22"/>
  <c r="H9" i="22"/>
  <c r="H8" i="22"/>
  <c r="H6" i="22"/>
  <c r="H5" i="22"/>
  <c r="I74" i="23" l="1"/>
  <c r="J74" i="23" s="1"/>
  <c r="I58" i="23"/>
  <c r="J58" i="23" s="1"/>
  <c r="I10" i="23"/>
  <c r="J10" i="23" s="1"/>
  <c r="I71" i="23"/>
  <c r="J71" i="23" s="1"/>
  <c r="H42" i="22"/>
  <c r="H10" i="22"/>
  <c r="H88" i="22"/>
  <c r="H91" i="22"/>
  <c r="H99" i="22"/>
  <c r="H65" i="22"/>
  <c r="H7" i="22"/>
  <c r="H50" i="22"/>
  <c r="H55" i="22"/>
  <c r="H71" i="22"/>
  <c r="H74" i="22"/>
  <c r="H82" i="22"/>
  <c r="I91" i="22"/>
  <c r="J91" i="22" s="1"/>
  <c r="H17" i="22"/>
  <c r="I10" i="22" s="1"/>
  <c r="J10" i="22" s="1"/>
  <c r="H35" i="22"/>
  <c r="I20" i="22" s="1"/>
  <c r="J20" i="22" s="1"/>
  <c r="H58" i="22"/>
  <c r="H100" i="21"/>
  <c r="H98" i="21"/>
  <c r="H97" i="21"/>
  <c r="H96" i="21"/>
  <c r="H95" i="21"/>
  <c r="H94" i="21"/>
  <c r="H93" i="21"/>
  <c r="H92" i="21"/>
  <c r="H90" i="21"/>
  <c r="H89" i="21"/>
  <c r="H87" i="21"/>
  <c r="H86" i="21"/>
  <c r="H85" i="21"/>
  <c r="H84" i="21"/>
  <c r="H81" i="21"/>
  <c r="H80" i="21"/>
  <c r="H79" i="21"/>
  <c r="H78" i="21"/>
  <c r="H77" i="21"/>
  <c r="H76" i="21"/>
  <c r="H75" i="21"/>
  <c r="H73" i="21"/>
  <c r="H72" i="21"/>
  <c r="H70" i="21"/>
  <c r="H69" i="21"/>
  <c r="H68" i="21"/>
  <c r="H67" i="21"/>
  <c r="H64" i="21"/>
  <c r="H63" i="21"/>
  <c r="H62" i="21"/>
  <c r="D62" i="21"/>
  <c r="H61" i="21"/>
  <c r="D61" i="21"/>
  <c r="H60" i="21"/>
  <c r="H59" i="21"/>
  <c r="H57" i="21"/>
  <c r="H56" i="21"/>
  <c r="H53" i="21"/>
  <c r="H52" i="21"/>
  <c r="H48" i="21"/>
  <c r="H47" i="21"/>
  <c r="H46" i="21"/>
  <c r="H45" i="21"/>
  <c r="H44" i="21"/>
  <c r="H41" i="21"/>
  <c r="H40" i="21"/>
  <c r="H42" i="21" s="1"/>
  <c r="H38" i="21"/>
  <c r="H37" i="21"/>
  <c r="H34" i="21"/>
  <c r="H33" i="21"/>
  <c r="H32" i="21"/>
  <c r="H31" i="21"/>
  <c r="H30" i="21"/>
  <c r="D30" i="21"/>
  <c r="H29" i="21"/>
  <c r="D29" i="21"/>
  <c r="H28" i="21"/>
  <c r="H27" i="21"/>
  <c r="H26" i="21"/>
  <c r="H25" i="21"/>
  <c r="H24" i="21"/>
  <c r="H23" i="21"/>
  <c r="H22" i="21"/>
  <c r="H21" i="21"/>
  <c r="H19" i="21"/>
  <c r="H18" i="21"/>
  <c r="H16" i="21"/>
  <c r="H15" i="21"/>
  <c r="H14" i="21"/>
  <c r="H13" i="21"/>
  <c r="H12" i="21"/>
  <c r="H11" i="21"/>
  <c r="H9" i="21"/>
  <c r="H8" i="21"/>
  <c r="H10" i="21" s="1"/>
  <c r="H6" i="21"/>
  <c r="H5" i="21"/>
  <c r="I88" i="22" l="1"/>
  <c r="J88" i="22" s="1"/>
  <c r="I58" i="22"/>
  <c r="J58" i="22" s="1"/>
  <c r="I42" i="22"/>
  <c r="J42" i="22" s="1"/>
  <c r="I7" i="22"/>
  <c r="J7" i="22" s="1"/>
  <c r="I71" i="22"/>
  <c r="J71" i="22" s="1"/>
  <c r="I74" i="22"/>
  <c r="J74" i="22" s="1"/>
  <c r="H99" i="21"/>
  <c r="H71" i="21"/>
  <c r="H58" i="21"/>
  <c r="H50" i="21"/>
  <c r="H7" i="21"/>
  <c r="I7" i="21"/>
  <c r="J7" i="21" s="1"/>
  <c r="H20" i="21"/>
  <c r="H88" i="21"/>
  <c r="H65" i="21"/>
  <c r="H74" i="21"/>
  <c r="H55" i="21"/>
  <c r="H17" i="21"/>
  <c r="I10" i="21" s="1"/>
  <c r="J10" i="21" s="1"/>
  <c r="H35" i="21"/>
  <c r="I20" i="21" s="1"/>
  <c r="J20" i="21" s="1"/>
  <c r="H82" i="21"/>
  <c r="H91" i="21"/>
  <c r="I42" i="21"/>
  <c r="J42" i="21" s="1"/>
  <c r="H92" i="20"/>
  <c r="H100" i="20"/>
  <c r="H98" i="20"/>
  <c r="H97" i="20"/>
  <c r="H96" i="20"/>
  <c r="H95" i="20"/>
  <c r="H94" i="20"/>
  <c r="H93" i="20"/>
  <c r="H90" i="20"/>
  <c r="H89" i="20"/>
  <c r="H91" i="20" s="1"/>
  <c r="H87" i="20"/>
  <c r="H86" i="20"/>
  <c r="H85" i="20"/>
  <c r="H84" i="20"/>
  <c r="H88" i="20" s="1"/>
  <c r="H81" i="20"/>
  <c r="H80" i="20"/>
  <c r="H79" i="20"/>
  <c r="H78" i="20"/>
  <c r="H77" i="20"/>
  <c r="H76" i="20"/>
  <c r="H75" i="20"/>
  <c r="H73" i="20"/>
  <c r="H72" i="20"/>
  <c r="H70" i="20"/>
  <c r="H69" i="20"/>
  <c r="H68" i="20"/>
  <c r="H67" i="20"/>
  <c r="H64" i="20"/>
  <c r="H63" i="20"/>
  <c r="H62" i="20"/>
  <c r="D62" i="20"/>
  <c r="H61" i="20"/>
  <c r="D61" i="20"/>
  <c r="H60" i="20"/>
  <c r="H59" i="20"/>
  <c r="H57" i="20"/>
  <c r="H56" i="20"/>
  <c r="H53" i="20"/>
  <c r="H52" i="20"/>
  <c r="H48" i="20"/>
  <c r="H47" i="20"/>
  <c r="H46" i="20"/>
  <c r="H45" i="20"/>
  <c r="H44" i="20"/>
  <c r="H41" i="20"/>
  <c r="H40" i="20"/>
  <c r="H38" i="20"/>
  <c r="H37" i="20"/>
  <c r="H34" i="20"/>
  <c r="H33" i="20"/>
  <c r="H32" i="20"/>
  <c r="H31" i="20"/>
  <c r="H30" i="20"/>
  <c r="D30" i="20"/>
  <c r="H29" i="20"/>
  <c r="D29" i="20"/>
  <c r="H28" i="20"/>
  <c r="H27" i="20"/>
  <c r="H26" i="20"/>
  <c r="H25" i="20"/>
  <c r="H24" i="20"/>
  <c r="H23" i="20"/>
  <c r="H22" i="20"/>
  <c r="H21" i="20"/>
  <c r="H19" i="20"/>
  <c r="H18" i="20"/>
  <c r="H16" i="20"/>
  <c r="H15" i="20"/>
  <c r="H14" i="20"/>
  <c r="H13" i="20"/>
  <c r="H12" i="20"/>
  <c r="H11" i="20"/>
  <c r="H9" i="20"/>
  <c r="H8" i="20"/>
  <c r="H6" i="20"/>
  <c r="H5" i="20"/>
  <c r="I88" i="21" l="1"/>
  <c r="J88" i="21" s="1"/>
  <c r="I74" i="21"/>
  <c r="J74" i="21" s="1"/>
  <c r="I58" i="21"/>
  <c r="J58" i="21" s="1"/>
  <c r="I71" i="21"/>
  <c r="J71" i="21" s="1"/>
  <c r="I91" i="21"/>
  <c r="J91" i="21" s="1"/>
  <c r="H55" i="20"/>
  <c r="H10" i="20"/>
  <c r="I10" i="20" s="1"/>
  <c r="J10" i="20" s="1"/>
  <c r="H20" i="20"/>
  <c r="H42" i="20"/>
  <c r="H74" i="20"/>
  <c r="H7" i="20"/>
  <c r="H58" i="20"/>
  <c r="H17" i="20"/>
  <c r="I88" i="20"/>
  <c r="J88" i="20" s="1"/>
  <c r="H99" i="20"/>
  <c r="I91" i="20" s="1"/>
  <c r="J91" i="20" s="1"/>
  <c r="H65" i="20"/>
  <c r="H35" i="20"/>
  <c r="H50" i="20"/>
  <c r="H71" i="20"/>
  <c r="H82" i="20"/>
  <c r="H100" i="19"/>
  <c r="H98" i="19"/>
  <c r="H97" i="19"/>
  <c r="H96" i="19"/>
  <c r="H95" i="19"/>
  <c r="H94" i="19"/>
  <c r="H93" i="19"/>
  <c r="H92" i="19"/>
  <c r="H90" i="19"/>
  <c r="H89" i="19"/>
  <c r="H87" i="19"/>
  <c r="H86" i="19"/>
  <c r="H85" i="19"/>
  <c r="H84" i="19"/>
  <c r="H81" i="19"/>
  <c r="H80" i="19"/>
  <c r="H79" i="19"/>
  <c r="H78" i="19"/>
  <c r="H77" i="19"/>
  <c r="H76" i="19"/>
  <c r="H75" i="19"/>
  <c r="H73" i="19"/>
  <c r="H72" i="19"/>
  <c r="H70" i="19"/>
  <c r="H69" i="19"/>
  <c r="H68" i="19"/>
  <c r="H67" i="19"/>
  <c r="H64" i="19"/>
  <c r="H63" i="19"/>
  <c r="H62" i="19"/>
  <c r="D62" i="19"/>
  <c r="H61" i="19"/>
  <c r="D61" i="19"/>
  <c r="H60" i="19"/>
  <c r="H59" i="19"/>
  <c r="H57" i="19"/>
  <c r="H56" i="19"/>
  <c r="H53" i="19"/>
  <c r="H52" i="19"/>
  <c r="H55" i="19" s="1"/>
  <c r="H48" i="19"/>
  <c r="H47" i="19"/>
  <c r="H46" i="19"/>
  <c r="H45" i="19"/>
  <c r="H44" i="19"/>
  <c r="H41" i="19"/>
  <c r="H40" i="19"/>
  <c r="H38" i="19"/>
  <c r="H37" i="19"/>
  <c r="H34" i="19"/>
  <c r="H33" i="19"/>
  <c r="H32" i="19"/>
  <c r="H31" i="19"/>
  <c r="H30" i="19"/>
  <c r="D30" i="19"/>
  <c r="H29" i="19"/>
  <c r="D29" i="19"/>
  <c r="H28" i="19"/>
  <c r="H27" i="19"/>
  <c r="H26" i="19"/>
  <c r="H25" i="19"/>
  <c r="H24" i="19"/>
  <c r="H23" i="19"/>
  <c r="H22" i="19"/>
  <c r="H21" i="19"/>
  <c r="H19" i="19"/>
  <c r="H18" i="19"/>
  <c r="H16" i="19"/>
  <c r="H15" i="19"/>
  <c r="H14" i="19"/>
  <c r="H13" i="19"/>
  <c r="H12" i="19"/>
  <c r="H11" i="19"/>
  <c r="H9" i="19"/>
  <c r="H8" i="19"/>
  <c r="H6" i="19"/>
  <c r="H5" i="19"/>
  <c r="I74" i="20" l="1"/>
  <c r="J74" i="20" s="1"/>
  <c r="I58" i="20"/>
  <c r="J58" i="20" s="1"/>
  <c r="I7" i="20"/>
  <c r="J7" i="20" s="1"/>
  <c r="I71" i="20"/>
  <c r="J71" i="20" s="1"/>
  <c r="I42" i="20"/>
  <c r="J42" i="20" s="1"/>
  <c r="I20" i="20"/>
  <c r="J20" i="20" s="1"/>
  <c r="H74" i="19"/>
  <c r="H42" i="19"/>
  <c r="H7" i="19"/>
  <c r="H82" i="19"/>
  <c r="I74" i="19" s="1"/>
  <c r="J74" i="19" s="1"/>
  <c r="H91" i="19"/>
  <c r="I91" i="19" s="1"/>
  <c r="J91" i="19" s="1"/>
  <c r="H65" i="19"/>
  <c r="I58" i="19" s="1"/>
  <c r="H99" i="19"/>
  <c r="H17" i="19"/>
  <c r="H35" i="19"/>
  <c r="H50" i="19"/>
  <c r="H58" i="19"/>
  <c r="H88" i="19"/>
  <c r="H10" i="19"/>
  <c r="H20" i="19"/>
  <c r="I7" i="19" s="1"/>
  <c r="J7" i="19" s="1"/>
  <c r="H71" i="19"/>
  <c r="I71" i="19" s="1"/>
  <c r="J71" i="19" s="1"/>
  <c r="H100" i="18"/>
  <c r="H98" i="18"/>
  <c r="H97" i="18"/>
  <c r="H96" i="18"/>
  <c r="H95" i="18"/>
  <c r="H94" i="18"/>
  <c r="H93" i="18"/>
  <c r="H92" i="18"/>
  <c r="H90" i="18"/>
  <c r="H89" i="18"/>
  <c r="H91" i="18" s="1"/>
  <c r="H87" i="18"/>
  <c r="H86" i="18"/>
  <c r="H85" i="18"/>
  <c r="H84" i="18"/>
  <c r="H81" i="18"/>
  <c r="H80" i="18"/>
  <c r="H79" i="18"/>
  <c r="H78" i="18"/>
  <c r="H77" i="18"/>
  <c r="H76" i="18"/>
  <c r="H75" i="18"/>
  <c r="H73" i="18"/>
  <c r="H74" i="18" s="1"/>
  <c r="H72" i="18"/>
  <c r="H70" i="18"/>
  <c r="H69" i="18"/>
  <c r="H68" i="18"/>
  <c r="H67" i="18"/>
  <c r="H64" i="18"/>
  <c r="H63" i="18"/>
  <c r="H62" i="18"/>
  <c r="D62" i="18"/>
  <c r="H61" i="18"/>
  <c r="D61" i="18"/>
  <c r="H60" i="18"/>
  <c r="H59" i="18"/>
  <c r="H57" i="18"/>
  <c r="H56" i="18"/>
  <c r="H58" i="18" s="1"/>
  <c r="H55" i="18"/>
  <c r="H53" i="18"/>
  <c r="H52" i="18"/>
  <c r="H48" i="18"/>
  <c r="H47" i="18"/>
  <c r="H46" i="18"/>
  <c r="H45" i="18"/>
  <c r="H44" i="18"/>
  <c r="H41" i="18"/>
  <c r="H40" i="18"/>
  <c r="H38" i="18"/>
  <c r="H37" i="18"/>
  <c r="H34" i="18"/>
  <c r="H33" i="18"/>
  <c r="H32" i="18"/>
  <c r="H31" i="18"/>
  <c r="H30" i="18"/>
  <c r="D30" i="18"/>
  <c r="H29" i="18"/>
  <c r="D29" i="18"/>
  <c r="H28" i="18"/>
  <c r="H27" i="18"/>
  <c r="H26" i="18"/>
  <c r="H25" i="18"/>
  <c r="H24" i="18"/>
  <c r="H23" i="18"/>
  <c r="H22" i="18"/>
  <c r="H21" i="18"/>
  <c r="H19" i="18"/>
  <c r="H20" i="18" s="1"/>
  <c r="H18" i="18"/>
  <c r="H16" i="18"/>
  <c r="H15" i="18"/>
  <c r="H14" i="18"/>
  <c r="H13" i="18"/>
  <c r="H12" i="18"/>
  <c r="H11" i="18"/>
  <c r="H9" i="18"/>
  <c r="H10" i="18" s="1"/>
  <c r="H8" i="18"/>
  <c r="H6" i="18"/>
  <c r="H5" i="18"/>
  <c r="H7" i="18" s="1"/>
  <c r="I88" i="19" l="1"/>
  <c r="J88" i="19" s="1"/>
  <c r="J58" i="19"/>
  <c r="I42" i="19"/>
  <c r="J42" i="19" s="1"/>
  <c r="I10" i="19"/>
  <c r="J10" i="19" s="1"/>
  <c r="I20" i="19"/>
  <c r="J20" i="19" s="1"/>
  <c r="H88" i="18"/>
  <c r="I88" i="18" s="1"/>
  <c r="J88" i="18" s="1"/>
  <c r="H42" i="18"/>
  <c r="H99" i="18"/>
  <c r="I91" i="18" s="1"/>
  <c r="J91" i="18" s="1"/>
  <c r="H17" i="18"/>
  <c r="I10" i="18" s="1"/>
  <c r="J10" i="18" s="1"/>
  <c r="H35" i="18"/>
  <c r="I20" i="18" s="1"/>
  <c r="J20" i="18" s="1"/>
  <c r="H50" i="18"/>
  <c r="I42" i="18" s="1"/>
  <c r="J42" i="18" s="1"/>
  <c r="H65" i="18"/>
  <c r="I58" i="18" s="1"/>
  <c r="J58" i="18" s="1"/>
  <c r="H71" i="18"/>
  <c r="I71" i="18" s="1"/>
  <c r="J71" i="18" s="1"/>
  <c r="H82" i="18"/>
  <c r="I74" i="18" s="1"/>
  <c r="J74" i="18" s="1"/>
  <c r="I7" i="18"/>
  <c r="J7" i="18" s="1"/>
  <c r="H100" i="17"/>
  <c r="H98" i="17"/>
  <c r="H97" i="17"/>
  <c r="H96" i="17"/>
  <c r="H95" i="17"/>
  <c r="H94" i="17"/>
  <c r="H93" i="17"/>
  <c r="H92" i="17"/>
  <c r="H90" i="17"/>
  <c r="H89" i="17"/>
  <c r="H87" i="17"/>
  <c r="H86" i="17"/>
  <c r="H85" i="17"/>
  <c r="H84" i="17"/>
  <c r="H88" i="17" s="1"/>
  <c r="H81" i="17"/>
  <c r="H80" i="17"/>
  <c r="H79" i="17"/>
  <c r="H78" i="17"/>
  <c r="H77" i="17"/>
  <c r="H76" i="17"/>
  <c r="H75" i="17"/>
  <c r="H73" i="17"/>
  <c r="H72" i="17"/>
  <c r="H70" i="17"/>
  <c r="H69" i="17"/>
  <c r="H68" i="17"/>
  <c r="H67" i="17"/>
  <c r="H64" i="17"/>
  <c r="H63" i="17"/>
  <c r="H62" i="17"/>
  <c r="D62" i="17"/>
  <c r="H61" i="17"/>
  <c r="D61" i="17"/>
  <c r="H60" i="17"/>
  <c r="H59" i="17"/>
  <c r="H57" i="17"/>
  <c r="H56" i="17"/>
  <c r="H53" i="17"/>
  <c r="H52" i="17"/>
  <c r="H48" i="17"/>
  <c r="H47" i="17"/>
  <c r="H46" i="17"/>
  <c r="H45" i="17"/>
  <c r="H44" i="17"/>
  <c r="H41" i="17"/>
  <c r="H40" i="17"/>
  <c r="H38" i="17"/>
  <c r="H37" i="17"/>
  <c r="H34" i="17"/>
  <c r="H33" i="17"/>
  <c r="H32" i="17"/>
  <c r="H31" i="17"/>
  <c r="H30" i="17"/>
  <c r="D30" i="17"/>
  <c r="H29" i="17"/>
  <c r="D29" i="17"/>
  <c r="H28" i="17"/>
  <c r="H27" i="17"/>
  <c r="H26" i="17"/>
  <c r="H25" i="17"/>
  <c r="H24" i="17"/>
  <c r="H23" i="17"/>
  <c r="H22" i="17"/>
  <c r="H21" i="17"/>
  <c r="H19" i="17"/>
  <c r="H18" i="17"/>
  <c r="H16" i="17"/>
  <c r="H15" i="17"/>
  <c r="H14" i="17"/>
  <c r="H13" i="17"/>
  <c r="H12" i="17"/>
  <c r="H11" i="17"/>
  <c r="H9" i="17"/>
  <c r="H8" i="17"/>
  <c r="H6" i="17"/>
  <c r="H5" i="17"/>
  <c r="H7" i="17" s="1"/>
  <c r="H91" i="17" l="1"/>
  <c r="H71" i="17"/>
  <c r="H74" i="17"/>
  <c r="H55" i="17"/>
  <c r="H58" i="17"/>
  <c r="H82" i="17"/>
  <c r="H42" i="17"/>
  <c r="H99" i="17"/>
  <c r="I91" i="17" s="1"/>
  <c r="J91" i="17" s="1"/>
  <c r="H17" i="17"/>
  <c r="H35" i="17"/>
  <c r="H50" i="17"/>
  <c r="I88" i="17"/>
  <c r="J88" i="17" s="1"/>
  <c r="H10" i="17"/>
  <c r="I10" i="17" s="1"/>
  <c r="J10" i="17" s="1"/>
  <c r="H20" i="17"/>
  <c r="H65" i="17"/>
  <c r="H100" i="16"/>
  <c r="H98" i="16"/>
  <c r="H97" i="16"/>
  <c r="H96" i="16"/>
  <c r="H95" i="16"/>
  <c r="H94" i="16"/>
  <c r="H93" i="16"/>
  <c r="H92" i="16"/>
  <c r="H90" i="16"/>
  <c r="H91" i="16" s="1"/>
  <c r="H89" i="16"/>
  <c r="H87" i="16"/>
  <c r="H86" i="16"/>
  <c r="H85" i="16"/>
  <c r="H84" i="16"/>
  <c r="H81" i="16"/>
  <c r="H80" i="16"/>
  <c r="H79" i="16"/>
  <c r="H78" i="16"/>
  <c r="H77" i="16"/>
  <c r="H76" i="16"/>
  <c r="H75" i="16"/>
  <c r="H73" i="16"/>
  <c r="H72" i="16"/>
  <c r="H74" i="16" s="1"/>
  <c r="H70" i="16"/>
  <c r="H69" i="16"/>
  <c r="H68" i="16"/>
  <c r="H67" i="16"/>
  <c r="H71" i="16" s="1"/>
  <c r="H64" i="16"/>
  <c r="H63" i="16"/>
  <c r="H62" i="16"/>
  <c r="D62" i="16"/>
  <c r="H61" i="16"/>
  <c r="D61" i="16"/>
  <c r="H60" i="16"/>
  <c r="H59" i="16"/>
  <c r="H57" i="16"/>
  <c r="H56" i="16"/>
  <c r="H53" i="16"/>
  <c r="H52" i="16"/>
  <c r="H48" i="16"/>
  <c r="H47" i="16"/>
  <c r="H46" i="16"/>
  <c r="H45" i="16"/>
  <c r="H44" i="16"/>
  <c r="H41" i="16"/>
  <c r="H40" i="16"/>
  <c r="H38" i="16"/>
  <c r="H37" i="16"/>
  <c r="H34" i="16"/>
  <c r="H33" i="16"/>
  <c r="H32" i="16"/>
  <c r="H31" i="16"/>
  <c r="H30" i="16"/>
  <c r="D30" i="16"/>
  <c r="H29" i="16"/>
  <c r="D29" i="16"/>
  <c r="H28" i="16"/>
  <c r="H27" i="16"/>
  <c r="H26" i="16"/>
  <c r="H25" i="16"/>
  <c r="H24" i="16"/>
  <c r="H23" i="16"/>
  <c r="H22" i="16"/>
  <c r="H21" i="16"/>
  <c r="H19" i="16"/>
  <c r="H18" i="16"/>
  <c r="H16" i="16"/>
  <c r="H15" i="16"/>
  <c r="H14" i="16"/>
  <c r="H13" i="16"/>
  <c r="H12" i="16"/>
  <c r="H11" i="16"/>
  <c r="H9" i="16"/>
  <c r="H8" i="16"/>
  <c r="H6" i="16"/>
  <c r="H5" i="16"/>
  <c r="H7" i="16" s="1"/>
  <c r="I71" i="17" l="1"/>
  <c r="J71" i="17" s="1"/>
  <c r="I74" i="17"/>
  <c r="J74" i="17" s="1"/>
  <c r="I58" i="17"/>
  <c r="J58" i="17" s="1"/>
  <c r="I20" i="17"/>
  <c r="J20" i="17" s="1"/>
  <c r="I7" i="17"/>
  <c r="J7" i="17" s="1"/>
  <c r="I42" i="17"/>
  <c r="J42" i="17" s="1"/>
  <c r="H82" i="16"/>
  <c r="I74" i="16" s="1"/>
  <c r="J74" i="16" s="1"/>
  <c r="H55" i="16"/>
  <c r="H88" i="16"/>
  <c r="H58" i="16"/>
  <c r="H42" i="16"/>
  <c r="H17" i="16"/>
  <c r="H35" i="16"/>
  <c r="H50" i="16"/>
  <c r="I88" i="16"/>
  <c r="J88" i="16" s="1"/>
  <c r="H99" i="16"/>
  <c r="I91" i="16" s="1"/>
  <c r="J91" i="16" s="1"/>
  <c r="H10" i="16"/>
  <c r="I10" i="16" s="1"/>
  <c r="J10" i="16" s="1"/>
  <c r="H20" i="16"/>
  <c r="I7" i="16" s="1"/>
  <c r="J7" i="16" s="1"/>
  <c r="H65" i="16"/>
  <c r="I71" i="16"/>
  <c r="J71" i="16" s="1"/>
  <c r="H100" i="15"/>
  <c r="H98" i="15"/>
  <c r="H97" i="15"/>
  <c r="H96" i="15"/>
  <c r="H95" i="15"/>
  <c r="H94" i="15"/>
  <c r="H93" i="15"/>
  <c r="H92" i="15"/>
  <c r="H90" i="15"/>
  <c r="H89" i="15"/>
  <c r="H87" i="15"/>
  <c r="H86" i="15"/>
  <c r="H85" i="15"/>
  <c r="H84" i="15"/>
  <c r="H81" i="15"/>
  <c r="H80" i="15"/>
  <c r="H79" i="15"/>
  <c r="H78" i="15"/>
  <c r="H77" i="15"/>
  <c r="H76" i="15"/>
  <c r="H75" i="15"/>
  <c r="H73" i="15"/>
  <c r="H72" i="15"/>
  <c r="H70" i="15"/>
  <c r="H69" i="15"/>
  <c r="H68" i="15"/>
  <c r="H67" i="15"/>
  <c r="H64" i="15"/>
  <c r="H63" i="15"/>
  <c r="H62" i="15"/>
  <c r="D62" i="15"/>
  <c r="H61" i="15"/>
  <c r="D61" i="15"/>
  <c r="H60" i="15"/>
  <c r="H59" i="15"/>
  <c r="H57" i="15"/>
  <c r="H56" i="15"/>
  <c r="H53" i="15"/>
  <c r="H52" i="15"/>
  <c r="H55" i="15" s="1"/>
  <c r="H48" i="15"/>
  <c r="H47" i="15"/>
  <c r="H46" i="15"/>
  <c r="H45" i="15"/>
  <c r="H44" i="15"/>
  <c r="H41" i="15"/>
  <c r="H40" i="15"/>
  <c r="H38" i="15"/>
  <c r="H37" i="15"/>
  <c r="H34" i="15"/>
  <c r="H33" i="15"/>
  <c r="H32" i="15"/>
  <c r="H31" i="15"/>
  <c r="H30" i="15"/>
  <c r="D30" i="15"/>
  <c r="H29" i="15"/>
  <c r="D29" i="15"/>
  <c r="H28" i="15"/>
  <c r="H27" i="15"/>
  <c r="H26" i="15"/>
  <c r="H25" i="15"/>
  <c r="H24" i="15"/>
  <c r="H23" i="15"/>
  <c r="H22" i="15"/>
  <c r="H21" i="15"/>
  <c r="H19" i="15"/>
  <c r="H18" i="15"/>
  <c r="H16" i="15"/>
  <c r="H15" i="15"/>
  <c r="H14" i="15"/>
  <c r="H13" i="15"/>
  <c r="H12" i="15"/>
  <c r="H11" i="15"/>
  <c r="H9" i="15"/>
  <c r="H8" i="15"/>
  <c r="H6" i="15"/>
  <c r="H5" i="15"/>
  <c r="H7" i="15" s="1"/>
  <c r="I58" i="16" l="1"/>
  <c r="J58" i="16" s="1"/>
  <c r="I42" i="16"/>
  <c r="J42" i="16" s="1"/>
  <c r="I20" i="16"/>
  <c r="J20" i="16" s="1"/>
  <c r="H74" i="15"/>
  <c r="H42" i="15"/>
  <c r="H10" i="15"/>
  <c r="H20" i="15"/>
  <c r="H65" i="15"/>
  <c r="I58" i="15" s="1"/>
  <c r="H88" i="15"/>
  <c r="I88" i="15" s="1"/>
  <c r="J88" i="15" s="1"/>
  <c r="H91" i="15"/>
  <c r="H58" i="15"/>
  <c r="H17" i="15"/>
  <c r="H50" i="15"/>
  <c r="I42" i="15" s="1"/>
  <c r="J42" i="15" s="1"/>
  <c r="H99" i="15"/>
  <c r="I91" i="15" s="1"/>
  <c r="J91" i="15" s="1"/>
  <c r="H35" i="15"/>
  <c r="I10" i="15"/>
  <c r="J10" i="15" s="1"/>
  <c r="H71" i="15"/>
  <c r="H82" i="15"/>
  <c r="H100" i="14"/>
  <c r="H98" i="14"/>
  <c r="H97" i="14"/>
  <c r="H96" i="14"/>
  <c r="H95" i="14"/>
  <c r="H94" i="14"/>
  <c r="H93" i="14"/>
  <c r="H92" i="14"/>
  <c r="H90" i="14"/>
  <c r="H89" i="14"/>
  <c r="H91" i="14" s="1"/>
  <c r="H87" i="14"/>
  <c r="H86" i="14"/>
  <c r="H85" i="14"/>
  <c r="H84" i="14"/>
  <c r="H88" i="14" s="1"/>
  <c r="H81" i="14"/>
  <c r="H80" i="14"/>
  <c r="H79" i="14"/>
  <c r="H78" i="14"/>
  <c r="H77" i="14"/>
  <c r="H76" i="14"/>
  <c r="H75" i="14"/>
  <c r="H73" i="14"/>
  <c r="H72" i="14"/>
  <c r="H70" i="14"/>
  <c r="H69" i="14"/>
  <c r="H68" i="14"/>
  <c r="H67" i="14"/>
  <c r="H71" i="14" s="1"/>
  <c r="H64" i="14"/>
  <c r="H63" i="14"/>
  <c r="H62" i="14"/>
  <c r="D62" i="14"/>
  <c r="H61" i="14"/>
  <c r="D61" i="14"/>
  <c r="H60" i="14"/>
  <c r="H59" i="14"/>
  <c r="H57" i="14"/>
  <c r="H56" i="14"/>
  <c r="H58" i="14" s="1"/>
  <c r="H53" i="14"/>
  <c r="H52" i="14"/>
  <c r="H48" i="14"/>
  <c r="H47" i="14"/>
  <c r="H46" i="14"/>
  <c r="H45" i="14"/>
  <c r="H44" i="14"/>
  <c r="H41" i="14"/>
  <c r="H40" i="14"/>
  <c r="H38" i="14"/>
  <c r="H37" i="14"/>
  <c r="H34" i="14"/>
  <c r="H33" i="14"/>
  <c r="H32" i="14"/>
  <c r="H31" i="14"/>
  <c r="H30" i="14"/>
  <c r="D30" i="14"/>
  <c r="H29" i="14"/>
  <c r="D29" i="14"/>
  <c r="H28" i="14"/>
  <c r="H27" i="14"/>
  <c r="H26" i="14"/>
  <c r="H25" i="14"/>
  <c r="H24" i="14"/>
  <c r="H23" i="14"/>
  <c r="H22" i="14"/>
  <c r="H21" i="14"/>
  <c r="H19" i="14"/>
  <c r="H18" i="14"/>
  <c r="H20" i="14" s="1"/>
  <c r="H16" i="14"/>
  <c r="H15" i="14"/>
  <c r="H14" i="14"/>
  <c r="H13" i="14"/>
  <c r="H12" i="14"/>
  <c r="H11" i="14"/>
  <c r="H9" i="14"/>
  <c r="H8" i="14"/>
  <c r="H10" i="14" s="1"/>
  <c r="H6" i="14"/>
  <c r="H5" i="14"/>
  <c r="I74" i="15" l="1"/>
  <c r="J74" i="15" s="1"/>
  <c r="I71" i="15"/>
  <c r="J71" i="15" s="1"/>
  <c r="I7" i="15"/>
  <c r="J7" i="15" s="1"/>
  <c r="I20" i="15"/>
  <c r="J20" i="15" s="1"/>
  <c r="J58" i="15"/>
  <c r="H74" i="14"/>
  <c r="I71" i="14" s="1"/>
  <c r="J71" i="14" s="1"/>
  <c r="H55" i="14"/>
  <c r="H42" i="14"/>
  <c r="H99" i="14"/>
  <c r="I91" i="14" s="1"/>
  <c r="J91" i="14" s="1"/>
  <c r="H7" i="14"/>
  <c r="I7" i="14" s="1"/>
  <c r="J7" i="14" s="1"/>
  <c r="H17" i="14"/>
  <c r="I10" i="14" s="1"/>
  <c r="J10" i="14" s="1"/>
  <c r="H65" i="14"/>
  <c r="I88" i="14"/>
  <c r="J88" i="14" s="1"/>
  <c r="H35" i="14"/>
  <c r="I20" i="14" s="1"/>
  <c r="J20" i="14" s="1"/>
  <c r="H50" i="14"/>
  <c r="I42" i="14" s="1"/>
  <c r="J42" i="14" s="1"/>
  <c r="H82" i="14"/>
  <c r="I74" i="14"/>
  <c r="J74" i="14" s="1"/>
  <c r="H100" i="13"/>
  <c r="H98" i="13"/>
  <c r="H97" i="13"/>
  <c r="H96" i="13"/>
  <c r="H95" i="13"/>
  <c r="H94" i="13"/>
  <c r="H93" i="13"/>
  <c r="H92" i="13"/>
  <c r="H90" i="13"/>
  <c r="H89" i="13"/>
  <c r="H87" i="13"/>
  <c r="H86" i="13"/>
  <c r="H85" i="13"/>
  <c r="H84" i="13"/>
  <c r="H88" i="13" s="1"/>
  <c r="H81" i="13"/>
  <c r="H80" i="13"/>
  <c r="H79" i="13"/>
  <c r="H78" i="13"/>
  <c r="H77" i="13"/>
  <c r="H76" i="13"/>
  <c r="H75" i="13"/>
  <c r="H73" i="13"/>
  <c r="H72" i="13"/>
  <c r="H70" i="13"/>
  <c r="H69" i="13"/>
  <c r="H68" i="13"/>
  <c r="H67" i="13"/>
  <c r="H64" i="13"/>
  <c r="H63" i="13"/>
  <c r="H62" i="13"/>
  <c r="D62" i="13"/>
  <c r="H61" i="13"/>
  <c r="D61" i="13"/>
  <c r="H60" i="13"/>
  <c r="H59" i="13"/>
  <c r="H57" i="13"/>
  <c r="H56" i="13"/>
  <c r="H53" i="13"/>
  <c r="H52" i="13"/>
  <c r="H55" i="13" s="1"/>
  <c r="H48" i="13"/>
  <c r="H47" i="13"/>
  <c r="H46" i="13"/>
  <c r="H45" i="13"/>
  <c r="H44" i="13"/>
  <c r="H41" i="13"/>
  <c r="H40" i="13"/>
  <c r="H38" i="13"/>
  <c r="H37" i="13"/>
  <c r="H34" i="13"/>
  <c r="H33" i="13"/>
  <c r="H32" i="13"/>
  <c r="H31" i="13"/>
  <c r="H30" i="13"/>
  <c r="D30" i="13"/>
  <c r="H29" i="13"/>
  <c r="D29" i="13"/>
  <c r="H28" i="13"/>
  <c r="H27" i="13"/>
  <c r="H26" i="13"/>
  <c r="H25" i="13"/>
  <c r="H24" i="13"/>
  <c r="H23" i="13"/>
  <c r="H22" i="13"/>
  <c r="H21" i="13"/>
  <c r="H19" i="13"/>
  <c r="H18" i="13"/>
  <c r="H16" i="13"/>
  <c r="H15" i="13"/>
  <c r="H14" i="13"/>
  <c r="H13" i="13"/>
  <c r="H12" i="13"/>
  <c r="H11" i="13"/>
  <c r="H9" i="13"/>
  <c r="H8" i="13"/>
  <c r="H6" i="13"/>
  <c r="H5" i="13"/>
  <c r="I58" i="14" l="1"/>
  <c r="J58" i="14" s="1"/>
  <c r="H91" i="13"/>
  <c r="I88" i="13" s="1"/>
  <c r="J88" i="13" s="1"/>
  <c r="H74" i="13"/>
  <c r="H65" i="13"/>
  <c r="I58" i="13" s="1"/>
  <c r="H42" i="13"/>
  <c r="H99" i="13"/>
  <c r="I91" i="13" s="1"/>
  <c r="J91" i="13" s="1"/>
  <c r="H7" i="13"/>
  <c r="H58" i="13"/>
  <c r="J58" i="13" s="1"/>
  <c r="H17" i="13"/>
  <c r="H35" i="13"/>
  <c r="H50" i="13"/>
  <c r="H82" i="13"/>
  <c r="H10" i="13"/>
  <c r="H20" i="13"/>
  <c r="H71" i="13"/>
  <c r="H100" i="12"/>
  <c r="H98" i="12"/>
  <c r="H97" i="12"/>
  <c r="H96" i="12"/>
  <c r="H95" i="12"/>
  <c r="H94" i="12"/>
  <c r="H93" i="12"/>
  <c r="H92" i="12"/>
  <c r="H90" i="12"/>
  <c r="H89" i="12"/>
  <c r="H91" i="12" s="1"/>
  <c r="H87" i="12"/>
  <c r="H86" i="12"/>
  <c r="H85" i="12"/>
  <c r="H84" i="12"/>
  <c r="H88" i="12" s="1"/>
  <c r="H81" i="12"/>
  <c r="H80" i="12"/>
  <c r="H79" i="12"/>
  <c r="H78" i="12"/>
  <c r="H77" i="12"/>
  <c r="H76" i="12"/>
  <c r="H75" i="12"/>
  <c r="H73" i="12"/>
  <c r="H72" i="12"/>
  <c r="H70" i="12"/>
  <c r="H69" i="12"/>
  <c r="H68" i="12"/>
  <c r="H67" i="12"/>
  <c r="H64" i="12"/>
  <c r="H63" i="12"/>
  <c r="H62" i="12"/>
  <c r="D62" i="12"/>
  <c r="H61" i="12"/>
  <c r="D61" i="12"/>
  <c r="H60" i="12"/>
  <c r="H59" i="12"/>
  <c r="H57" i="12"/>
  <c r="H56" i="12"/>
  <c r="H58" i="12" s="1"/>
  <c r="H53" i="12"/>
  <c r="H52" i="12"/>
  <c r="H55" i="12" s="1"/>
  <c r="H48" i="12"/>
  <c r="H47" i="12"/>
  <c r="H46" i="12"/>
  <c r="H45" i="12"/>
  <c r="H44" i="12"/>
  <c r="H41" i="12"/>
  <c r="H42" i="12" s="1"/>
  <c r="H40" i="12"/>
  <c r="H38" i="12"/>
  <c r="H37" i="12"/>
  <c r="H34" i="12"/>
  <c r="H33" i="12"/>
  <c r="H32" i="12"/>
  <c r="H31" i="12"/>
  <c r="H30" i="12"/>
  <c r="D30" i="12"/>
  <c r="H29" i="12"/>
  <c r="D29" i="12"/>
  <c r="H28" i="12"/>
  <c r="H27" i="12"/>
  <c r="H26" i="12"/>
  <c r="H25" i="12"/>
  <c r="H24" i="12"/>
  <c r="H23" i="12"/>
  <c r="H22" i="12"/>
  <c r="H21" i="12"/>
  <c r="H19" i="12"/>
  <c r="H20" i="12" s="1"/>
  <c r="H18" i="12"/>
  <c r="H16" i="12"/>
  <c r="H15" i="12"/>
  <c r="H14" i="12"/>
  <c r="H13" i="12"/>
  <c r="H12" i="12"/>
  <c r="H11" i="12"/>
  <c r="H9" i="12"/>
  <c r="H10" i="12" s="1"/>
  <c r="H8" i="12"/>
  <c r="H6" i="12"/>
  <c r="H5" i="12"/>
  <c r="H7" i="12" s="1"/>
  <c r="I74" i="13" l="1"/>
  <c r="J74" i="13" s="1"/>
  <c r="I71" i="13"/>
  <c r="J71" i="13" s="1"/>
  <c r="I42" i="13"/>
  <c r="J42" i="13" s="1"/>
  <c r="I10" i="13"/>
  <c r="J10" i="13" s="1"/>
  <c r="I20" i="13"/>
  <c r="J20" i="13" s="1"/>
  <c r="I7" i="13"/>
  <c r="J7" i="13" s="1"/>
  <c r="H74" i="12"/>
  <c r="H35" i="12"/>
  <c r="I20" i="12" s="1"/>
  <c r="J20" i="12" s="1"/>
  <c r="H50" i="12"/>
  <c r="I88" i="12"/>
  <c r="J88" i="12" s="1"/>
  <c r="H99" i="12"/>
  <c r="I91" i="12" s="1"/>
  <c r="J91" i="12" s="1"/>
  <c r="H65" i="12"/>
  <c r="I58" i="12" s="1"/>
  <c r="J58" i="12" s="1"/>
  <c r="I42" i="12"/>
  <c r="J42" i="12" s="1"/>
  <c r="H17" i="12"/>
  <c r="I10" i="12" s="1"/>
  <c r="J10" i="12" s="1"/>
  <c r="H71" i="12"/>
  <c r="I71" i="12" s="1"/>
  <c r="J71" i="12" s="1"/>
  <c r="H82" i="12"/>
  <c r="I7" i="12"/>
  <c r="J7" i="12" s="1"/>
  <c r="H100" i="11"/>
  <c r="H98" i="11"/>
  <c r="H97" i="11"/>
  <c r="H96" i="11"/>
  <c r="H95" i="11"/>
  <c r="H94" i="11"/>
  <c r="H93" i="11"/>
  <c r="H92" i="11"/>
  <c r="H90" i="11"/>
  <c r="H89" i="11"/>
  <c r="H87" i="11"/>
  <c r="H86" i="11"/>
  <c r="H85" i="11"/>
  <c r="H84" i="11"/>
  <c r="H81" i="11"/>
  <c r="H80" i="11"/>
  <c r="H79" i="11"/>
  <c r="H78" i="11"/>
  <c r="H77" i="11"/>
  <c r="H76" i="11"/>
  <c r="H75" i="11"/>
  <c r="H73" i="11"/>
  <c r="H72" i="11"/>
  <c r="H70" i="11"/>
  <c r="H69" i="11"/>
  <c r="H68" i="11"/>
  <c r="H67" i="11"/>
  <c r="H64" i="11"/>
  <c r="H63" i="11"/>
  <c r="H62" i="11"/>
  <c r="D62" i="11"/>
  <c r="H61" i="11"/>
  <c r="D61" i="11"/>
  <c r="H60" i="11"/>
  <c r="H59" i="11"/>
  <c r="H57" i="11"/>
  <c r="H56" i="11"/>
  <c r="H53" i="11"/>
  <c r="H52" i="11"/>
  <c r="H48" i="11"/>
  <c r="H47" i="11"/>
  <c r="H46" i="11"/>
  <c r="H45" i="11"/>
  <c r="H44" i="11"/>
  <c r="H41" i="11"/>
  <c r="H40" i="11"/>
  <c r="H42" i="11" s="1"/>
  <c r="H38" i="11"/>
  <c r="H37" i="11"/>
  <c r="H34" i="11"/>
  <c r="H33" i="11"/>
  <c r="H32" i="11"/>
  <c r="H31" i="11"/>
  <c r="H30" i="11"/>
  <c r="D30" i="11"/>
  <c r="H29" i="11"/>
  <c r="D29" i="11"/>
  <c r="H28" i="11"/>
  <c r="H27" i="11"/>
  <c r="H26" i="11"/>
  <c r="H25" i="11"/>
  <c r="H24" i="11"/>
  <c r="H23" i="11"/>
  <c r="H22" i="11"/>
  <c r="H21" i="11"/>
  <c r="H19" i="11"/>
  <c r="H18" i="11"/>
  <c r="H20" i="11" s="1"/>
  <c r="H16" i="11"/>
  <c r="H15" i="11"/>
  <c r="H14" i="11"/>
  <c r="H13" i="11"/>
  <c r="H12" i="11"/>
  <c r="H11" i="11"/>
  <c r="H9" i="11"/>
  <c r="H8" i="11"/>
  <c r="H10" i="11" s="1"/>
  <c r="H6" i="11"/>
  <c r="H5" i="11"/>
  <c r="I74" i="12" l="1"/>
  <c r="J74" i="12" s="1"/>
  <c r="H71" i="11"/>
  <c r="H74" i="11"/>
  <c r="H7" i="11"/>
  <c r="H55" i="11"/>
  <c r="H58" i="11"/>
  <c r="H91" i="11"/>
  <c r="I20" i="11"/>
  <c r="J20" i="11" s="1"/>
  <c r="H17" i="11"/>
  <c r="H35" i="11"/>
  <c r="H50" i="11"/>
  <c r="I42" i="11" s="1"/>
  <c r="J42" i="11" s="1"/>
  <c r="H65" i="11"/>
  <c r="I58" i="11" s="1"/>
  <c r="J58" i="11" s="1"/>
  <c r="H88" i="11"/>
  <c r="H99" i="11"/>
  <c r="I10" i="11"/>
  <c r="J10" i="11" s="1"/>
  <c r="H82" i="11"/>
  <c r="I7" i="11"/>
  <c r="J7" i="11" s="1"/>
  <c r="H100" i="10"/>
  <c r="H98" i="10"/>
  <c r="H97" i="10"/>
  <c r="H96" i="10"/>
  <c r="H95" i="10"/>
  <c r="H94" i="10"/>
  <c r="H93" i="10"/>
  <c r="H92" i="10"/>
  <c r="H90" i="10"/>
  <c r="H89" i="10"/>
  <c r="H91" i="10" s="1"/>
  <c r="H87" i="10"/>
  <c r="H86" i="10"/>
  <c r="H85" i="10"/>
  <c r="H84" i="10"/>
  <c r="H88" i="10" s="1"/>
  <c r="H81" i="10"/>
  <c r="H80" i="10"/>
  <c r="H79" i="10"/>
  <c r="H78" i="10"/>
  <c r="H77" i="10"/>
  <c r="H76" i="10"/>
  <c r="H75" i="10"/>
  <c r="H73" i="10"/>
  <c r="H72" i="10"/>
  <c r="H70" i="10"/>
  <c r="H69" i="10"/>
  <c r="H68" i="10"/>
  <c r="H67" i="10"/>
  <c r="H64" i="10"/>
  <c r="H63" i="10"/>
  <c r="H62" i="10"/>
  <c r="D62" i="10"/>
  <c r="H61" i="10"/>
  <c r="D61" i="10"/>
  <c r="H60" i="10"/>
  <c r="H59" i="10"/>
  <c r="H57" i="10"/>
  <c r="H56" i="10"/>
  <c r="H53" i="10"/>
  <c r="H52" i="10"/>
  <c r="H48" i="10"/>
  <c r="H47" i="10"/>
  <c r="H46" i="10"/>
  <c r="H45" i="10"/>
  <c r="H44" i="10"/>
  <c r="H41" i="10"/>
  <c r="H40" i="10"/>
  <c r="H38" i="10"/>
  <c r="H37" i="10"/>
  <c r="H34" i="10"/>
  <c r="H33" i="10"/>
  <c r="H32" i="10"/>
  <c r="H31" i="10"/>
  <c r="H30" i="10"/>
  <c r="D30" i="10"/>
  <c r="H29" i="10"/>
  <c r="D29" i="10"/>
  <c r="H28" i="10"/>
  <c r="H27" i="10"/>
  <c r="H26" i="10"/>
  <c r="H25" i="10"/>
  <c r="H24" i="10"/>
  <c r="H23" i="10"/>
  <c r="H22" i="10"/>
  <c r="H21" i="10"/>
  <c r="H19" i="10"/>
  <c r="H18" i="10"/>
  <c r="H20" i="10" s="1"/>
  <c r="H16" i="10"/>
  <c r="H15" i="10"/>
  <c r="H14" i="10"/>
  <c r="H13" i="10"/>
  <c r="H12" i="10"/>
  <c r="H11" i="10"/>
  <c r="H9" i="10"/>
  <c r="H8" i="10"/>
  <c r="H10" i="10" s="1"/>
  <c r="H6" i="10"/>
  <c r="H5" i="10"/>
  <c r="I91" i="11" l="1"/>
  <c r="J91" i="11" s="1"/>
  <c r="I71" i="11"/>
  <c r="J71" i="11" s="1"/>
  <c r="I74" i="11"/>
  <c r="J74" i="11" s="1"/>
  <c r="I88" i="11"/>
  <c r="J88" i="11" s="1"/>
  <c r="H82" i="10"/>
  <c r="I88" i="10"/>
  <c r="J88" i="10" s="1"/>
  <c r="H42" i="10"/>
  <c r="I42" i="10"/>
  <c r="J42" i="10" s="1"/>
  <c r="H7" i="10"/>
  <c r="I7" i="10" s="1"/>
  <c r="J7" i="10" s="1"/>
  <c r="H50" i="10"/>
  <c r="H55" i="10"/>
  <c r="H65" i="10"/>
  <c r="H71" i="10"/>
  <c r="I71" i="10" s="1"/>
  <c r="J71" i="10" s="1"/>
  <c r="H74" i="10"/>
  <c r="H17" i="10"/>
  <c r="I10" i="10" s="1"/>
  <c r="J10" i="10" s="1"/>
  <c r="H35" i="10"/>
  <c r="I20" i="10" s="1"/>
  <c r="J20" i="10" s="1"/>
  <c r="H58" i="10"/>
  <c r="H99" i="10"/>
  <c r="I91" i="10" s="1"/>
  <c r="J91" i="10" s="1"/>
  <c r="H100" i="9"/>
  <c r="H98" i="9"/>
  <c r="H97" i="9"/>
  <c r="H96" i="9"/>
  <c r="H95" i="9"/>
  <c r="H94" i="9"/>
  <c r="H93" i="9"/>
  <c r="H92" i="9"/>
  <c r="H90" i="9"/>
  <c r="H89" i="9"/>
  <c r="H87" i="9"/>
  <c r="H86" i="9"/>
  <c r="H85" i="9"/>
  <c r="H84" i="9"/>
  <c r="H81" i="9"/>
  <c r="H80" i="9"/>
  <c r="H79" i="9"/>
  <c r="H78" i="9"/>
  <c r="H77" i="9"/>
  <c r="H76" i="9"/>
  <c r="H75" i="9"/>
  <c r="H73" i="9"/>
  <c r="H74" i="9" s="1"/>
  <c r="H72" i="9"/>
  <c r="H70" i="9"/>
  <c r="H69" i="9"/>
  <c r="H68" i="9"/>
  <c r="H67" i="9"/>
  <c r="H64" i="9"/>
  <c r="H63" i="9"/>
  <c r="H62" i="9"/>
  <c r="D62" i="9"/>
  <c r="H61" i="9"/>
  <c r="D61" i="9"/>
  <c r="H60" i="9"/>
  <c r="H59" i="9"/>
  <c r="H57" i="9"/>
  <c r="H56" i="9"/>
  <c r="H53" i="9"/>
  <c r="H52" i="9"/>
  <c r="H48" i="9"/>
  <c r="H47" i="9"/>
  <c r="H46" i="9"/>
  <c r="H45" i="9"/>
  <c r="H44" i="9"/>
  <c r="H41" i="9"/>
  <c r="H40" i="9"/>
  <c r="H38" i="9"/>
  <c r="H37" i="9"/>
  <c r="H34" i="9"/>
  <c r="H33" i="9"/>
  <c r="H32" i="9"/>
  <c r="H31" i="9"/>
  <c r="H30" i="9"/>
  <c r="D30" i="9"/>
  <c r="H29" i="9"/>
  <c r="D29" i="9"/>
  <c r="H28" i="9"/>
  <c r="H27" i="9"/>
  <c r="H26" i="9"/>
  <c r="H25" i="9"/>
  <c r="H24" i="9"/>
  <c r="H23" i="9"/>
  <c r="H22" i="9"/>
  <c r="H21" i="9"/>
  <c r="H19" i="9"/>
  <c r="H18" i="9"/>
  <c r="H16" i="9"/>
  <c r="H15" i="9"/>
  <c r="H14" i="9"/>
  <c r="H13" i="9"/>
  <c r="H12" i="9"/>
  <c r="H11" i="9"/>
  <c r="H9" i="9"/>
  <c r="H8" i="9"/>
  <c r="H6" i="9"/>
  <c r="H5" i="9"/>
  <c r="I74" i="10" l="1"/>
  <c r="J74" i="10" s="1"/>
  <c r="I58" i="10"/>
  <c r="J58" i="10" s="1"/>
  <c r="H99" i="9"/>
  <c r="H10" i="9"/>
  <c r="H20" i="9"/>
  <c r="H55" i="9"/>
  <c r="H42" i="9"/>
  <c r="H65" i="9"/>
  <c r="H88" i="9"/>
  <c r="H91" i="9"/>
  <c r="H7" i="9"/>
  <c r="H58" i="9"/>
  <c r="H35" i="9"/>
  <c r="H50" i="9"/>
  <c r="H82" i="9"/>
  <c r="I74" i="9" s="1"/>
  <c r="J74" i="9" s="1"/>
  <c r="H17" i="9"/>
  <c r="I10" i="9" s="1"/>
  <c r="J10" i="9" s="1"/>
  <c r="H71" i="9"/>
  <c r="I71" i="9" s="1"/>
  <c r="J71" i="9" s="1"/>
  <c r="H100" i="8"/>
  <c r="H98" i="8"/>
  <c r="H97" i="8"/>
  <c r="H96" i="8"/>
  <c r="H95" i="8"/>
  <c r="H94" i="8"/>
  <c r="H93" i="8"/>
  <c r="H92" i="8"/>
  <c r="H90" i="8"/>
  <c r="H89" i="8"/>
  <c r="H91" i="8" s="1"/>
  <c r="H87" i="8"/>
  <c r="H86" i="8"/>
  <c r="H85" i="8"/>
  <c r="H84" i="8"/>
  <c r="H88" i="8" s="1"/>
  <c r="H81" i="8"/>
  <c r="H80" i="8"/>
  <c r="H79" i="8"/>
  <c r="H78" i="8"/>
  <c r="H77" i="8"/>
  <c r="H76" i="8"/>
  <c r="H75" i="8"/>
  <c r="H73" i="8"/>
  <c r="H72" i="8"/>
  <c r="H70" i="8"/>
  <c r="H69" i="8"/>
  <c r="H68" i="8"/>
  <c r="H67" i="8"/>
  <c r="H64" i="8"/>
  <c r="H63" i="8"/>
  <c r="H62" i="8"/>
  <c r="D62" i="8"/>
  <c r="H61" i="8"/>
  <c r="D61" i="8"/>
  <c r="H60" i="8"/>
  <c r="H59" i="8"/>
  <c r="H57" i="8"/>
  <c r="H56" i="8"/>
  <c r="H53" i="8"/>
  <c r="H52" i="8"/>
  <c r="H48" i="8"/>
  <c r="H47" i="8"/>
  <c r="H46" i="8"/>
  <c r="H45" i="8"/>
  <c r="H44" i="8"/>
  <c r="H41" i="8"/>
  <c r="H40" i="8"/>
  <c r="H38" i="8"/>
  <c r="H37" i="8"/>
  <c r="H34" i="8"/>
  <c r="H33" i="8"/>
  <c r="H32" i="8"/>
  <c r="H31" i="8"/>
  <c r="H30" i="8"/>
  <c r="D30" i="8"/>
  <c r="H29" i="8"/>
  <c r="D29" i="8"/>
  <c r="H28" i="8"/>
  <c r="H27" i="8"/>
  <c r="H26" i="8"/>
  <c r="H25" i="8"/>
  <c r="H24" i="8"/>
  <c r="H23" i="8"/>
  <c r="H22" i="8"/>
  <c r="H21" i="8"/>
  <c r="H19" i="8"/>
  <c r="H18" i="8"/>
  <c r="H16" i="8"/>
  <c r="H15" i="8"/>
  <c r="H14" i="8"/>
  <c r="H13" i="8"/>
  <c r="H12" i="8"/>
  <c r="H11" i="8"/>
  <c r="H9" i="8"/>
  <c r="H8" i="8"/>
  <c r="H6" i="8"/>
  <c r="H5" i="8"/>
  <c r="I88" i="9" l="1"/>
  <c r="J88" i="9" s="1"/>
  <c r="I91" i="9"/>
  <c r="J91" i="9" s="1"/>
  <c r="I7" i="9"/>
  <c r="J7" i="9" s="1"/>
  <c r="I20" i="9"/>
  <c r="J20" i="9" s="1"/>
  <c r="I58" i="9"/>
  <c r="J58" i="9" s="1"/>
  <c r="I42" i="9"/>
  <c r="J42" i="9" s="1"/>
  <c r="H17" i="8"/>
  <c r="I10" i="8" s="1"/>
  <c r="J10" i="8" s="1"/>
  <c r="H35" i="8"/>
  <c r="I20" i="8" s="1"/>
  <c r="J20" i="8" s="1"/>
  <c r="H55" i="8"/>
  <c r="I58" i="8" s="1"/>
  <c r="H50" i="8"/>
  <c r="H99" i="8"/>
  <c r="I91" i="8" s="1"/>
  <c r="J91" i="8" s="1"/>
  <c r="H7" i="8"/>
  <c r="H10" i="8"/>
  <c r="H20" i="8"/>
  <c r="H42" i="8"/>
  <c r="H65" i="8"/>
  <c r="H74" i="8"/>
  <c r="H58" i="8"/>
  <c r="H82" i="8"/>
  <c r="I88" i="8"/>
  <c r="J88" i="8" s="1"/>
  <c r="H71" i="8"/>
  <c r="I71" i="8" s="1"/>
  <c r="J71" i="8" s="1"/>
  <c r="H100" i="7"/>
  <c r="H98" i="7"/>
  <c r="H97" i="7"/>
  <c r="H96" i="7"/>
  <c r="H95" i="7"/>
  <c r="H94" i="7"/>
  <c r="H93" i="7"/>
  <c r="H92" i="7"/>
  <c r="H90" i="7"/>
  <c r="H89" i="7"/>
  <c r="H87" i="7"/>
  <c r="H86" i="7"/>
  <c r="H85" i="7"/>
  <c r="H84" i="7"/>
  <c r="H81" i="7"/>
  <c r="H80" i="7"/>
  <c r="H79" i="7"/>
  <c r="H78" i="7"/>
  <c r="H77" i="7"/>
  <c r="H76" i="7"/>
  <c r="H75" i="7"/>
  <c r="H73" i="7"/>
  <c r="H72" i="7"/>
  <c r="H70" i="7"/>
  <c r="H69" i="7"/>
  <c r="H68" i="7"/>
  <c r="H67" i="7"/>
  <c r="H64" i="7"/>
  <c r="H63" i="7"/>
  <c r="H62" i="7"/>
  <c r="D62" i="7"/>
  <c r="H61" i="7"/>
  <c r="D61" i="7"/>
  <c r="H60" i="7"/>
  <c r="H59" i="7"/>
  <c r="H57" i="7"/>
  <c r="H56" i="7"/>
  <c r="H53" i="7"/>
  <c r="H52" i="7"/>
  <c r="H48" i="7"/>
  <c r="H47" i="7"/>
  <c r="H46" i="7"/>
  <c r="H45" i="7"/>
  <c r="H44" i="7"/>
  <c r="H41" i="7"/>
  <c r="H40" i="7"/>
  <c r="H38" i="7"/>
  <c r="H37" i="7"/>
  <c r="H34" i="7"/>
  <c r="H33" i="7"/>
  <c r="H32" i="7"/>
  <c r="H31" i="7"/>
  <c r="H30" i="7"/>
  <c r="D30" i="7"/>
  <c r="H29" i="7"/>
  <c r="D29" i="7"/>
  <c r="H28" i="7"/>
  <c r="H27" i="7"/>
  <c r="H26" i="7"/>
  <c r="H25" i="7"/>
  <c r="H24" i="7"/>
  <c r="H23" i="7"/>
  <c r="H22" i="7"/>
  <c r="H21" i="7"/>
  <c r="H19" i="7"/>
  <c r="H18" i="7"/>
  <c r="H16" i="7"/>
  <c r="H15" i="7"/>
  <c r="H14" i="7"/>
  <c r="H13" i="7"/>
  <c r="H12" i="7"/>
  <c r="H11" i="7"/>
  <c r="H9" i="7"/>
  <c r="H8" i="7"/>
  <c r="H6" i="7"/>
  <c r="H5" i="7"/>
  <c r="H7" i="7" s="1"/>
  <c r="I74" i="8" l="1"/>
  <c r="J74" i="8" s="1"/>
  <c r="I42" i="8"/>
  <c r="J42" i="8" s="1"/>
  <c r="J58" i="8"/>
  <c r="I7" i="8"/>
  <c r="J7" i="8" s="1"/>
  <c r="H55" i="7"/>
  <c r="H71" i="7"/>
  <c r="H74" i="7"/>
  <c r="H82" i="7"/>
  <c r="H91" i="7"/>
  <c r="I91" i="7" s="1"/>
  <c r="J91" i="7" s="1"/>
  <c r="H10" i="7"/>
  <c r="H20" i="7"/>
  <c r="H42" i="7"/>
  <c r="H65" i="7"/>
  <c r="I58" i="7" s="1"/>
  <c r="H99" i="7"/>
  <c r="H17" i="7"/>
  <c r="H35" i="7"/>
  <c r="H50" i="7"/>
  <c r="H58" i="7"/>
  <c r="H88" i="7"/>
  <c r="H100" i="6"/>
  <c r="H98" i="6"/>
  <c r="H97" i="6"/>
  <c r="H96" i="6"/>
  <c r="H95" i="6"/>
  <c r="H94" i="6"/>
  <c r="H93" i="6"/>
  <c r="H92" i="6"/>
  <c r="H90" i="6"/>
  <c r="H89" i="6"/>
  <c r="H87" i="6"/>
  <c r="H86" i="6"/>
  <c r="H85" i="6"/>
  <c r="H84" i="6"/>
  <c r="H81" i="6"/>
  <c r="H80" i="6"/>
  <c r="H79" i="6"/>
  <c r="H78" i="6"/>
  <c r="H77" i="6"/>
  <c r="H76" i="6"/>
  <c r="H75" i="6"/>
  <c r="H73" i="6"/>
  <c r="H72" i="6"/>
  <c r="H70" i="6"/>
  <c r="H69" i="6"/>
  <c r="H68" i="6"/>
  <c r="H67" i="6"/>
  <c r="H64" i="6"/>
  <c r="H63" i="6"/>
  <c r="H62" i="6"/>
  <c r="D62" i="6"/>
  <c r="H61" i="6"/>
  <c r="D61" i="6"/>
  <c r="H60" i="6"/>
  <c r="H59" i="6"/>
  <c r="H57" i="6"/>
  <c r="H56" i="6"/>
  <c r="H53" i="6"/>
  <c r="H52" i="6"/>
  <c r="H48" i="6"/>
  <c r="H47" i="6"/>
  <c r="H46" i="6"/>
  <c r="H45" i="6"/>
  <c r="H44" i="6"/>
  <c r="H41" i="6"/>
  <c r="H40" i="6"/>
  <c r="H38" i="6"/>
  <c r="H37" i="6"/>
  <c r="H34" i="6"/>
  <c r="H33" i="6"/>
  <c r="H32" i="6"/>
  <c r="H31" i="6"/>
  <c r="H30" i="6"/>
  <c r="D30" i="6"/>
  <c r="H29" i="6"/>
  <c r="D29" i="6"/>
  <c r="H28" i="6"/>
  <c r="H27" i="6"/>
  <c r="H26" i="6"/>
  <c r="H25" i="6"/>
  <c r="H24" i="6"/>
  <c r="H23" i="6"/>
  <c r="H22" i="6"/>
  <c r="H21" i="6"/>
  <c r="H19" i="6"/>
  <c r="H18" i="6"/>
  <c r="H16" i="6"/>
  <c r="H15" i="6"/>
  <c r="H14" i="6"/>
  <c r="H13" i="6"/>
  <c r="H12" i="6"/>
  <c r="H11" i="6"/>
  <c r="H9" i="6"/>
  <c r="H8" i="6"/>
  <c r="H6" i="6"/>
  <c r="H5" i="6"/>
  <c r="H7" i="6" s="1"/>
  <c r="I88" i="7" l="1"/>
  <c r="J88" i="7" s="1"/>
  <c r="I71" i="7"/>
  <c r="J71" i="7" s="1"/>
  <c r="I7" i="7"/>
  <c r="J7" i="7" s="1"/>
  <c r="I42" i="7"/>
  <c r="J42" i="7" s="1"/>
  <c r="I74" i="7"/>
  <c r="J74" i="7" s="1"/>
  <c r="J58" i="7"/>
  <c r="I20" i="7"/>
  <c r="J20" i="7" s="1"/>
  <c r="I10" i="7"/>
  <c r="J10" i="7" s="1"/>
  <c r="H58" i="6"/>
  <c r="H55" i="6"/>
  <c r="H71" i="6"/>
  <c r="H74" i="6"/>
  <c r="I71" i="6" s="1"/>
  <c r="J71" i="6" s="1"/>
  <c r="H91" i="6"/>
  <c r="H10" i="6"/>
  <c r="H20" i="6"/>
  <c r="H42" i="6"/>
  <c r="I42" i="6" s="1"/>
  <c r="J42" i="6" s="1"/>
  <c r="H17" i="6"/>
  <c r="H35" i="6"/>
  <c r="H50" i="6"/>
  <c r="H65" i="6"/>
  <c r="I58" i="6" s="1"/>
  <c r="H88" i="6"/>
  <c r="I88" i="6" s="1"/>
  <c r="J88" i="6" s="1"/>
  <c r="H99" i="6"/>
  <c r="H82" i="6"/>
  <c r="I7" i="6"/>
  <c r="J7" i="6" s="1"/>
  <c r="H100" i="5"/>
  <c r="H98" i="5"/>
  <c r="H97" i="5"/>
  <c r="H96" i="5"/>
  <c r="H95" i="5"/>
  <c r="H94" i="5"/>
  <c r="H93" i="5"/>
  <c r="H92" i="5"/>
  <c r="H90" i="5"/>
  <c r="H89" i="5"/>
  <c r="H91" i="5" s="1"/>
  <c r="H87" i="5"/>
  <c r="H86" i="5"/>
  <c r="H85" i="5"/>
  <c r="H84" i="5"/>
  <c r="H88" i="5" s="1"/>
  <c r="H81" i="5"/>
  <c r="H80" i="5"/>
  <c r="H79" i="5"/>
  <c r="H78" i="5"/>
  <c r="H77" i="5"/>
  <c r="H76" i="5"/>
  <c r="H75" i="5"/>
  <c r="H73" i="5"/>
  <c r="H74" i="5" s="1"/>
  <c r="H72" i="5"/>
  <c r="H70" i="5"/>
  <c r="H69" i="5"/>
  <c r="H68" i="5"/>
  <c r="H67" i="5"/>
  <c r="H64" i="5"/>
  <c r="H63" i="5"/>
  <c r="H62" i="5"/>
  <c r="D62" i="5"/>
  <c r="H61" i="5"/>
  <c r="D61" i="5"/>
  <c r="H60" i="5"/>
  <c r="H59" i="5"/>
  <c r="H57" i="5"/>
  <c r="H56" i="5"/>
  <c r="H55" i="5"/>
  <c r="H53" i="5"/>
  <c r="H52" i="5"/>
  <c r="H48" i="5"/>
  <c r="H47" i="5"/>
  <c r="H46" i="5"/>
  <c r="H45" i="5"/>
  <c r="H44" i="5"/>
  <c r="H41" i="5"/>
  <c r="H42" i="5" s="1"/>
  <c r="H40" i="5"/>
  <c r="H38" i="5"/>
  <c r="H37" i="5"/>
  <c r="H34" i="5"/>
  <c r="H33" i="5"/>
  <c r="H32" i="5"/>
  <c r="H31" i="5"/>
  <c r="H30" i="5"/>
  <c r="D30" i="5"/>
  <c r="H29" i="5"/>
  <c r="D29" i="5"/>
  <c r="H28" i="5"/>
  <c r="H27" i="5"/>
  <c r="H26" i="5"/>
  <c r="H25" i="5"/>
  <c r="H24" i="5"/>
  <c r="H23" i="5"/>
  <c r="H22" i="5"/>
  <c r="H21" i="5"/>
  <c r="H19" i="5"/>
  <c r="H18" i="5"/>
  <c r="H16" i="5"/>
  <c r="H15" i="5"/>
  <c r="H14" i="5"/>
  <c r="H13" i="5"/>
  <c r="H12" i="5"/>
  <c r="H11" i="5"/>
  <c r="H9" i="5"/>
  <c r="H10" i="5" s="1"/>
  <c r="H8" i="5"/>
  <c r="H6" i="5"/>
  <c r="H5" i="5"/>
  <c r="H7" i="5" s="1"/>
  <c r="I91" i="6" l="1"/>
  <c r="J91" i="6" s="1"/>
  <c r="I74" i="6"/>
  <c r="J74" i="6" s="1"/>
  <c r="I20" i="6"/>
  <c r="J20" i="6" s="1"/>
  <c r="J58" i="6"/>
  <c r="I10" i="6"/>
  <c r="J10" i="6" s="1"/>
  <c r="H20" i="5"/>
  <c r="H65" i="5"/>
  <c r="I58" i="5" s="1"/>
  <c r="J58" i="5" s="1"/>
  <c r="H58" i="5"/>
  <c r="H99" i="5"/>
  <c r="I91" i="5" s="1"/>
  <c r="J91" i="5" s="1"/>
  <c r="H17" i="5"/>
  <c r="I10" i="5" s="1"/>
  <c r="J10" i="5" s="1"/>
  <c r="H35" i="5"/>
  <c r="I20" i="5" s="1"/>
  <c r="J20" i="5" s="1"/>
  <c r="H50" i="5"/>
  <c r="I42" i="5" s="1"/>
  <c r="J42" i="5" s="1"/>
  <c r="I88" i="5"/>
  <c r="J88" i="5" s="1"/>
  <c r="H82" i="5"/>
  <c r="I74" i="5" s="1"/>
  <c r="J74" i="5" s="1"/>
  <c r="H71" i="5"/>
  <c r="I71" i="5" s="1"/>
  <c r="J71" i="5" s="1"/>
  <c r="I7" i="5"/>
  <c r="J7" i="5" s="1"/>
  <c r="H100" i="4"/>
  <c r="H98" i="4"/>
  <c r="H97" i="4"/>
  <c r="H96" i="4"/>
  <c r="H95" i="4"/>
  <c r="H94" i="4"/>
  <c r="H93" i="4"/>
  <c r="H92" i="4"/>
  <c r="H90" i="4"/>
  <c r="H89" i="4"/>
  <c r="H91" i="4" s="1"/>
  <c r="H87" i="4"/>
  <c r="H86" i="4"/>
  <c r="H85" i="4"/>
  <c r="H84" i="4"/>
  <c r="H81" i="4"/>
  <c r="H80" i="4"/>
  <c r="H79" i="4"/>
  <c r="H78" i="4"/>
  <c r="H77" i="4"/>
  <c r="H76" i="4"/>
  <c r="H75" i="4"/>
  <c r="H73" i="4"/>
  <c r="H72" i="4"/>
  <c r="H70" i="4"/>
  <c r="H69" i="4"/>
  <c r="H68" i="4"/>
  <c r="H67" i="4"/>
  <c r="H71" i="4" s="1"/>
  <c r="H64" i="4"/>
  <c r="H63" i="4"/>
  <c r="H62" i="4"/>
  <c r="D62" i="4"/>
  <c r="H61" i="4"/>
  <c r="D61" i="4"/>
  <c r="H60" i="4"/>
  <c r="H59" i="4"/>
  <c r="H57" i="4"/>
  <c r="H56" i="4"/>
  <c r="H53" i="4"/>
  <c r="H52" i="4"/>
  <c r="H48" i="4"/>
  <c r="H47" i="4"/>
  <c r="H46" i="4"/>
  <c r="H45" i="4"/>
  <c r="H44" i="4"/>
  <c r="H41" i="4"/>
  <c r="H40" i="4"/>
  <c r="H38" i="4"/>
  <c r="H37" i="4"/>
  <c r="H34" i="4"/>
  <c r="H33" i="4"/>
  <c r="H32" i="4"/>
  <c r="H31" i="4"/>
  <c r="H30" i="4"/>
  <c r="D30" i="4"/>
  <c r="H29" i="4"/>
  <c r="D29" i="4"/>
  <c r="H28" i="4"/>
  <c r="H27" i="4"/>
  <c r="H26" i="4"/>
  <c r="H25" i="4"/>
  <c r="H24" i="4"/>
  <c r="H23" i="4"/>
  <c r="H22" i="4"/>
  <c r="H21" i="4"/>
  <c r="H19" i="4"/>
  <c r="H18" i="4"/>
  <c r="H16" i="4"/>
  <c r="H15" i="4"/>
  <c r="H14" i="4"/>
  <c r="H13" i="4"/>
  <c r="H12" i="4"/>
  <c r="H11" i="4"/>
  <c r="H9" i="4"/>
  <c r="H8" i="4"/>
  <c r="H10" i="4" s="1"/>
  <c r="H6" i="4"/>
  <c r="H5" i="4"/>
  <c r="H7" i="4" s="1"/>
  <c r="H88" i="4" l="1"/>
  <c r="H74" i="4"/>
  <c r="H20" i="4"/>
  <c r="H55" i="4"/>
  <c r="H99" i="4"/>
  <c r="I91" i="4" s="1"/>
  <c r="J91" i="4" s="1"/>
  <c r="H42" i="4"/>
  <c r="I71" i="4"/>
  <c r="J71" i="4" s="1"/>
  <c r="H82" i="4"/>
  <c r="I74" i="4" s="1"/>
  <c r="J74" i="4" s="1"/>
  <c r="I88" i="4"/>
  <c r="J88" i="4" s="1"/>
  <c r="I10" i="4"/>
  <c r="J10" i="4" s="1"/>
  <c r="H17" i="4"/>
  <c r="H35" i="4"/>
  <c r="I20" i="4" s="1"/>
  <c r="J20" i="4" s="1"/>
  <c r="H50" i="4"/>
  <c r="I42" i="4" s="1"/>
  <c r="J42" i="4" s="1"/>
  <c r="H58" i="4"/>
  <c r="H65" i="4"/>
  <c r="I7" i="4"/>
  <c r="J7" i="4" s="1"/>
  <c r="H100" i="3"/>
  <c r="H98" i="3"/>
  <c r="H97" i="3"/>
  <c r="H96" i="3"/>
  <c r="H95" i="3"/>
  <c r="H94" i="3"/>
  <c r="H93" i="3"/>
  <c r="H92" i="3"/>
  <c r="H90" i="3"/>
  <c r="H89" i="3"/>
  <c r="H91" i="3" s="1"/>
  <c r="H87" i="3"/>
  <c r="H86" i="3"/>
  <c r="H85" i="3"/>
  <c r="H84" i="3"/>
  <c r="H88" i="3" s="1"/>
  <c r="H81" i="3"/>
  <c r="H80" i="3"/>
  <c r="H79" i="3"/>
  <c r="H78" i="3"/>
  <c r="H77" i="3"/>
  <c r="H76" i="3"/>
  <c r="H75" i="3"/>
  <c r="H73" i="3"/>
  <c r="H72" i="3"/>
  <c r="H70" i="3"/>
  <c r="H69" i="3"/>
  <c r="H68" i="3"/>
  <c r="H67" i="3"/>
  <c r="H64" i="3"/>
  <c r="H63" i="3"/>
  <c r="H62" i="3"/>
  <c r="D62" i="3"/>
  <c r="H61" i="3"/>
  <c r="D61" i="3"/>
  <c r="H60" i="3"/>
  <c r="H59" i="3"/>
  <c r="H57" i="3"/>
  <c r="H56" i="3"/>
  <c r="H58" i="3" s="1"/>
  <c r="H53" i="3"/>
  <c r="H52" i="3"/>
  <c r="H55" i="3" s="1"/>
  <c r="H48" i="3"/>
  <c r="H47" i="3"/>
  <c r="H46" i="3"/>
  <c r="H45" i="3"/>
  <c r="H44" i="3"/>
  <c r="H41" i="3"/>
  <c r="H42" i="3" s="1"/>
  <c r="H40" i="3"/>
  <c r="H38" i="3"/>
  <c r="H37" i="3"/>
  <c r="H34" i="3"/>
  <c r="H33" i="3"/>
  <c r="H32" i="3"/>
  <c r="H31" i="3"/>
  <c r="H30" i="3"/>
  <c r="D30" i="3"/>
  <c r="H29" i="3"/>
  <c r="D29" i="3"/>
  <c r="H28" i="3"/>
  <c r="H27" i="3"/>
  <c r="H26" i="3"/>
  <c r="H25" i="3"/>
  <c r="H24" i="3"/>
  <c r="H23" i="3"/>
  <c r="H22" i="3"/>
  <c r="H21" i="3"/>
  <c r="H19" i="3"/>
  <c r="H18" i="3"/>
  <c r="H16" i="3"/>
  <c r="H15" i="3"/>
  <c r="H14" i="3"/>
  <c r="H13" i="3"/>
  <c r="H12" i="3"/>
  <c r="H11" i="3"/>
  <c r="H9" i="3"/>
  <c r="H8" i="3"/>
  <c r="H6" i="3"/>
  <c r="H5" i="3"/>
  <c r="H7" i="3" s="1"/>
  <c r="I58" i="4" l="1"/>
  <c r="J58" i="4" s="1"/>
  <c r="H74" i="3"/>
  <c r="H20" i="3"/>
  <c r="H65" i="3"/>
  <c r="I58" i="3" s="1"/>
  <c r="J58" i="3" s="1"/>
  <c r="H99" i="3"/>
  <c r="I91" i="3" s="1"/>
  <c r="J91" i="3" s="1"/>
  <c r="H35" i="3"/>
  <c r="I88" i="3"/>
  <c r="J88" i="3" s="1"/>
  <c r="H82" i="3"/>
  <c r="I74" i="3" s="1"/>
  <c r="J74" i="3" s="1"/>
  <c r="H17" i="3"/>
  <c r="H50" i="3"/>
  <c r="I42" i="3" s="1"/>
  <c r="J42" i="3" s="1"/>
  <c r="H10" i="3"/>
  <c r="I7" i="3" s="1"/>
  <c r="J7" i="3" s="1"/>
  <c r="H71" i="3"/>
  <c r="I71" i="3" s="1"/>
  <c r="J71" i="3" s="1"/>
  <c r="H100" i="2"/>
  <c r="H98" i="2"/>
  <c r="H97" i="2"/>
  <c r="H96" i="2"/>
  <c r="H95" i="2"/>
  <c r="H94" i="2"/>
  <c r="H93" i="2"/>
  <c r="H92" i="2"/>
  <c r="H90" i="2"/>
  <c r="H89" i="2"/>
  <c r="H87" i="2"/>
  <c r="H86" i="2"/>
  <c r="H85" i="2"/>
  <c r="H84" i="2"/>
  <c r="H81" i="2"/>
  <c r="H80" i="2"/>
  <c r="H79" i="2"/>
  <c r="H78" i="2"/>
  <c r="H77" i="2"/>
  <c r="H76" i="2"/>
  <c r="H75" i="2"/>
  <c r="H73" i="2"/>
  <c r="H72" i="2"/>
  <c r="H70" i="2"/>
  <c r="H69" i="2"/>
  <c r="H68" i="2"/>
  <c r="H67" i="2"/>
  <c r="H64" i="2"/>
  <c r="H63" i="2"/>
  <c r="H62" i="2"/>
  <c r="D62" i="2"/>
  <c r="H61" i="2"/>
  <c r="D61" i="2"/>
  <c r="H60" i="2"/>
  <c r="H59" i="2"/>
  <c r="H57" i="2"/>
  <c r="H56" i="2"/>
  <c r="H53" i="2"/>
  <c r="H52" i="2"/>
  <c r="H55" i="2" s="1"/>
  <c r="H48" i="2"/>
  <c r="H47" i="2"/>
  <c r="H46" i="2"/>
  <c r="H45" i="2"/>
  <c r="H44" i="2"/>
  <c r="H41" i="2"/>
  <c r="H40" i="2"/>
  <c r="H38" i="2"/>
  <c r="H37" i="2"/>
  <c r="H34" i="2"/>
  <c r="H33" i="2"/>
  <c r="H32" i="2"/>
  <c r="H31" i="2"/>
  <c r="H30" i="2"/>
  <c r="D30" i="2"/>
  <c r="H29" i="2"/>
  <c r="D29" i="2"/>
  <c r="H28" i="2"/>
  <c r="H27" i="2"/>
  <c r="H26" i="2"/>
  <c r="H25" i="2"/>
  <c r="H24" i="2"/>
  <c r="H23" i="2"/>
  <c r="H22" i="2"/>
  <c r="H21" i="2"/>
  <c r="H19" i="2"/>
  <c r="H18" i="2"/>
  <c r="H16" i="2"/>
  <c r="H15" i="2"/>
  <c r="H14" i="2"/>
  <c r="H13" i="2"/>
  <c r="H12" i="2"/>
  <c r="H11" i="2"/>
  <c r="H9" i="2"/>
  <c r="H8" i="2"/>
  <c r="H6" i="2"/>
  <c r="H5" i="2"/>
  <c r="I20" i="3" l="1"/>
  <c r="J20" i="3" s="1"/>
  <c r="I10" i="3"/>
  <c r="J10" i="3" s="1"/>
  <c r="H17" i="2"/>
  <c r="H35" i="2"/>
  <c r="H50" i="2"/>
  <c r="H99" i="2"/>
  <c r="H65" i="2"/>
  <c r="I58" i="2" s="1"/>
  <c r="H74" i="2"/>
  <c r="H88" i="2"/>
  <c r="H91" i="2"/>
  <c r="I91" i="2" s="1"/>
  <c r="J91" i="2" s="1"/>
  <c r="H58" i="2"/>
  <c r="H7" i="2"/>
  <c r="H10" i="2"/>
  <c r="I10" i="2" s="1"/>
  <c r="J10" i="2" s="1"/>
  <c r="H20" i="2"/>
  <c r="H42" i="2"/>
  <c r="H82" i="2"/>
  <c r="I74" i="2" s="1"/>
  <c r="J74" i="2" s="1"/>
  <c r="H71" i="2"/>
  <c r="I71" i="2" s="1"/>
  <c r="J71" i="2" s="1"/>
  <c r="I42" i="2"/>
  <c r="J42" i="2" s="1"/>
  <c r="H100" i="1"/>
  <c r="H98" i="1"/>
  <c r="H97" i="1"/>
  <c r="H96" i="1"/>
  <c r="H95" i="1"/>
  <c r="H94" i="1"/>
  <c r="H93" i="1"/>
  <c r="H92" i="1"/>
  <c r="H90" i="1"/>
  <c r="H89" i="1"/>
  <c r="H87" i="1"/>
  <c r="H86" i="1"/>
  <c r="H85" i="1"/>
  <c r="H84" i="1"/>
  <c r="H81" i="1"/>
  <c r="H80" i="1"/>
  <c r="H79" i="1"/>
  <c r="H78" i="1"/>
  <c r="H77" i="1"/>
  <c r="H76" i="1"/>
  <c r="H75" i="1"/>
  <c r="H73" i="1"/>
  <c r="H72" i="1"/>
  <c r="H74" i="1" s="1"/>
  <c r="H70" i="1"/>
  <c r="H69" i="1"/>
  <c r="H68" i="1"/>
  <c r="H67" i="1"/>
  <c r="H64" i="1"/>
  <c r="H63" i="1"/>
  <c r="H62" i="1"/>
  <c r="D62" i="1"/>
  <c r="H61" i="1"/>
  <c r="D61" i="1"/>
  <c r="H60" i="1"/>
  <c r="H59" i="1"/>
  <c r="H57" i="1"/>
  <c r="H56" i="1"/>
  <c r="H58" i="1" s="1"/>
  <c r="H53" i="1"/>
  <c r="H52" i="1"/>
  <c r="H48" i="1"/>
  <c r="H47" i="1"/>
  <c r="H46" i="1"/>
  <c r="H45" i="1"/>
  <c r="H44" i="1"/>
  <c r="H41" i="1"/>
  <c r="H40" i="1"/>
  <c r="H38" i="1"/>
  <c r="H37" i="1"/>
  <c r="H34" i="1"/>
  <c r="H33" i="1"/>
  <c r="H32" i="1"/>
  <c r="H31" i="1"/>
  <c r="H30" i="1"/>
  <c r="D30" i="1"/>
  <c r="H29" i="1"/>
  <c r="D29" i="1"/>
  <c r="H28" i="1"/>
  <c r="H27" i="1"/>
  <c r="H26" i="1"/>
  <c r="H25" i="1"/>
  <c r="H24" i="1"/>
  <c r="H23" i="1"/>
  <c r="H22" i="1"/>
  <c r="H21" i="1"/>
  <c r="H19" i="1"/>
  <c r="H18" i="1"/>
  <c r="H16" i="1"/>
  <c r="H15" i="1"/>
  <c r="H14" i="1"/>
  <c r="H13" i="1"/>
  <c r="H12" i="1"/>
  <c r="H11" i="1"/>
  <c r="H9" i="1"/>
  <c r="H8" i="1"/>
  <c r="H6" i="1"/>
  <c r="H5" i="1"/>
  <c r="H7" i="1" s="1"/>
  <c r="I88" i="2" l="1"/>
  <c r="J88" i="2" s="1"/>
  <c r="I20" i="2"/>
  <c r="J20" i="2" s="1"/>
  <c r="J58" i="2"/>
  <c r="I7" i="2"/>
  <c r="J7" i="2" s="1"/>
  <c r="H91" i="1"/>
  <c r="H71" i="1"/>
  <c r="H55" i="1"/>
  <c r="I58" i="1" s="1"/>
  <c r="J58" i="1" s="1"/>
  <c r="H88" i="1"/>
  <c r="H35" i="1"/>
  <c r="H65" i="1"/>
  <c r="H17" i="1"/>
  <c r="H50" i="1"/>
  <c r="H99" i="1"/>
  <c r="I91" i="1" s="1"/>
  <c r="J91" i="1" s="1"/>
  <c r="H10" i="1"/>
  <c r="H20" i="1"/>
  <c r="H42" i="1"/>
  <c r="I42" i="1" s="1"/>
  <c r="J42" i="1" s="1"/>
  <c r="H82" i="1"/>
  <c r="I74" i="1" s="1"/>
  <c r="J74" i="1" s="1"/>
  <c r="I71" i="1"/>
  <c r="J71" i="1" s="1"/>
  <c r="I88" i="1" l="1"/>
  <c r="J88" i="1" s="1"/>
  <c r="I10" i="1"/>
  <c r="J10" i="1" s="1"/>
  <c r="I20" i="1"/>
  <c r="J20" i="1" s="1"/>
  <c r="I7" i="1"/>
  <c r="J7" i="1" s="1"/>
</calcChain>
</file>

<file path=xl/sharedStrings.xml><?xml version="1.0" encoding="utf-8"?>
<sst xmlns="http://schemas.openxmlformats.org/spreadsheetml/2006/main" count="7389" uniqueCount="144">
  <si>
    <t>за январь 2026</t>
  </si>
  <si>
    <t>Наименование</t>
  </si>
  <si>
    <t>Тип ПУ</t>
  </si>
  <si>
    <t>№ ПУ</t>
  </si>
  <si>
    <t>Тр-р</t>
  </si>
  <si>
    <t>Коэф.</t>
  </si>
  <si>
    <t>Показания</t>
  </si>
  <si>
    <t>Расход</t>
  </si>
  <si>
    <t>Небаланс</t>
  </si>
  <si>
    <t>31.01.2026</t>
  </si>
  <si>
    <t>в кВтч</t>
  </si>
  <si>
    <t>в %</t>
  </si>
  <si>
    <t>ПС-110/35/6кВ</t>
  </si>
  <si>
    <t>Ввод 110кВ от ПС-110/10кВ "Эмба"</t>
  </si>
  <si>
    <t>ARTM2-00 PBR.R</t>
  </si>
  <si>
    <t>600/5</t>
  </si>
  <si>
    <t>Ввод 110кВ от ПС-110/35/6кВ "Кенкияк"</t>
  </si>
  <si>
    <t>Итого по вводам 110 кВ</t>
  </si>
  <si>
    <t xml:space="preserve">Ввод №1 35 кВ </t>
  </si>
  <si>
    <t xml:space="preserve">Ввод №2 35 кВ </t>
  </si>
  <si>
    <t>Итого по вводам 35 кВ</t>
  </si>
  <si>
    <t xml:space="preserve">ВЛ 35 кВ Север </t>
  </si>
  <si>
    <t>300/5</t>
  </si>
  <si>
    <t>ВЛ 35 кВ Южная</t>
  </si>
  <si>
    <t xml:space="preserve">ВЛ 35 кВ Кожасай  №1 </t>
  </si>
  <si>
    <t xml:space="preserve">ВЛ 35 кВ Кожасай  №2 </t>
  </si>
  <si>
    <t>ВЛ 35 кВ УКПГ  № 1</t>
  </si>
  <si>
    <t>ВЛ 35 кВ УКПГ  № 2</t>
  </si>
  <si>
    <t xml:space="preserve"> </t>
  </si>
  <si>
    <t>Итого по отходящим линиям 35 кВ</t>
  </si>
  <si>
    <t>Ввод №1 6кВ яч. 109 Т-1</t>
  </si>
  <si>
    <t>1500/5</t>
  </si>
  <si>
    <t>Ввод №2 6кВ яч. 204 Т-2</t>
  </si>
  <si>
    <t>Итого по вводам 6 кВ</t>
  </si>
  <si>
    <t>Яч. 111 БКНС ввод 1 6 кВ</t>
  </si>
  <si>
    <t>400/5</t>
  </si>
  <si>
    <t>Яч. 213 БКНС ввод 2 6 кВ</t>
  </si>
  <si>
    <t>Яч.107 ввод  ТСН1 6 кВ</t>
  </si>
  <si>
    <t>50/5</t>
  </si>
  <si>
    <t>Яч. 206 ввод ТСН2 6 кВ</t>
  </si>
  <si>
    <t>Яч.114 КТПГ №1 ввод 1 6 кВ</t>
  </si>
  <si>
    <t>Яч. 214 КТПГ №2 ввод 1 6 кВ</t>
  </si>
  <si>
    <t>Яч. 115 УДГР№1   6 кВ</t>
  </si>
  <si>
    <t>Яч. 215 УДГР№2  6 кВ</t>
  </si>
  <si>
    <t xml:space="preserve">Яч.113 "Каспий нефть-1" </t>
  </si>
  <si>
    <t xml:space="preserve">Яч.212 "Каспий нефть-2" </t>
  </si>
  <si>
    <t>Яч.104 "РП-1-1"</t>
  </si>
  <si>
    <t>Яч.211 "РП-1-2"</t>
  </si>
  <si>
    <t>Яч.207 "СУПС"</t>
  </si>
  <si>
    <t>Яч.210 "ГПЭС"</t>
  </si>
  <si>
    <t>Итого по отходящим линиям 6 кВ</t>
  </si>
  <si>
    <t xml:space="preserve">             ПС 35/6 "Северная"</t>
  </si>
  <si>
    <t>ПС Север ВВ35 Сагабулак актив</t>
  </si>
  <si>
    <t xml:space="preserve"> ARTM2-00 PBR.R</t>
  </si>
  <si>
    <t>100/5</t>
  </si>
  <si>
    <t>ПС Север ВВ35 реактив</t>
  </si>
  <si>
    <t>ПС Север ввода 6кВ</t>
  </si>
  <si>
    <t>яч. 2   Ввод 6 кВ № 1</t>
  </si>
  <si>
    <t>яч.15  Ввод 6 кВ № 2</t>
  </si>
  <si>
    <t>Итого по Вводам 6кВ.</t>
  </si>
  <si>
    <t>Отхдящие линии 6 кВ</t>
  </si>
  <si>
    <t>яч.№6 II-водоподьём</t>
  </si>
  <si>
    <t>яч. №7 АГЗУ</t>
  </si>
  <si>
    <t>яч. №10 2-водоподъём</t>
  </si>
  <si>
    <t>200/5</t>
  </si>
  <si>
    <t>яч. №11 Тех.вода</t>
  </si>
  <si>
    <t>яч. №13  I-водоподьём</t>
  </si>
  <si>
    <t xml:space="preserve"> ТСН 2 по 6 кВ</t>
  </si>
  <si>
    <t>СА4-5001Д</t>
  </si>
  <si>
    <t>Итого по отходящим. линиям 6 кВ</t>
  </si>
  <si>
    <t xml:space="preserve">                                                                       </t>
  </si>
  <si>
    <t>ПС 35/6 кВ "ЮЖНАЯ"</t>
  </si>
  <si>
    <t>Юг. Ввод 35 кВ 1Т</t>
  </si>
  <si>
    <t>Юг. Ввод 35 кВ 2Т</t>
  </si>
  <si>
    <t>Итого:по Вводам 35 кВ приём</t>
  </si>
  <si>
    <t>яч. №2 Ввод 6кВ № 1</t>
  </si>
  <si>
    <t>1000/5</t>
  </si>
  <si>
    <t>яч. №13 Ввод 6кВ № 2</t>
  </si>
  <si>
    <t>Итого по Вводам 6 кВ.</t>
  </si>
  <si>
    <t>яч. №4 "Пл.№ 22" 6 кВ</t>
  </si>
  <si>
    <t>яч. №5 "АГЗУ"  6 кВ .</t>
  </si>
  <si>
    <t>яч .№6 "Казтрансойл"  6 кВ</t>
  </si>
  <si>
    <t>яч. №11 "Казтрансойл"  6 кВ</t>
  </si>
  <si>
    <t>яч. №9 "СУПС"  6 кВ</t>
  </si>
  <si>
    <t>яч. №10 ТБО 6 кВ .</t>
  </si>
  <si>
    <t xml:space="preserve">                                                                                            П/С  35/6 "Кожасай"</t>
  </si>
  <si>
    <t>Ввод 35 кВ Т-1</t>
  </si>
  <si>
    <t>Ввод 35 кВ Т-2</t>
  </si>
  <si>
    <t xml:space="preserve">ТСН-1 </t>
  </si>
  <si>
    <t>ARTMX2-03 PBR.R</t>
  </si>
  <si>
    <t>ТСН-2</t>
  </si>
  <si>
    <t xml:space="preserve">Итого получено по вводам 35 кВ </t>
  </si>
  <si>
    <t>Ввод -1 6 кВ ячейка №4</t>
  </si>
  <si>
    <t>Ввод -2 6 кВ ячейка №13</t>
  </si>
  <si>
    <t xml:space="preserve"> Итого по вводам  6 кВ </t>
  </si>
  <si>
    <t xml:space="preserve">Яч № 2 В/городок </t>
  </si>
  <si>
    <t xml:space="preserve">Яч №11 Месторождение </t>
  </si>
  <si>
    <t>Яч №16 ЭХЗ</t>
  </si>
  <si>
    <t xml:space="preserve">Яч №7 РП-6     Нас.перекачки-1 </t>
  </si>
  <si>
    <t xml:space="preserve">Яч №15 РП-6   Нас.перекачки-2 </t>
  </si>
  <si>
    <t>Яч №3 ККУ 1</t>
  </si>
  <si>
    <t>Яч №12 ККУ 2</t>
  </si>
  <si>
    <t xml:space="preserve">                                      Итого по яч 6кВ.</t>
  </si>
  <si>
    <t xml:space="preserve">                                             П/С  35/6 "БКНС Кожасай"</t>
  </si>
  <si>
    <t>СА4У-И672М</t>
  </si>
  <si>
    <t>яч. № 13   Ввод 6 кВ №1</t>
  </si>
  <si>
    <t>яч. № 4     Ввод 6 кВ №2</t>
  </si>
  <si>
    <t>ИТОГО:</t>
  </si>
  <si>
    <t>яч. № 2  АД 3</t>
  </si>
  <si>
    <t>яч. № 1  АД 1</t>
  </si>
  <si>
    <t>яч. № 14  КТПН 2</t>
  </si>
  <si>
    <t>яч. № 8  К002</t>
  </si>
  <si>
    <t>яч. № 7  АД 2</t>
  </si>
  <si>
    <t>яч. № 3  КТПН 1</t>
  </si>
  <si>
    <t>яч. № 11 К001</t>
  </si>
  <si>
    <t>Ввод-35кВ "Южный Жанажол"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</si>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</sst>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9">
    <xf numFmtId="0" fontId="0" fillId="0" borderId="0" xfId="0"/>
    <xf numFmtId="4" fontId="2" fillId="2" borderId="4" xfId="0" applyNumberFormat="1" applyFont="1" applyFill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165" fontId="2" fillId="2" borderId="7" xfId="0" applyNumberFormat="1" applyFont="1" applyFill="1" applyBorder="1" applyAlignment="1">
      <alignment horizontal="center"/>
    </xf>
    <xf numFmtId="2" fontId="2" fillId="2" borderId="8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6" fontId="2" fillId="2" borderId="11" xfId="0" applyNumberFormat="1" applyFont="1" applyFill="1" applyBorder="1" applyAlignment="1">
      <alignment horizontal="right"/>
    </xf>
    <xf numFmtId="4" fontId="2" fillId="2" borderId="10" xfId="0" applyNumberFormat="1" applyFont="1" applyFill="1" applyBorder="1" applyAlignment="1">
      <alignment horizontal="center"/>
    </xf>
    <xf numFmtId="165" fontId="2" fillId="2" borderId="12" xfId="0" applyNumberFormat="1" applyFont="1" applyFill="1" applyBorder="1" applyAlignment="1">
      <alignment horizontal="center"/>
    </xf>
    <xf numFmtId="2" fontId="2" fillId="2" borderId="13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6" fontId="2" fillId="2" borderId="10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right"/>
    </xf>
    <xf numFmtId="165" fontId="2" fillId="2" borderId="15" xfId="0" applyNumberFormat="1" applyFont="1" applyFill="1" applyBorder="1" applyAlignment="1">
      <alignment horizontal="center"/>
    </xf>
    <xf numFmtId="2" fontId="2" fillId="2" borderId="16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/>
    <xf numFmtId="165" fontId="1" fillId="2" borderId="15" xfId="0" applyNumberFormat="1" applyFont="1" applyFill="1" applyBorder="1" applyAlignment="1">
      <alignment horizontal="center"/>
    </xf>
    <xf numFmtId="10" fontId="1" fillId="2" borderId="16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4" xfId="0" applyFont="1" applyFill="1" applyBorder="1"/>
    <xf numFmtId="2" fontId="2" fillId="2" borderId="1" xfId="0" applyNumberFormat="1" applyFont="1" applyFill="1" applyBorder="1" applyAlignment="1">
      <alignment horizontal="center"/>
    </xf>
    <xf numFmtId="166" fontId="2" fillId="0" borderId="1" xfId="0" applyNumberFormat="1" applyFont="1" applyFill="1" applyBorder="1" applyAlignment="1">
      <alignment horizontal="center"/>
    </xf>
    <xf numFmtId="166" fontId="2" fillId="2" borderId="17" xfId="0" applyNumberFormat="1" applyFont="1" applyFill="1" applyBorder="1" applyAlignment="1">
      <alignment horizontal="center"/>
    </xf>
    <xf numFmtId="166" fontId="2" fillId="2" borderId="18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4" fontId="2" fillId="2" borderId="18" xfId="0" applyNumberFormat="1" applyFont="1" applyFill="1" applyBorder="1" applyAlignment="1">
      <alignment horizontal="right"/>
    </xf>
    <xf numFmtId="165" fontId="2" fillId="2" borderId="19" xfId="0" applyNumberFormat="1" applyFont="1" applyFill="1" applyBorder="1" applyAlignment="1">
      <alignment horizontal="center"/>
    </xf>
    <xf numFmtId="2" fontId="2" fillId="2" borderId="20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right"/>
    </xf>
    <xf numFmtId="165" fontId="2" fillId="2" borderId="21" xfId="0" applyNumberFormat="1" applyFont="1" applyFill="1" applyBorder="1" applyAlignment="1">
      <alignment horizontal="center"/>
    </xf>
    <xf numFmtId="165" fontId="1" fillId="2" borderId="21" xfId="0" applyNumberFormat="1" applyFont="1" applyFill="1" applyBorder="1" applyAlignment="1">
      <alignment horizontal="center"/>
    </xf>
    <xf numFmtId="165" fontId="2" fillId="2" borderId="22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4" fontId="2" fillId="2" borderId="23" xfId="0" applyNumberFormat="1" applyFont="1" applyFill="1" applyBorder="1" applyAlignment="1">
      <alignment horizontal="right"/>
    </xf>
    <xf numFmtId="165" fontId="2" fillId="2" borderId="12" xfId="0" applyNumberFormat="1" applyFont="1" applyFill="1" applyBorder="1" applyAlignment="1">
      <alignment horizontal="right"/>
    </xf>
    <xf numFmtId="165" fontId="2" fillId="2" borderId="15" xfId="0" applyNumberFormat="1" applyFont="1" applyFill="1" applyBorder="1" applyAlignment="1">
      <alignment horizontal="right"/>
    </xf>
    <xf numFmtId="0" fontId="1" fillId="2" borderId="14" xfId="0" applyFon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165" fontId="2" fillId="2" borderId="15" xfId="0" applyNumberFormat="1" applyFont="1" applyFill="1" applyBorder="1"/>
    <xf numFmtId="4" fontId="1" fillId="2" borderId="1" xfId="0" applyNumberFormat="1" applyFont="1" applyFill="1" applyBorder="1" applyAlignment="1">
      <alignment horizontal="right"/>
    </xf>
    <xf numFmtId="166" fontId="2" fillId="2" borderId="1" xfId="0" applyNumberFormat="1" applyFont="1" applyFill="1" applyBorder="1"/>
    <xf numFmtId="4" fontId="1" fillId="2" borderId="1" xfId="0" applyNumberFormat="1" applyFont="1" applyFill="1" applyBorder="1"/>
    <xf numFmtId="165" fontId="2" fillId="2" borderId="1" xfId="0" applyNumberFormat="1" applyFont="1" applyFill="1" applyBorder="1" applyAlignment="1">
      <alignment horizontal="right"/>
    </xf>
    <xf numFmtId="2" fontId="2" fillId="2" borderId="16" xfId="0" applyNumberFormat="1" applyFont="1" applyFill="1" applyBorder="1"/>
    <xf numFmtId="0" fontId="2" fillId="2" borderId="24" xfId="0" applyFont="1" applyFill="1" applyBorder="1"/>
    <xf numFmtId="0" fontId="1" fillId="2" borderId="25" xfId="0" applyFont="1" applyFill="1" applyBorder="1" applyAlignment="1"/>
    <xf numFmtId="4" fontId="2" fillId="2" borderId="25" xfId="0" applyNumberFormat="1" applyFont="1" applyFill="1" applyBorder="1"/>
    <xf numFmtId="165" fontId="2" fillId="2" borderId="25" xfId="0" applyNumberFormat="1" applyFont="1" applyFill="1" applyBorder="1"/>
    <xf numFmtId="10" fontId="2" fillId="2" borderId="26" xfId="0" applyNumberFormat="1" applyFont="1" applyFill="1" applyBorder="1" applyAlignment="1">
      <alignment horizontal="center"/>
    </xf>
    <xf numFmtId="10" fontId="2" fillId="2" borderId="16" xfId="0" applyNumberFormat="1" applyFont="1" applyFill="1" applyBorder="1" applyAlignment="1">
      <alignment horizontal="center"/>
    </xf>
    <xf numFmtId="0" fontId="2" fillId="2" borderId="16" xfId="0" applyFont="1" applyFill="1" applyBorder="1"/>
    <xf numFmtId="0" fontId="1" fillId="2" borderId="14" xfId="0" applyFont="1" applyFill="1" applyBorder="1" applyAlignment="1">
      <alignment horizontal="center"/>
    </xf>
    <xf numFmtId="165" fontId="1" fillId="2" borderId="15" xfId="0" applyNumberFormat="1" applyFont="1" applyFill="1" applyBorder="1"/>
    <xf numFmtId="165" fontId="2" fillId="2" borderId="27" xfId="0" applyNumberFormat="1" applyFont="1" applyFill="1" applyBorder="1"/>
    <xf numFmtId="166" fontId="3" fillId="2" borderId="1" xfId="0" applyNumberFormat="1" applyFont="1" applyFill="1" applyBorder="1" applyAlignment="1">
      <alignment horizontal="center"/>
    </xf>
    <xf numFmtId="0" fontId="2" fillId="2" borderId="13" xfId="0" applyFont="1" applyFill="1" applyBorder="1"/>
    <xf numFmtId="165" fontId="2" fillId="2" borderId="21" xfId="0" applyNumberFormat="1" applyFont="1" applyFill="1" applyBorder="1"/>
    <xf numFmtId="0" fontId="2" fillId="2" borderId="2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6" fontId="2" fillId="2" borderId="2" xfId="0" applyNumberFormat="1" applyFont="1" applyFill="1" applyBorder="1"/>
    <xf numFmtId="4" fontId="1" fillId="2" borderId="29" xfId="0" applyNumberFormat="1" applyFont="1" applyFill="1" applyBorder="1" applyAlignment="1">
      <alignment horizontal="right"/>
    </xf>
    <xf numFmtId="165" fontId="2" fillId="2" borderId="29" xfId="0" applyNumberFormat="1" applyFont="1" applyFill="1" applyBorder="1" applyAlignment="1">
      <alignment horizontal="right"/>
    </xf>
    <xf numFmtId="10" fontId="2" fillId="2" borderId="30" xfId="0" applyNumberFormat="1" applyFont="1" applyFill="1" applyBorder="1" applyAlignment="1">
      <alignment horizontal="center"/>
    </xf>
    <xf numFmtId="0" fontId="2" fillId="2" borderId="9" xfId="0" applyFont="1" applyFill="1" applyBorder="1"/>
    <xf numFmtId="0" fontId="2" fillId="2" borderId="10" xfId="0" applyNumberFormat="1" applyFont="1" applyFill="1" applyBorder="1" applyAlignment="1">
      <alignment horizontal="center"/>
    </xf>
    <xf numFmtId="166" fontId="2" fillId="2" borderId="11" xfId="0" applyNumberFormat="1" applyFont="1" applyFill="1" applyBorder="1" applyAlignment="1">
      <alignment horizontal="center"/>
    </xf>
    <xf numFmtId="4" fontId="2" fillId="2" borderId="10" xfId="0" applyNumberFormat="1" applyFont="1" applyFill="1" applyBorder="1" applyAlignment="1">
      <alignment horizontal="right"/>
    </xf>
    <xf numFmtId="165" fontId="2" fillId="2" borderId="10" xfId="0" applyNumberFormat="1" applyFont="1" applyFill="1" applyBorder="1" applyAlignment="1">
      <alignment horizontal="right"/>
    </xf>
    <xf numFmtId="10" fontId="2" fillId="2" borderId="13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164" fontId="2" fillId="2" borderId="18" xfId="0" applyNumberFormat="1" applyFont="1" applyFill="1" applyBorder="1" applyAlignment="1">
      <alignment horizontal="center"/>
    </xf>
    <xf numFmtId="2" fontId="4" fillId="2" borderId="18" xfId="0" applyNumberFormat="1" applyFont="1" applyFill="1" applyBorder="1" applyAlignment="1">
      <alignment horizontal="center"/>
    </xf>
    <xf numFmtId="4" fontId="1" fillId="2" borderId="18" xfId="0" applyNumberFormat="1" applyFont="1" applyFill="1" applyBorder="1" applyAlignment="1">
      <alignment horizontal="right"/>
    </xf>
    <xf numFmtId="165" fontId="1" fillId="2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2" borderId="14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Fill="1" applyBorder="1" applyAlignment="1">
      <alignment horizontal="center"/>
    </xf>
    <xf numFmtId="165" fontId="2" fillId="2" borderId="18" xfId="0" applyNumberFormat="1" applyFont="1" applyFill="1" applyBorder="1" applyAlignment="1">
      <alignment horizontal="right"/>
    </xf>
    <xf numFmtId="2" fontId="2" fillId="2" borderId="20" xfId="0" applyNumberFormat="1" applyFont="1" applyFill="1" applyBorder="1"/>
    <xf numFmtId="0" fontId="1" fillId="2" borderId="32" xfId="0" applyFont="1" applyFill="1" applyBorder="1"/>
    <xf numFmtId="0" fontId="2" fillId="2" borderId="18" xfId="0" applyNumberFormat="1" applyFont="1" applyFill="1" applyBorder="1" applyAlignment="1">
      <alignment horizontal="center"/>
    </xf>
    <xf numFmtId="166" fontId="2" fillId="2" borderId="18" xfId="0" applyNumberFormat="1" applyFont="1" applyFill="1" applyBorder="1"/>
    <xf numFmtId="10" fontId="2" fillId="2" borderId="20" xfId="0" applyNumberFormat="1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6" fontId="2" fillId="2" borderId="21" xfId="0" applyNumberFormat="1" applyFont="1" applyFill="1" applyBorder="1"/>
    <xf numFmtId="4" fontId="1" fillId="2" borderId="21" xfId="0" applyNumberFormat="1" applyFont="1" applyFill="1" applyBorder="1" applyAlignment="1">
      <alignment horizontal="right"/>
    </xf>
    <xf numFmtId="165" fontId="2" fillId="2" borderId="21" xfId="0" applyNumberFormat="1" applyFont="1" applyFill="1" applyBorder="1" applyAlignment="1">
      <alignment horizontal="right"/>
    </xf>
    <xf numFmtId="10" fontId="2" fillId="2" borderId="22" xfId="0" applyNumberFormat="1" applyFont="1" applyFill="1" applyBorder="1" applyAlignment="1">
      <alignment horizontal="center"/>
    </xf>
    <xf numFmtId="0" fontId="2" fillId="2" borderId="31" xfId="0" applyFont="1" applyFill="1" applyBorder="1"/>
    <xf numFmtId="0" fontId="2" fillId="0" borderId="1" xfId="0" applyFont="1" applyBorder="1" applyAlignment="1">
      <alignment horizontal="center"/>
    </xf>
    <xf numFmtId="165" fontId="2" fillId="2" borderId="0" xfId="0" applyNumberFormat="1" applyFont="1" applyFill="1"/>
    <xf numFmtId="166" fontId="2" fillId="2" borderId="16" xfId="0" applyNumberFormat="1" applyFont="1" applyFill="1" applyBorder="1"/>
    <xf numFmtId="0" fontId="2" fillId="2" borderId="21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49" fontId="2" fillId="2" borderId="21" xfId="0" applyNumberFormat="1" applyFont="1" applyFill="1" applyBorder="1" applyAlignment="1">
      <alignment horizontal="center"/>
    </xf>
    <xf numFmtId="0" fontId="2" fillId="0" borderId="14" xfId="0" applyFont="1" applyFill="1" applyBorder="1"/>
    <xf numFmtId="0" fontId="2" fillId="0" borderId="1" xfId="0" applyFont="1" applyFill="1" applyBorder="1" applyAlignment="1">
      <alignment horizontal="center"/>
    </xf>
    <xf numFmtId="4" fontId="2" fillId="0" borderId="1" xfId="0" applyNumberFormat="1" applyFont="1" applyFill="1" applyBorder="1" applyAlignment="1">
      <alignment horizontal="right"/>
    </xf>
    <xf numFmtId="165" fontId="2" fillId="0" borderId="1" xfId="0" applyNumberFormat="1" applyFont="1" applyFill="1" applyBorder="1" applyAlignment="1">
      <alignment horizontal="right"/>
    </xf>
    <xf numFmtId="2" fontId="2" fillId="0" borderId="16" xfId="0" applyNumberFormat="1" applyFont="1" applyFill="1" applyBorder="1"/>
    <xf numFmtId="2" fontId="2" fillId="2" borderId="17" xfId="0" applyNumberFormat="1" applyFont="1" applyFill="1" applyBorder="1" applyAlignment="1">
      <alignment horizontal="center"/>
    </xf>
    <xf numFmtId="4" fontId="1" fillId="2" borderId="17" xfId="0" applyNumberFormat="1" applyFont="1" applyFill="1" applyBorder="1" applyAlignment="1">
      <alignment horizontal="right"/>
    </xf>
    <xf numFmtId="0" fontId="2" fillId="2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Fill="1" applyBorder="1" applyAlignment="1">
      <alignment horizontal="right"/>
    </xf>
    <xf numFmtId="2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zoomScale="85" zoomScaleNormal="85"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9</v>
      </c>
      <c r="G3" s="4" t="s">
        <v>116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6" t="s">
        <v>14</v>
      </c>
      <c r="C5" s="16">
        <v>51555166</v>
      </c>
      <c r="D5" s="16" t="s">
        <v>15</v>
      </c>
      <c r="E5" s="16">
        <v>132000</v>
      </c>
      <c r="F5" s="17">
        <v>2.8170000000000002</v>
      </c>
      <c r="G5" s="17">
        <v>2.8290000000000002</v>
      </c>
      <c r="H5" s="18">
        <f>(G5-F5)*E5</f>
        <v>1584.0000000000014</v>
      </c>
      <c r="I5" s="19"/>
      <c r="J5" s="20"/>
    </row>
    <row r="6" spans="1:10" ht="15.75" x14ac:dyDescent="0.25">
      <c r="A6" s="15" t="s">
        <v>16</v>
      </c>
      <c r="B6" s="16" t="s">
        <v>14</v>
      </c>
      <c r="C6" s="16">
        <v>51555191</v>
      </c>
      <c r="D6" s="16" t="s">
        <v>15</v>
      </c>
      <c r="E6" s="16">
        <v>132000</v>
      </c>
      <c r="F6" s="21">
        <v>314.75799999999998</v>
      </c>
      <c r="G6" s="21">
        <v>316.74700000000001</v>
      </c>
      <c r="H6" s="18">
        <f>(G6-F6)*E6</f>
        <v>262548.00000000431</v>
      </c>
      <c r="I6" s="19"/>
      <c r="J6" s="20"/>
    </row>
    <row r="7" spans="1:10" ht="15.75" x14ac:dyDescent="0.25">
      <c r="A7" s="207" t="s">
        <v>17</v>
      </c>
      <c r="B7" s="208"/>
      <c r="C7" s="16"/>
      <c r="D7" s="22"/>
      <c r="E7" s="16"/>
      <c r="H7" s="23">
        <f>H5+H6</f>
        <v>264132.00000000431</v>
      </c>
      <c r="I7" s="24">
        <f>H7-H10-H20</f>
        <v>2094.0000000016007</v>
      </c>
      <c r="J7" s="25">
        <f>I7/H7</f>
        <v>7.927854254696767E-3</v>
      </c>
    </row>
    <row r="8" spans="1:10" ht="15.75" x14ac:dyDescent="0.25">
      <c r="A8" s="26" t="s">
        <v>18</v>
      </c>
      <c r="B8" s="16" t="s">
        <v>14</v>
      </c>
      <c r="C8" s="16">
        <v>51097629</v>
      </c>
      <c r="D8" s="22" t="s">
        <v>15</v>
      </c>
      <c r="E8" s="16">
        <v>42000</v>
      </c>
      <c r="F8" s="21">
        <v>976.92399999999998</v>
      </c>
      <c r="G8" s="21">
        <v>981.25800000000004</v>
      </c>
      <c r="H8" s="18">
        <f>(G8-F8)*E8</f>
        <v>182028.00000000253</v>
      </c>
      <c r="I8" s="19"/>
      <c r="J8" s="20"/>
    </row>
    <row r="9" spans="1:10" ht="15.75" x14ac:dyDescent="0.25">
      <c r="A9" s="26" t="s">
        <v>19</v>
      </c>
      <c r="B9" s="16" t="s">
        <v>14</v>
      </c>
      <c r="C9" s="16">
        <v>51616820</v>
      </c>
      <c r="D9" s="22" t="s">
        <v>15</v>
      </c>
      <c r="E9" s="16">
        <v>42000</v>
      </c>
      <c r="F9" s="21">
        <v>4.7880000000000003</v>
      </c>
      <c r="G9" s="21">
        <v>4.8120000000000003</v>
      </c>
      <c r="H9" s="18">
        <f>(G9-F9)*E9</f>
        <v>1008.0000000000009</v>
      </c>
      <c r="I9" s="19"/>
      <c r="J9" s="20"/>
    </row>
    <row r="10" spans="1:10" ht="15.75" x14ac:dyDescent="0.25">
      <c r="A10" s="207" t="s">
        <v>20</v>
      </c>
      <c r="B10" s="208"/>
      <c r="C10" s="16"/>
      <c r="D10" s="22"/>
      <c r="E10" s="16"/>
      <c r="F10" s="21"/>
      <c r="G10" s="21"/>
      <c r="H10" s="23">
        <f>H8+H9</f>
        <v>183036.00000000253</v>
      </c>
      <c r="I10" s="24">
        <f>H10-H17</f>
        <v>63.00000000098953</v>
      </c>
      <c r="J10" s="25">
        <f>I10/H10</f>
        <v>3.4419458467726925E-4</v>
      </c>
    </row>
    <row r="11" spans="1:10" ht="15.75" x14ac:dyDescent="0.25">
      <c r="A11" s="27" t="s">
        <v>21</v>
      </c>
      <c r="B11" s="16" t="s">
        <v>14</v>
      </c>
      <c r="C11" s="16">
        <v>51217286</v>
      </c>
      <c r="D11" s="22" t="s">
        <v>22</v>
      </c>
      <c r="E11" s="16">
        <v>21000</v>
      </c>
      <c r="F11" s="21">
        <v>776.02499999999998</v>
      </c>
      <c r="G11" s="21">
        <v>779.22</v>
      </c>
      <c r="H11" s="18">
        <f t="shared" ref="H11:H16" si="0">(G11-F11)*E11</f>
        <v>67095.000000001048</v>
      </c>
      <c r="I11" s="19"/>
      <c r="J11" s="20"/>
    </row>
    <row r="12" spans="1:10" ht="15.75" x14ac:dyDescent="0.25">
      <c r="A12" s="27" t="s">
        <v>23</v>
      </c>
      <c r="B12" s="16" t="s">
        <v>14</v>
      </c>
      <c r="C12" s="16">
        <v>51217292</v>
      </c>
      <c r="D12" s="22" t="s">
        <v>22</v>
      </c>
      <c r="E12" s="16">
        <v>21000</v>
      </c>
      <c r="F12" s="28">
        <v>3.2090000000000001</v>
      </c>
      <c r="G12" s="28">
        <v>3.2330000000000001</v>
      </c>
      <c r="H12" s="18">
        <f>(G12-F12)*E12</f>
        <v>504.00000000000045</v>
      </c>
      <c r="I12" s="19"/>
      <c r="J12" s="20"/>
    </row>
    <row r="13" spans="1:10" ht="15.75" x14ac:dyDescent="0.25">
      <c r="A13" s="27" t="s">
        <v>24</v>
      </c>
      <c r="B13" s="16" t="s">
        <v>14</v>
      </c>
      <c r="C13" s="16">
        <v>51217271</v>
      </c>
      <c r="D13" s="22" t="s">
        <v>22</v>
      </c>
      <c r="E13" s="16">
        <v>21000</v>
      </c>
      <c r="F13" s="21">
        <v>566.41399999999999</v>
      </c>
      <c r="G13" s="21">
        <v>569.08000000000004</v>
      </c>
      <c r="H13" s="18">
        <f t="shared" si="0"/>
        <v>55986.000000001128</v>
      </c>
      <c r="I13" s="19"/>
      <c r="J13" s="20"/>
    </row>
    <row r="14" spans="1:10" ht="15.75" x14ac:dyDescent="0.25">
      <c r="A14" s="27" t="s">
        <v>25</v>
      </c>
      <c r="B14" s="16" t="s">
        <v>14</v>
      </c>
      <c r="C14" s="16">
        <v>51217276</v>
      </c>
      <c r="D14" s="22" t="s">
        <v>22</v>
      </c>
      <c r="E14" s="16">
        <v>21000</v>
      </c>
      <c r="F14" s="28">
        <v>0.45100000000000001</v>
      </c>
      <c r="G14" s="28">
        <v>0.45800000000000002</v>
      </c>
      <c r="H14" s="18">
        <f>(G14-F14)*E14</f>
        <v>147.00000000000014</v>
      </c>
      <c r="I14" s="19"/>
      <c r="J14" s="20"/>
    </row>
    <row r="15" spans="1:10" ht="15.75" x14ac:dyDescent="0.25">
      <c r="A15" s="27" t="s">
        <v>26</v>
      </c>
      <c r="B15" s="16" t="s">
        <v>14</v>
      </c>
      <c r="C15" s="16">
        <v>51100990</v>
      </c>
      <c r="D15" s="22" t="s">
        <v>22</v>
      </c>
      <c r="E15" s="16">
        <v>21000</v>
      </c>
      <c r="F15" s="29">
        <v>617.14499999999998</v>
      </c>
      <c r="G15" s="29">
        <v>619.95399999999995</v>
      </c>
      <c r="H15" s="18">
        <f t="shared" si="0"/>
        <v>58988.999999999352</v>
      </c>
      <c r="I15" s="19"/>
      <c r="J15" s="20"/>
    </row>
    <row r="16" spans="1:10" ht="15.75" x14ac:dyDescent="0.25">
      <c r="A16" s="27" t="s">
        <v>27</v>
      </c>
      <c r="B16" s="16" t="s">
        <v>14</v>
      </c>
      <c r="C16" s="16">
        <v>51097622</v>
      </c>
      <c r="D16" s="22" t="s">
        <v>22</v>
      </c>
      <c r="E16" s="16">
        <v>21000</v>
      </c>
      <c r="F16" s="21">
        <v>2.7149999999999999</v>
      </c>
      <c r="G16" s="21">
        <v>2.7269999999999999</v>
      </c>
      <c r="H16" s="18">
        <f t="shared" si="0"/>
        <v>252.00000000000023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6"/>
      <c r="D17" s="22"/>
      <c r="E17" s="16"/>
      <c r="F17" s="21"/>
      <c r="G17" s="21"/>
      <c r="H17" s="23">
        <f>H11+H12+H13+H14+H15+H16</f>
        <v>182973.00000000154</v>
      </c>
      <c r="I17" s="19"/>
      <c r="J17" s="20"/>
    </row>
    <row r="18" spans="1:10" ht="15.75" x14ac:dyDescent="0.25">
      <c r="A18" s="26" t="s">
        <v>30</v>
      </c>
      <c r="B18" s="16" t="s">
        <v>14</v>
      </c>
      <c r="C18" s="16">
        <v>51097617</v>
      </c>
      <c r="D18" s="22" t="s">
        <v>31</v>
      </c>
      <c r="E18" s="16">
        <v>18000</v>
      </c>
      <c r="F18" s="30">
        <v>734.65200000000004</v>
      </c>
      <c r="G18" s="30">
        <v>739.04100000000005</v>
      </c>
      <c r="H18" s="18">
        <f>(G18-F18)*E18</f>
        <v>79002.000000000175</v>
      </c>
      <c r="I18" s="19"/>
      <c r="J18" s="20"/>
    </row>
    <row r="19" spans="1:10" ht="15.75" x14ac:dyDescent="0.25">
      <c r="A19" s="26" t="s">
        <v>32</v>
      </c>
      <c r="B19" s="16" t="s">
        <v>14</v>
      </c>
      <c r="C19" s="16">
        <v>51097655</v>
      </c>
      <c r="D19" s="22" t="s">
        <v>31</v>
      </c>
      <c r="E19" s="16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6"/>
      <c r="D20" s="22"/>
      <c r="E20" s="16"/>
      <c r="F20" s="30"/>
      <c r="G20" s="30"/>
      <c r="H20" s="23">
        <f>H18+H19</f>
        <v>79002.000000000175</v>
      </c>
      <c r="I20" s="24">
        <f>H20-H35</f>
        <v>3365.9999999996653</v>
      </c>
      <c r="J20" s="25">
        <f>I20/H20</f>
        <v>4.2606516290722485E-2</v>
      </c>
    </row>
    <row r="21" spans="1:10" ht="15.75" x14ac:dyDescent="0.25">
      <c r="A21" s="15" t="s">
        <v>34</v>
      </c>
      <c r="B21" s="16" t="s">
        <v>14</v>
      </c>
      <c r="C21" s="16">
        <v>51217282</v>
      </c>
      <c r="D21" s="22" t="s">
        <v>35</v>
      </c>
      <c r="E21" s="16">
        <v>4800</v>
      </c>
      <c r="F21" s="21">
        <v>379.09699999999998</v>
      </c>
      <c r="G21" s="21">
        <v>379.15800000000002</v>
      </c>
      <c r="H21" s="18">
        <f t="shared" ref="H21:H34" si="1">(G21-F21)*E21</f>
        <v>292.80000000017026</v>
      </c>
      <c r="I21" s="19" t="s">
        <v>28</v>
      </c>
      <c r="J21" s="20"/>
    </row>
    <row r="22" spans="1:10" ht="15.75" x14ac:dyDescent="0.25">
      <c r="A22" s="15" t="s">
        <v>36</v>
      </c>
      <c r="B22" s="16" t="s">
        <v>14</v>
      </c>
      <c r="C22" s="16">
        <v>51217274</v>
      </c>
      <c r="D22" s="22" t="s">
        <v>35</v>
      </c>
      <c r="E22" s="16">
        <v>4800</v>
      </c>
      <c r="F22" s="21">
        <v>1161.3009999999999</v>
      </c>
      <c r="G22" s="21">
        <v>1167.4169999999999</v>
      </c>
      <c r="H22" s="18">
        <f t="shared" si="1"/>
        <v>29356.79999999993</v>
      </c>
      <c r="I22" s="19"/>
      <c r="J22" s="20"/>
    </row>
    <row r="23" spans="1:10" ht="15.75" x14ac:dyDescent="0.25">
      <c r="A23" s="15" t="s">
        <v>37</v>
      </c>
      <c r="B23" s="16" t="s">
        <v>14</v>
      </c>
      <c r="C23" s="16">
        <v>51097664</v>
      </c>
      <c r="D23" s="22" t="s">
        <v>38</v>
      </c>
      <c r="E23" s="16">
        <v>600</v>
      </c>
      <c r="F23" s="21">
        <v>4.2619999999999996</v>
      </c>
      <c r="G23" s="21">
        <v>4.2789999999999999</v>
      </c>
      <c r="H23" s="18">
        <f t="shared" si="1"/>
        <v>10.200000000000209</v>
      </c>
      <c r="I23" s="19"/>
      <c r="J23" s="20"/>
    </row>
    <row r="24" spans="1:10" ht="15.75" x14ac:dyDescent="0.25">
      <c r="A24" s="15" t="s">
        <v>39</v>
      </c>
      <c r="B24" s="16" t="s">
        <v>14</v>
      </c>
      <c r="C24" s="16">
        <v>51097615</v>
      </c>
      <c r="D24" s="22" t="s">
        <v>38</v>
      </c>
      <c r="E24" s="16">
        <v>600</v>
      </c>
      <c r="F24" s="21">
        <v>33.146999999999998</v>
      </c>
      <c r="G24" s="21">
        <v>33.53</v>
      </c>
      <c r="H24" s="18">
        <f t="shared" si="1"/>
        <v>229.8000000000016</v>
      </c>
      <c r="I24" s="19"/>
      <c r="J24" s="20"/>
    </row>
    <row r="25" spans="1:10" ht="15.75" x14ac:dyDescent="0.25">
      <c r="A25" s="15" t="s">
        <v>40</v>
      </c>
      <c r="B25" s="16" t="s">
        <v>14</v>
      </c>
      <c r="C25" s="16">
        <v>51217264</v>
      </c>
      <c r="D25" s="22" t="s">
        <v>38</v>
      </c>
      <c r="E25" s="16">
        <v>600</v>
      </c>
      <c r="F25" s="21">
        <v>82.632999999999996</v>
      </c>
      <c r="G25" s="21">
        <v>83.325999999999993</v>
      </c>
      <c r="H25" s="18">
        <f t="shared" si="1"/>
        <v>415.7999999999987</v>
      </c>
      <c r="I25" s="19"/>
      <c r="J25" s="20"/>
    </row>
    <row r="26" spans="1:10" ht="15.75" x14ac:dyDescent="0.25">
      <c r="A26" s="15" t="s">
        <v>41</v>
      </c>
      <c r="B26" s="16" t="s">
        <v>14</v>
      </c>
      <c r="C26" s="16">
        <v>51217288</v>
      </c>
      <c r="D26" s="22" t="s">
        <v>38</v>
      </c>
      <c r="E26" s="16">
        <v>600</v>
      </c>
      <c r="F26" s="21">
        <v>19.498000000000001</v>
      </c>
      <c r="G26" s="21">
        <v>19.529</v>
      </c>
      <c r="H26" s="18">
        <f t="shared" si="1"/>
        <v>18.599999999999284</v>
      </c>
      <c r="I26" s="19" t="s">
        <v>28</v>
      </c>
      <c r="J26" s="20"/>
    </row>
    <row r="27" spans="1:10" ht="15.75" x14ac:dyDescent="0.25">
      <c r="A27" s="15" t="s">
        <v>42</v>
      </c>
      <c r="B27" s="16" t="s">
        <v>14</v>
      </c>
      <c r="C27" s="16">
        <v>51217279</v>
      </c>
      <c r="D27" s="22" t="s">
        <v>38</v>
      </c>
      <c r="E27" s="16">
        <v>600</v>
      </c>
      <c r="F27" s="21">
        <v>13.593</v>
      </c>
      <c r="G27" s="21">
        <v>13.648</v>
      </c>
      <c r="H27" s="18">
        <f t="shared" si="1"/>
        <v>32.999999999999829</v>
      </c>
      <c r="I27" s="19" t="s">
        <v>28</v>
      </c>
      <c r="J27" s="20"/>
    </row>
    <row r="28" spans="1:10" ht="15.75" x14ac:dyDescent="0.25">
      <c r="A28" s="15" t="s">
        <v>43</v>
      </c>
      <c r="B28" s="16" t="s">
        <v>14</v>
      </c>
      <c r="C28" s="16">
        <v>51217272</v>
      </c>
      <c r="D28" s="22" t="s">
        <v>38</v>
      </c>
      <c r="E28" s="16">
        <v>600</v>
      </c>
      <c r="F28" s="31">
        <v>13.335000000000001</v>
      </c>
      <c r="G28" s="31">
        <v>13.388</v>
      </c>
      <c r="H28" s="18">
        <f t="shared" si="1"/>
        <v>31.799999999999429</v>
      </c>
      <c r="I28" s="19"/>
      <c r="J28" s="20"/>
    </row>
    <row r="29" spans="1:10" ht="15.75" x14ac:dyDescent="0.25">
      <c r="A29" s="15" t="s">
        <v>44</v>
      </c>
      <c r="B29" s="16" t="s">
        <v>14</v>
      </c>
      <c r="C29" s="16">
        <v>51616744</v>
      </c>
      <c r="D29" s="22">
        <f>300/5</f>
        <v>60</v>
      </c>
      <c r="E29" s="16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6" t="s">
        <v>14</v>
      </c>
      <c r="C30" s="16">
        <v>51555226</v>
      </c>
      <c r="D30" s="22">
        <f>300/5</f>
        <v>60</v>
      </c>
      <c r="E30" s="16">
        <v>3600</v>
      </c>
      <c r="F30" s="31">
        <v>390.06200000000001</v>
      </c>
      <c r="G30" s="31">
        <v>394.14400000000001</v>
      </c>
      <c r="H30" s="18">
        <f>(G30-F30)*E30</f>
        <v>14695.199999999977</v>
      </c>
      <c r="I30" s="19"/>
      <c r="J30" s="20"/>
    </row>
    <row r="31" spans="1:10" ht="15.75" x14ac:dyDescent="0.25">
      <c r="A31" s="15" t="s">
        <v>46</v>
      </c>
      <c r="B31" s="16" t="s">
        <v>14</v>
      </c>
      <c r="C31" s="16">
        <v>51097658</v>
      </c>
      <c r="D31" s="22" t="s">
        <v>35</v>
      </c>
      <c r="E31" s="16">
        <v>4800</v>
      </c>
      <c r="F31" s="31">
        <v>561.03099999999995</v>
      </c>
      <c r="G31" s="31">
        <v>564.83000000000004</v>
      </c>
      <c r="H31" s="18">
        <f t="shared" si="1"/>
        <v>18235.200000000441</v>
      </c>
      <c r="I31" s="19"/>
      <c r="J31" s="20"/>
    </row>
    <row r="32" spans="1:10" ht="15.75" x14ac:dyDescent="0.25">
      <c r="A32" s="15" t="s">
        <v>47</v>
      </c>
      <c r="B32" s="16" t="s">
        <v>14</v>
      </c>
      <c r="C32" s="16">
        <v>51097635</v>
      </c>
      <c r="D32" s="22" t="s">
        <v>35</v>
      </c>
      <c r="E32" s="16">
        <v>4800</v>
      </c>
      <c r="F32" s="31">
        <v>48.439</v>
      </c>
      <c r="G32" s="31">
        <v>48.44</v>
      </c>
      <c r="H32" s="18">
        <f t="shared" si="1"/>
        <v>4.7999999999888132</v>
      </c>
      <c r="I32" s="19"/>
      <c r="J32" s="20"/>
    </row>
    <row r="33" spans="1:10" ht="15.75" x14ac:dyDescent="0.25">
      <c r="A33" s="15" t="s">
        <v>48</v>
      </c>
      <c r="B33" s="16" t="s">
        <v>14</v>
      </c>
      <c r="C33" s="32">
        <v>51097633</v>
      </c>
      <c r="D33" s="22" t="s">
        <v>35</v>
      </c>
      <c r="E33" s="16">
        <v>4800</v>
      </c>
      <c r="F33" s="31">
        <v>113.325</v>
      </c>
      <c r="G33" s="31">
        <v>115.813</v>
      </c>
      <c r="H33" s="33">
        <f t="shared" si="1"/>
        <v>11942.399999999998</v>
      </c>
      <c r="I33" s="34"/>
      <c r="J33" s="35"/>
    </row>
    <row r="34" spans="1:10" ht="15.75" x14ac:dyDescent="0.25">
      <c r="A34" s="15" t="s">
        <v>49</v>
      </c>
      <c r="B34" s="16" t="s">
        <v>14</v>
      </c>
      <c r="C34" s="32">
        <v>51097662</v>
      </c>
      <c r="D34" s="22" t="s">
        <v>35</v>
      </c>
      <c r="E34" s="16">
        <v>4800</v>
      </c>
      <c r="F34" s="31">
        <v>2.0489999999999999</v>
      </c>
      <c r="G34" s="31">
        <v>2.1259999999999999</v>
      </c>
      <c r="H34" s="33">
        <f t="shared" si="1"/>
        <v>369.5999999999998</v>
      </c>
      <c r="I34" s="34"/>
      <c r="J34" s="35"/>
    </row>
    <row r="35" spans="1:10" ht="15.75" x14ac:dyDescent="0.25">
      <c r="A35" s="207" t="s">
        <v>50</v>
      </c>
      <c r="B35" s="208"/>
      <c r="C35" s="16"/>
      <c r="D35" s="22"/>
      <c r="E35" s="16"/>
      <c r="F35" s="36"/>
      <c r="G35" s="36"/>
      <c r="H35" s="23">
        <f>H21+H22+H23+H24+H25+H26+H27+H28+H29+H30+H31+H32+H33+H34</f>
        <v>75636.000000000509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6" t="s">
        <v>53</v>
      </c>
      <c r="C37" s="16">
        <v>51555209</v>
      </c>
      <c r="D37" s="22" t="s">
        <v>54</v>
      </c>
      <c r="E37" s="16">
        <v>7000</v>
      </c>
      <c r="F37" s="17">
        <v>4.4749999999999996</v>
      </c>
      <c r="G37" s="17">
        <v>4.5190000000000001</v>
      </c>
      <c r="H37" s="41">
        <f>(G37-F37)*E37</f>
        <v>308.00000000000341</v>
      </c>
      <c r="I37" s="42"/>
      <c r="J37" s="14"/>
    </row>
    <row r="38" spans="1:10" ht="15.75" x14ac:dyDescent="0.25">
      <c r="A38" s="15" t="s">
        <v>55</v>
      </c>
      <c r="B38" s="16" t="s">
        <v>53</v>
      </c>
      <c r="C38" s="16">
        <v>51555209</v>
      </c>
      <c r="D38" s="22" t="s">
        <v>54</v>
      </c>
      <c r="E38" s="16">
        <v>7000</v>
      </c>
      <c r="F38" s="21">
        <v>9.1129999999999995</v>
      </c>
      <c r="G38" s="21">
        <v>9.1649999999999991</v>
      </c>
      <c r="H38" s="18">
        <f>(G38-F38)*E38</f>
        <v>363.99999999999721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6" t="s">
        <v>53</v>
      </c>
      <c r="C40" s="16">
        <v>51097674</v>
      </c>
      <c r="D40" s="16" t="s">
        <v>15</v>
      </c>
      <c r="E40" s="16">
        <v>7200</v>
      </c>
      <c r="F40" s="21">
        <v>525.05600000000004</v>
      </c>
      <c r="G40" s="21">
        <v>527.36599999999999</v>
      </c>
      <c r="H40" s="18">
        <f>(G40-F40)*E40</f>
        <v>16631.999999999607</v>
      </c>
      <c r="I40" s="47"/>
      <c r="J40" s="20"/>
    </row>
    <row r="41" spans="1:10" ht="15.75" x14ac:dyDescent="0.25">
      <c r="A41" s="27" t="s">
        <v>58</v>
      </c>
      <c r="B41" s="16" t="s">
        <v>53</v>
      </c>
      <c r="C41" s="16">
        <v>51259257</v>
      </c>
      <c r="D41" s="16" t="s">
        <v>15</v>
      </c>
      <c r="E41" s="16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6"/>
      <c r="C42" s="16"/>
      <c r="D42" s="16"/>
      <c r="E42" s="16"/>
      <c r="F42" s="21"/>
      <c r="G42" s="21"/>
      <c r="H42" s="48">
        <f>H40+H41</f>
        <v>16631.999999999607</v>
      </c>
      <c r="I42" s="24">
        <f>H42-H50</f>
        <v>-105.20000000031723</v>
      </c>
      <c r="J42" s="25">
        <f>I42/H42</f>
        <v>-6.3251563251755481E-3</v>
      </c>
    </row>
    <row r="43" spans="1:10" ht="15.75" x14ac:dyDescent="0.25">
      <c r="A43" s="15" t="s">
        <v>60</v>
      </c>
      <c r="B43" s="16"/>
      <c r="C43" s="16"/>
      <c r="D43" s="22"/>
      <c r="E43" s="16"/>
      <c r="H43" s="18"/>
      <c r="I43" s="43"/>
      <c r="J43" s="20"/>
    </row>
    <row r="44" spans="1:10" ht="15.75" x14ac:dyDescent="0.25">
      <c r="A44" s="27" t="s">
        <v>61</v>
      </c>
      <c r="B44" s="16" t="s">
        <v>53</v>
      </c>
      <c r="C44" s="32">
        <v>51097648</v>
      </c>
      <c r="D44" s="16" t="s">
        <v>54</v>
      </c>
      <c r="E44" s="16">
        <v>1200</v>
      </c>
      <c r="F44" s="21">
        <v>429.77300000000002</v>
      </c>
      <c r="G44" s="21">
        <v>431.721</v>
      </c>
      <c r="H44" s="33">
        <f>(G44-F44)*E44</f>
        <v>2337.5999999999749</v>
      </c>
      <c r="I44" s="43"/>
      <c r="J44" s="20"/>
    </row>
    <row r="45" spans="1:10" ht="15.75" x14ac:dyDescent="0.25">
      <c r="A45" s="27" t="s">
        <v>62</v>
      </c>
      <c r="B45" s="16" t="s">
        <v>53</v>
      </c>
      <c r="C45" s="32">
        <v>50555043</v>
      </c>
      <c r="D45" s="16" t="s">
        <v>54</v>
      </c>
      <c r="E45" s="16">
        <v>1200</v>
      </c>
      <c r="F45" s="21">
        <v>1801.5139999999999</v>
      </c>
      <c r="G45" s="21">
        <v>1809.09</v>
      </c>
      <c r="H45" s="33">
        <f>(G45-F45)*E45</f>
        <v>9091.2000000000262</v>
      </c>
      <c r="I45" s="43"/>
      <c r="J45" s="20"/>
    </row>
    <row r="46" spans="1:10" ht="15.75" x14ac:dyDescent="0.25">
      <c r="A46" s="27" t="s">
        <v>63</v>
      </c>
      <c r="B46" s="16" t="s">
        <v>53</v>
      </c>
      <c r="C46" s="32">
        <v>51259336</v>
      </c>
      <c r="D46" s="16" t="s">
        <v>64</v>
      </c>
      <c r="E46" s="16">
        <v>2400</v>
      </c>
      <c r="F46" s="21">
        <v>3.7389999999999999</v>
      </c>
      <c r="G46" s="21">
        <v>3.7519999999999998</v>
      </c>
      <c r="H46" s="33">
        <f>(G46-F46)*E46</f>
        <v>31.199999999999761</v>
      </c>
      <c r="I46" s="43"/>
      <c r="J46" s="20"/>
    </row>
    <row r="47" spans="1:10" ht="15.75" x14ac:dyDescent="0.25">
      <c r="A47" s="27" t="s">
        <v>65</v>
      </c>
      <c r="B47" s="16" t="s">
        <v>53</v>
      </c>
      <c r="C47" s="32">
        <v>51259266</v>
      </c>
      <c r="D47" s="16" t="s">
        <v>54</v>
      </c>
      <c r="E47" s="16">
        <v>1200</v>
      </c>
      <c r="F47" s="21">
        <v>872.14800000000002</v>
      </c>
      <c r="G47" s="21">
        <v>876.13599999999997</v>
      </c>
      <c r="H47" s="33">
        <f>(G47-F47)*E47</f>
        <v>4785.5999999999312</v>
      </c>
      <c r="I47" s="43"/>
      <c r="J47" s="20"/>
    </row>
    <row r="48" spans="1:10" ht="15.75" x14ac:dyDescent="0.25">
      <c r="A48" s="27" t="s">
        <v>66</v>
      </c>
      <c r="B48" s="16" t="s">
        <v>53</v>
      </c>
      <c r="C48" s="32">
        <v>51431336</v>
      </c>
      <c r="D48" s="16" t="s">
        <v>54</v>
      </c>
      <c r="E48" s="16">
        <v>1200</v>
      </c>
      <c r="F48" s="21">
        <v>48.109000000000002</v>
      </c>
      <c r="G48" s="21">
        <v>48.476999999999997</v>
      </c>
      <c r="H48" s="33">
        <f>(G48-F48)*E48</f>
        <v>441.599999999994</v>
      </c>
      <c r="I48" s="43"/>
      <c r="J48" s="20"/>
    </row>
    <row r="49" spans="1:10" ht="15.75" x14ac:dyDescent="0.25">
      <c r="A49" s="15" t="s">
        <v>67</v>
      </c>
      <c r="B49" s="16" t="s">
        <v>68</v>
      </c>
      <c r="C49" s="16">
        <v>49174</v>
      </c>
      <c r="D49" s="22" t="s">
        <v>54</v>
      </c>
      <c r="E49" s="16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16737.199999999924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6" t="s">
        <v>53</v>
      </c>
      <c r="C52" s="16">
        <v>51097603</v>
      </c>
      <c r="D52" s="22" t="s">
        <v>54</v>
      </c>
      <c r="E52" s="16">
        <v>7000</v>
      </c>
      <c r="F52" s="17">
        <v>1739.69</v>
      </c>
      <c r="G52" s="17">
        <v>1746.6849999999999</v>
      </c>
      <c r="H52" s="18">
        <f>(G52-F52)*E52</f>
        <v>48964.999999999236</v>
      </c>
      <c r="I52" s="43"/>
      <c r="J52" s="20"/>
    </row>
    <row r="53" spans="1:10" ht="15.75" x14ac:dyDescent="0.25">
      <c r="A53" s="27" t="s">
        <v>73</v>
      </c>
      <c r="B53" s="16" t="s">
        <v>53</v>
      </c>
      <c r="C53" s="16">
        <v>51097590</v>
      </c>
      <c r="D53" s="22" t="s">
        <v>54</v>
      </c>
      <c r="E53" s="16">
        <v>7000</v>
      </c>
      <c r="F53" s="21">
        <v>10.603</v>
      </c>
      <c r="G53" s="21">
        <v>10.678000000000001</v>
      </c>
      <c r="H53" s="18">
        <f>(G53-F53)*E53</f>
        <v>525.0000000000075</v>
      </c>
      <c r="I53" s="43"/>
      <c r="J53" s="20"/>
    </row>
    <row r="54" spans="1:10" ht="15.75" x14ac:dyDescent="0.25">
      <c r="A54" s="15" t="s">
        <v>67</v>
      </c>
      <c r="B54" s="16" t="s">
        <v>68</v>
      </c>
      <c r="C54" s="16">
        <v>49174</v>
      </c>
      <c r="D54" s="22" t="s">
        <v>54</v>
      </c>
      <c r="E54" s="16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6"/>
      <c r="D55" s="22"/>
      <c r="E55" s="16"/>
      <c r="F55" s="21"/>
      <c r="G55" s="21"/>
      <c r="H55" s="48">
        <f>H52+H53+H54</f>
        <v>49589.999999999243</v>
      </c>
      <c r="I55" s="47"/>
      <c r="J55" s="59"/>
    </row>
    <row r="56" spans="1:10" ht="15.75" x14ac:dyDescent="0.25">
      <c r="A56" s="27" t="s">
        <v>75</v>
      </c>
      <c r="B56" s="16" t="s">
        <v>53</v>
      </c>
      <c r="C56" s="16">
        <v>51100980</v>
      </c>
      <c r="D56" s="16" t="s">
        <v>76</v>
      </c>
      <c r="E56" s="16">
        <v>12000</v>
      </c>
      <c r="F56" s="21">
        <v>1023.3869999999999</v>
      </c>
      <c r="G56" s="21">
        <v>1027.511</v>
      </c>
      <c r="H56" s="18">
        <f>(G56-F56)*E56</f>
        <v>49488.000000000284</v>
      </c>
      <c r="I56" s="47"/>
      <c r="J56" s="58"/>
    </row>
    <row r="57" spans="1:10" ht="15.75" x14ac:dyDescent="0.25">
      <c r="A57" s="27" t="s">
        <v>77</v>
      </c>
      <c r="B57" s="16" t="s">
        <v>53</v>
      </c>
      <c r="C57" s="16">
        <v>51097623</v>
      </c>
      <c r="D57" s="16" t="s">
        <v>76</v>
      </c>
      <c r="E57" s="16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6"/>
      <c r="C58" s="16"/>
      <c r="D58" s="16"/>
      <c r="E58" s="16"/>
      <c r="F58" s="21"/>
      <c r="G58" s="21"/>
      <c r="H58" s="48">
        <f>H56+H57</f>
        <v>49488.000000000284</v>
      </c>
      <c r="I58" s="61">
        <f>H55-H65-H54</f>
        <v>-79.600000001293665</v>
      </c>
      <c r="J58" s="25">
        <f>I58/H58</f>
        <v>-1.6084707404076385E-3</v>
      </c>
    </row>
    <row r="59" spans="1:10" ht="15.75" x14ac:dyDescent="0.25">
      <c r="A59" s="27" t="s">
        <v>79</v>
      </c>
      <c r="B59" s="16" t="s">
        <v>53</v>
      </c>
      <c r="C59" s="16">
        <v>51097675</v>
      </c>
      <c r="D59" s="16" t="s">
        <v>35</v>
      </c>
      <c r="E59" s="16">
        <v>4800</v>
      </c>
      <c r="F59" s="21">
        <v>422.43200000000002</v>
      </c>
      <c r="G59" s="21">
        <v>425.63900000000001</v>
      </c>
      <c r="H59" s="18">
        <f t="shared" ref="H59:H64" si="2">(G59-F59)*E59</f>
        <v>15393.599999999969</v>
      </c>
      <c r="I59" s="62"/>
      <c r="J59" s="59"/>
    </row>
    <row r="60" spans="1:10" ht="15.75" x14ac:dyDescent="0.25">
      <c r="A60" s="27" t="s">
        <v>80</v>
      </c>
      <c r="B60" s="16" t="s">
        <v>53</v>
      </c>
      <c r="C60" s="16">
        <v>51100997</v>
      </c>
      <c r="D60" s="16" t="s">
        <v>22</v>
      </c>
      <c r="E60" s="16">
        <v>3600</v>
      </c>
      <c r="F60" s="21">
        <v>1284.8209999999999</v>
      </c>
      <c r="G60" s="21">
        <v>1287.769</v>
      </c>
      <c r="H60" s="18">
        <f t="shared" si="2"/>
        <v>10612.800000000334</v>
      </c>
      <c r="I60" s="62"/>
      <c r="J60" s="59"/>
    </row>
    <row r="61" spans="1:10" ht="15.75" x14ac:dyDescent="0.25">
      <c r="A61" s="27" t="s">
        <v>81</v>
      </c>
      <c r="B61" s="16" t="s">
        <v>53</v>
      </c>
      <c r="C61" s="16">
        <v>51555218</v>
      </c>
      <c r="D61" s="16">
        <f>400/5</f>
        <v>80</v>
      </c>
      <c r="E61" s="16">
        <v>4800</v>
      </c>
      <c r="F61" s="21">
        <v>49.606999999999999</v>
      </c>
      <c r="G61" s="21">
        <v>50.143000000000001</v>
      </c>
      <c r="H61" s="18">
        <f t="shared" si="2"/>
        <v>2572.8000000000065</v>
      </c>
      <c r="I61" s="62"/>
      <c r="J61" s="59"/>
    </row>
    <row r="62" spans="1:10" ht="15.75" x14ac:dyDescent="0.25">
      <c r="A62" s="27" t="s">
        <v>82</v>
      </c>
      <c r="B62" s="16" t="s">
        <v>53</v>
      </c>
      <c r="C62" s="16">
        <v>51555151</v>
      </c>
      <c r="D62" s="16">
        <f>400/5</f>
        <v>80</v>
      </c>
      <c r="E62" s="16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6" t="s">
        <v>53</v>
      </c>
      <c r="C63" s="16">
        <v>51097599</v>
      </c>
      <c r="D63" s="16" t="s">
        <v>22</v>
      </c>
      <c r="E63" s="16">
        <v>3600</v>
      </c>
      <c r="F63" s="21">
        <v>897.56</v>
      </c>
      <c r="G63" s="21">
        <v>899.88400000000001</v>
      </c>
      <c r="H63" s="18">
        <f t="shared" si="2"/>
        <v>8366.4000000002488</v>
      </c>
      <c r="I63" s="62"/>
      <c r="J63" s="59"/>
    </row>
    <row r="64" spans="1:10" ht="15.75" x14ac:dyDescent="0.25">
      <c r="A64" s="27" t="s">
        <v>84</v>
      </c>
      <c r="B64" s="16" t="s">
        <v>53</v>
      </c>
      <c r="C64" s="16">
        <v>51097620</v>
      </c>
      <c r="D64" s="16" t="s">
        <v>35</v>
      </c>
      <c r="E64" s="16">
        <v>4800</v>
      </c>
      <c r="F64" s="21">
        <v>438.65100000000001</v>
      </c>
      <c r="G64" s="21">
        <v>441.28100000000001</v>
      </c>
      <c r="H64" s="18">
        <f t="shared" si="2"/>
        <v>12623.999999999978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49569.600000000537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6" t="s">
        <v>53</v>
      </c>
      <c r="C67" s="9">
        <v>51259238</v>
      </c>
      <c r="D67" s="74" t="s">
        <v>54</v>
      </c>
      <c r="E67" s="74">
        <v>7000</v>
      </c>
      <c r="F67" s="75">
        <v>480.31700000000001</v>
      </c>
      <c r="G67" s="75">
        <v>483.16300000000001</v>
      </c>
      <c r="H67" s="76">
        <f>(G67-F67)*E67</f>
        <v>19922.000000000025</v>
      </c>
      <c r="I67" s="77"/>
      <c r="J67" s="78"/>
    </row>
    <row r="68" spans="1:10" ht="15.75" x14ac:dyDescent="0.25">
      <c r="A68" s="27" t="s">
        <v>87</v>
      </c>
      <c r="B68" s="16" t="s">
        <v>53</v>
      </c>
      <c r="C68" s="16">
        <v>51259324</v>
      </c>
      <c r="D68" s="22" t="s">
        <v>54</v>
      </c>
      <c r="E68" s="22">
        <v>7000</v>
      </c>
      <c r="F68" s="21">
        <v>369.161</v>
      </c>
      <c r="G68" s="21">
        <v>371.45100000000002</v>
      </c>
      <c r="H68" s="18">
        <f>(G68-F68)*E68</f>
        <v>16030.000000000144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6">
        <v>51491618</v>
      </c>
      <c r="D69" s="22" t="s">
        <v>64</v>
      </c>
      <c r="E69" s="16">
        <v>40</v>
      </c>
      <c r="F69" s="28">
        <v>954.88</v>
      </c>
      <c r="G69" s="28">
        <v>965.87</v>
      </c>
      <c r="H69" s="18">
        <f>(G69-F69)*E69</f>
        <v>439.60000000000036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6">
        <v>51491624</v>
      </c>
      <c r="D70" s="22" t="s">
        <v>64</v>
      </c>
      <c r="E70" s="16">
        <v>40</v>
      </c>
      <c r="F70" s="28">
        <v>128.84200000000001</v>
      </c>
      <c r="G70" s="28">
        <v>130.11600000000001</v>
      </c>
      <c r="H70" s="18">
        <f>(G70-F70)*E70</f>
        <v>50.960000000000036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35952.000000000167</v>
      </c>
      <c r="I71" s="85">
        <f>H71-H74-H69-H70</f>
        <v>-778.56000000029871</v>
      </c>
      <c r="J71" s="25">
        <f>I71/H71</f>
        <v>-2.165554072096949E-2</v>
      </c>
    </row>
    <row r="72" spans="1:10" ht="15.75" x14ac:dyDescent="0.25">
      <c r="A72" s="27" t="s">
        <v>92</v>
      </c>
      <c r="B72" s="16" t="s">
        <v>53</v>
      </c>
      <c r="C72" s="86">
        <v>51097588</v>
      </c>
      <c r="D72" s="22" t="s">
        <v>76</v>
      </c>
      <c r="E72" s="16">
        <v>12000</v>
      </c>
      <c r="F72" s="21">
        <v>289.97899999999998</v>
      </c>
      <c r="G72" s="21">
        <v>291.61700000000002</v>
      </c>
      <c r="H72" s="18">
        <f>(G72-F72)*E72</f>
        <v>19656.000000000404</v>
      </c>
      <c r="I72" s="51"/>
      <c r="J72" s="58"/>
    </row>
    <row r="73" spans="1:10" ht="15.75" x14ac:dyDescent="0.25">
      <c r="A73" s="27" t="s">
        <v>93</v>
      </c>
      <c r="B73" s="16" t="s">
        <v>53</v>
      </c>
      <c r="C73" s="86">
        <v>51431335</v>
      </c>
      <c r="D73" s="22" t="s">
        <v>76</v>
      </c>
      <c r="E73" s="16">
        <v>12000</v>
      </c>
      <c r="F73" s="21">
        <v>226.54599999999999</v>
      </c>
      <c r="G73" s="21">
        <v>227.928</v>
      </c>
      <c r="H73" s="18">
        <f>(G73-F73)*E73</f>
        <v>16584.000000000058</v>
      </c>
      <c r="I73" s="51"/>
      <c r="J73" s="58"/>
    </row>
    <row r="74" spans="1:10" ht="15.75" x14ac:dyDescent="0.25">
      <c r="A74" s="87" t="s">
        <v>94</v>
      </c>
      <c r="B74" s="16" t="s">
        <v>28</v>
      </c>
      <c r="C74" s="16"/>
      <c r="D74" s="22"/>
      <c r="E74" s="16"/>
      <c r="F74" s="21"/>
      <c r="G74" s="21"/>
      <c r="H74" s="48">
        <f>H72+ H73</f>
        <v>36240.000000000466</v>
      </c>
      <c r="I74" s="85">
        <f>H74-H82</f>
        <v>-82.199999999182182</v>
      </c>
      <c r="J74" s="25">
        <f>I74/H74</f>
        <v>-2.2682119205072056E-3</v>
      </c>
    </row>
    <row r="75" spans="1:10" ht="15.75" x14ac:dyDescent="0.25">
      <c r="A75" s="27" t="s">
        <v>95</v>
      </c>
      <c r="B75" s="16" t="s">
        <v>53</v>
      </c>
      <c r="C75" s="86">
        <v>51097676</v>
      </c>
      <c r="D75" s="88" t="s">
        <v>64</v>
      </c>
      <c r="E75" s="16">
        <v>2400</v>
      </c>
      <c r="F75" s="21">
        <v>594.88</v>
      </c>
      <c r="G75" s="21">
        <v>598.86199999999997</v>
      </c>
      <c r="H75" s="18">
        <f>(G75-F75)*E75</f>
        <v>9556.7999999999302</v>
      </c>
      <c r="I75" s="51"/>
      <c r="J75" s="58"/>
    </row>
    <row r="76" spans="1:10" ht="15.75" x14ac:dyDescent="0.25">
      <c r="A76" s="27" t="s">
        <v>96</v>
      </c>
      <c r="B76" s="16" t="s">
        <v>53</v>
      </c>
      <c r="C76" s="86">
        <v>51431355</v>
      </c>
      <c r="D76" s="22" t="s">
        <v>22</v>
      </c>
      <c r="E76" s="22">
        <v>3600</v>
      </c>
      <c r="F76" s="21">
        <v>326.19400000000002</v>
      </c>
      <c r="G76" s="21">
        <v>327.512</v>
      </c>
      <c r="H76" s="18">
        <f>(G76-F76)*E76</f>
        <v>4744.7999999999411</v>
      </c>
      <c r="I76" s="51"/>
      <c r="J76" s="52"/>
    </row>
    <row r="77" spans="1:10" ht="15.75" x14ac:dyDescent="0.25">
      <c r="A77" s="27" t="s">
        <v>97</v>
      </c>
      <c r="B77" s="16" t="s">
        <v>53</v>
      </c>
      <c r="C77" s="86">
        <v>51259331</v>
      </c>
      <c r="D77" s="88" t="s">
        <v>38</v>
      </c>
      <c r="E77" s="16">
        <v>600</v>
      </c>
      <c r="F77" s="21">
        <v>139.46700000000001</v>
      </c>
      <c r="G77" s="21">
        <v>140.38399999999999</v>
      </c>
      <c r="H77" s="18">
        <f>(G77-F77)*E77</f>
        <v>550.1999999999839</v>
      </c>
      <c r="I77" s="51"/>
      <c r="J77" s="52"/>
    </row>
    <row r="78" spans="1:10" ht="15.75" x14ac:dyDescent="0.25">
      <c r="A78" s="27" t="s">
        <v>98</v>
      </c>
      <c r="B78" s="16" t="s">
        <v>53</v>
      </c>
      <c r="C78" s="86">
        <v>51259326</v>
      </c>
      <c r="D78" s="88" t="s">
        <v>15</v>
      </c>
      <c r="E78" s="16">
        <v>7200</v>
      </c>
      <c r="F78" s="21">
        <v>289.55700000000002</v>
      </c>
      <c r="G78" s="21">
        <v>290.971</v>
      </c>
      <c r="H78" s="18">
        <f>(G78-F78)*E78</f>
        <v>10180.799999999908</v>
      </c>
      <c r="I78" s="51"/>
      <c r="J78" s="52"/>
    </row>
    <row r="79" spans="1:10" ht="15.75" x14ac:dyDescent="0.25">
      <c r="A79" s="27" t="s">
        <v>99</v>
      </c>
      <c r="B79" s="16" t="s">
        <v>53</v>
      </c>
      <c r="C79" s="86">
        <v>51431351</v>
      </c>
      <c r="D79" s="88" t="s">
        <v>15</v>
      </c>
      <c r="E79" s="16">
        <v>7200</v>
      </c>
      <c r="F79" s="21">
        <v>199.90100000000001</v>
      </c>
      <c r="G79" s="21">
        <v>201.46899999999999</v>
      </c>
      <c r="H79" s="18">
        <f>(G79-F79)*E79</f>
        <v>11289.599999999882</v>
      </c>
      <c r="I79" s="51"/>
      <c r="J79" s="52"/>
    </row>
    <row r="80" spans="1:10" ht="15.75" x14ac:dyDescent="0.25">
      <c r="A80" s="89" t="s">
        <v>100</v>
      </c>
      <c r="B80" s="16" t="s">
        <v>53</v>
      </c>
      <c r="C80" s="90">
        <v>51097666</v>
      </c>
      <c r="D80" s="88" t="s">
        <v>64</v>
      </c>
      <c r="E80" s="16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6" t="s">
        <v>53</v>
      </c>
      <c r="C81" s="90">
        <v>51259323</v>
      </c>
      <c r="D81" s="88" t="s">
        <v>64</v>
      </c>
      <c r="E81" s="16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36322.199999999648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6" t="s">
        <v>53</v>
      </c>
      <c r="C84" s="106">
        <v>51431297</v>
      </c>
      <c r="D84" s="22" t="s">
        <v>54</v>
      </c>
      <c r="E84" s="100">
        <v>7000</v>
      </c>
      <c r="F84" s="17">
        <v>239.24799999999999</v>
      </c>
      <c r="G84" s="17">
        <v>240.05600000000001</v>
      </c>
      <c r="H84" s="18">
        <f>(G84-F84)*E84</f>
        <v>5656.0000000001482</v>
      </c>
      <c r="I84" s="107"/>
      <c r="J84" s="108"/>
    </row>
    <row r="85" spans="1:10" ht="15.75" x14ac:dyDescent="0.25">
      <c r="A85" s="105" t="s">
        <v>87</v>
      </c>
      <c r="B85" s="16" t="s">
        <v>53</v>
      </c>
      <c r="C85" s="106">
        <v>51431332</v>
      </c>
      <c r="D85" s="22" t="s">
        <v>54</v>
      </c>
      <c r="E85" s="100">
        <v>7000</v>
      </c>
      <c r="F85" s="21">
        <v>322.18200000000002</v>
      </c>
      <c r="G85" s="21">
        <v>323.93299999999999</v>
      </c>
      <c r="H85" s="18">
        <f>(G85-F85)*E85</f>
        <v>12256.999999999834</v>
      </c>
      <c r="I85" s="16"/>
      <c r="J85" s="58"/>
    </row>
    <row r="86" spans="1:10" ht="15.75" x14ac:dyDescent="0.25">
      <c r="A86" s="27" t="s">
        <v>88</v>
      </c>
      <c r="B86" s="16" t="s">
        <v>104</v>
      </c>
      <c r="C86" s="109">
        <v>150773</v>
      </c>
      <c r="D86" s="22" t="s">
        <v>54</v>
      </c>
      <c r="E86" s="109">
        <v>20</v>
      </c>
      <c r="F86" s="17">
        <v>15428.7</v>
      </c>
      <c r="G86" s="17">
        <v>15437.1</v>
      </c>
      <c r="H86" s="18">
        <f>(G86-F86)*E86</f>
        <v>167.99999999999272</v>
      </c>
      <c r="I86" s="51"/>
      <c r="J86" s="58"/>
    </row>
    <row r="87" spans="1:10" ht="15.75" x14ac:dyDescent="0.25">
      <c r="A87" s="27" t="s">
        <v>90</v>
      </c>
      <c r="B87" s="16" t="s">
        <v>104</v>
      </c>
      <c r="C87" s="109">
        <v>150791</v>
      </c>
      <c r="D87" s="22" t="s">
        <v>54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11"/>
      <c r="C88" s="32"/>
      <c r="D88" s="82"/>
      <c r="E88" s="82"/>
      <c r="F88" s="21"/>
      <c r="G88" s="21"/>
      <c r="H88" s="48">
        <f>H84+H85</f>
        <v>17912.999999999982</v>
      </c>
      <c r="I88" s="85">
        <f>H88-H91-H86-H87</f>
        <v>465.0000000001528</v>
      </c>
      <c r="J88" s="25">
        <f>I88/H88</f>
        <v>2.5958800870884455E-2</v>
      </c>
    </row>
    <row r="89" spans="1:10" ht="15.75" x14ac:dyDescent="0.25">
      <c r="A89" s="27" t="s">
        <v>105</v>
      </c>
      <c r="B89" s="16" t="s">
        <v>53</v>
      </c>
      <c r="C89" s="106">
        <v>51431342</v>
      </c>
      <c r="D89" s="88" t="s">
        <v>35</v>
      </c>
      <c r="E89" s="16">
        <v>4800</v>
      </c>
      <c r="F89" s="21">
        <v>338.91</v>
      </c>
      <c r="G89" s="21">
        <v>340.05</v>
      </c>
      <c r="H89" s="18">
        <f>(G89-F89)*E89</f>
        <v>5471.9999999999345</v>
      </c>
      <c r="I89" s="51"/>
      <c r="J89" s="52"/>
    </row>
    <row r="90" spans="1:10" ht="15.75" x14ac:dyDescent="0.25">
      <c r="A90" s="27" t="s">
        <v>106</v>
      </c>
      <c r="B90" s="16" t="s">
        <v>53</v>
      </c>
      <c r="C90" s="106">
        <v>51431343</v>
      </c>
      <c r="D90" s="88" t="s">
        <v>35</v>
      </c>
      <c r="E90" s="16">
        <v>4800</v>
      </c>
      <c r="F90" s="21">
        <v>456.07600000000002</v>
      </c>
      <c r="G90" s="21">
        <v>458.536</v>
      </c>
      <c r="H90" s="18">
        <f>(G90-F90)*E90</f>
        <v>11807.999999999902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17279.999999999836</v>
      </c>
      <c r="I91" s="85">
        <f>H91-H99</f>
        <v>-148.80000000019209</v>
      </c>
      <c r="J91" s="25">
        <f>I91/H91</f>
        <v>-8.6111111111223087E-3</v>
      </c>
    </row>
    <row r="92" spans="1:10" ht="15.75" x14ac:dyDescent="0.25">
      <c r="A92" s="27" t="s">
        <v>108</v>
      </c>
      <c r="B92" s="16" t="s">
        <v>53</v>
      </c>
      <c r="C92" s="106">
        <v>51431347</v>
      </c>
      <c r="D92" s="22" t="s">
        <v>54</v>
      </c>
      <c r="E92" s="16">
        <v>1200</v>
      </c>
      <c r="F92" s="21">
        <v>1031.903</v>
      </c>
      <c r="G92" s="21">
        <v>1040.326</v>
      </c>
      <c r="H92" s="18">
        <f t="shared" ref="H92:H100" si="4">(G92-F92)*E92</f>
        <v>10107.600000000002</v>
      </c>
      <c r="I92" s="51"/>
      <c r="J92" s="52"/>
    </row>
    <row r="93" spans="1:10" ht="15.75" x14ac:dyDescent="0.25">
      <c r="A93" s="27" t="s">
        <v>109</v>
      </c>
      <c r="B93" s="16" t="s">
        <v>53</v>
      </c>
      <c r="C93" s="106">
        <v>51431339</v>
      </c>
      <c r="D93" s="22" t="s">
        <v>54</v>
      </c>
      <c r="E93" s="16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6" t="s">
        <v>53</v>
      </c>
      <c r="C94" s="106">
        <v>51217244</v>
      </c>
      <c r="D94" s="16" t="s">
        <v>38</v>
      </c>
      <c r="E94" s="16">
        <v>600</v>
      </c>
      <c r="F94" s="30">
        <v>283.827</v>
      </c>
      <c r="G94" s="30">
        <v>286.56</v>
      </c>
      <c r="H94" s="18">
        <f t="shared" si="4"/>
        <v>1639.8000000000025</v>
      </c>
      <c r="I94" s="51"/>
      <c r="J94" s="52"/>
    </row>
    <row r="95" spans="1:10" ht="15.75" x14ac:dyDescent="0.25">
      <c r="A95" s="27" t="s">
        <v>111</v>
      </c>
      <c r="B95" s="16" t="s">
        <v>53</v>
      </c>
      <c r="C95" s="106">
        <v>51217267</v>
      </c>
      <c r="D95" s="88" t="s">
        <v>64</v>
      </c>
      <c r="E95" s="16">
        <v>2400</v>
      </c>
      <c r="F95" s="30">
        <v>19.385000000000002</v>
      </c>
      <c r="G95" s="30">
        <v>19.416</v>
      </c>
      <c r="H95" s="18">
        <f t="shared" si="4"/>
        <v>74.399999999997135</v>
      </c>
      <c r="I95" s="51"/>
      <c r="J95" s="52"/>
    </row>
    <row r="96" spans="1:10" ht="15.75" x14ac:dyDescent="0.25">
      <c r="A96" s="27" t="s">
        <v>112</v>
      </c>
      <c r="B96" s="16" t="s">
        <v>53</v>
      </c>
      <c r="C96" s="16">
        <v>51555165</v>
      </c>
      <c r="D96" s="22" t="s">
        <v>54</v>
      </c>
      <c r="E96" s="16">
        <v>1200</v>
      </c>
      <c r="F96" s="30">
        <v>771.62699999999995</v>
      </c>
      <c r="G96" s="30">
        <v>771.62699999999995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6" t="s">
        <v>53</v>
      </c>
      <c r="C97" s="106">
        <v>51431346</v>
      </c>
      <c r="D97" s="114" t="s">
        <v>38</v>
      </c>
      <c r="E97" s="114">
        <v>600</v>
      </c>
      <c r="F97" s="30">
        <v>314.75900000000001</v>
      </c>
      <c r="G97" s="30">
        <v>315.13600000000002</v>
      </c>
      <c r="H97" s="115">
        <f t="shared" si="4"/>
        <v>226.20000000000573</v>
      </c>
      <c r="I97" s="116"/>
      <c r="J97" s="117"/>
    </row>
    <row r="98" spans="1:10" ht="15.75" x14ac:dyDescent="0.25">
      <c r="A98" s="27" t="s">
        <v>114</v>
      </c>
      <c r="B98" s="16" t="s">
        <v>53</v>
      </c>
      <c r="C98" s="106">
        <v>51431352</v>
      </c>
      <c r="D98" s="88" t="s">
        <v>22</v>
      </c>
      <c r="E98" s="16">
        <v>3600</v>
      </c>
      <c r="F98" s="21">
        <v>182.92599999999999</v>
      </c>
      <c r="G98" s="21">
        <v>184.374</v>
      </c>
      <c r="H98" s="18">
        <f t="shared" si="4"/>
        <v>5212.8000000000266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17428.800000000028</v>
      </c>
      <c r="I99" s="51"/>
      <c r="J99" s="52"/>
    </row>
    <row r="100" spans="1:10" ht="15.75" x14ac:dyDescent="0.25">
      <c r="A100" s="45" t="s">
        <v>115</v>
      </c>
      <c r="B100" s="16" t="s">
        <v>53</v>
      </c>
      <c r="C100" s="120">
        <v>51431357</v>
      </c>
      <c r="D100" s="22" t="s">
        <v>64</v>
      </c>
      <c r="E100" s="22">
        <v>14000</v>
      </c>
      <c r="F100" s="28">
        <v>734.15800000000002</v>
      </c>
      <c r="G100" s="28">
        <v>737.93499999999995</v>
      </c>
      <c r="H100" s="121">
        <f t="shared" si="4"/>
        <v>52877.999999999018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116</v>
      </c>
      <c r="G3" s="4" t="s">
        <v>117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6" t="s">
        <v>14</v>
      </c>
      <c r="C5" s="16">
        <v>51555166</v>
      </c>
      <c r="D5" s="16" t="s">
        <v>15</v>
      </c>
      <c r="E5" s="16">
        <v>132000</v>
      </c>
      <c r="F5" s="17">
        <v>2.8290000000000002</v>
      </c>
      <c r="G5" s="17">
        <v>2.8410000000000002</v>
      </c>
      <c r="H5" s="18">
        <f>(G5-F5)*E5</f>
        <v>1584.0000000000014</v>
      </c>
      <c r="I5" s="19"/>
      <c r="J5" s="20"/>
    </row>
    <row r="6" spans="1:10" ht="15.75" x14ac:dyDescent="0.25">
      <c r="A6" s="15" t="s">
        <v>16</v>
      </c>
      <c r="B6" s="16" t="s">
        <v>14</v>
      </c>
      <c r="C6" s="16">
        <v>51555191</v>
      </c>
      <c r="D6" s="16" t="s">
        <v>15</v>
      </c>
      <c r="E6" s="16">
        <v>132000</v>
      </c>
      <c r="F6" s="21">
        <v>316.74700000000001</v>
      </c>
      <c r="G6" s="21">
        <v>318.74099999999999</v>
      </c>
      <c r="H6" s="18">
        <f>(G6-F6)*E6</f>
        <v>263207.99999999622</v>
      </c>
      <c r="I6" s="19"/>
      <c r="J6" s="20"/>
    </row>
    <row r="7" spans="1:10" ht="15.75" x14ac:dyDescent="0.25">
      <c r="A7" s="207" t="s">
        <v>17</v>
      </c>
      <c r="B7" s="208"/>
      <c r="C7" s="16"/>
      <c r="D7" s="22"/>
      <c r="E7" s="16"/>
      <c r="H7" s="23">
        <f>H5+H6</f>
        <v>264791.99999999622</v>
      </c>
      <c r="I7" s="24">
        <f>H7-H10-H20</f>
        <v>2034.000000000975</v>
      </c>
      <c r="J7" s="25">
        <f>I7/H7</f>
        <v>7.6815009516941748E-3</v>
      </c>
    </row>
    <row r="8" spans="1:10" ht="15.75" x14ac:dyDescent="0.25">
      <c r="A8" s="26" t="s">
        <v>18</v>
      </c>
      <c r="B8" s="16" t="s">
        <v>14</v>
      </c>
      <c r="C8" s="16">
        <v>51097629</v>
      </c>
      <c r="D8" s="22" t="s">
        <v>15</v>
      </c>
      <c r="E8" s="16">
        <v>42000</v>
      </c>
      <c r="F8" s="21">
        <v>981.25800000000004</v>
      </c>
      <c r="G8" s="21">
        <v>985.63699999999994</v>
      </c>
      <c r="H8" s="18">
        <f>(G8-F8)*E8</f>
        <v>183917.99999999604</v>
      </c>
      <c r="I8" s="19"/>
      <c r="J8" s="20"/>
    </row>
    <row r="9" spans="1:10" ht="15.75" x14ac:dyDescent="0.25">
      <c r="A9" s="26" t="s">
        <v>19</v>
      </c>
      <c r="B9" s="16" t="s">
        <v>14</v>
      </c>
      <c r="C9" s="16">
        <v>51616820</v>
      </c>
      <c r="D9" s="22" t="s">
        <v>15</v>
      </c>
      <c r="E9" s="16">
        <v>42000</v>
      </c>
      <c r="F9" s="21">
        <v>4.8120000000000003</v>
      </c>
      <c r="G9" s="21">
        <v>4.8360000000000003</v>
      </c>
      <c r="H9" s="18">
        <f>(G9-F9)*E9</f>
        <v>1008.0000000000009</v>
      </c>
      <c r="I9" s="19"/>
      <c r="J9" s="20"/>
    </row>
    <row r="10" spans="1:10" ht="15.75" x14ac:dyDescent="0.25">
      <c r="A10" s="207" t="s">
        <v>20</v>
      </c>
      <c r="B10" s="208"/>
      <c r="C10" s="16"/>
      <c r="D10" s="22"/>
      <c r="E10" s="16"/>
      <c r="F10" s="21"/>
      <c r="G10" s="21"/>
      <c r="H10" s="23">
        <f>H8+H9</f>
        <v>184925.99999999604</v>
      </c>
      <c r="I10" s="24">
        <f>H10-H17</f>
        <v>20.999999993829988</v>
      </c>
      <c r="J10" s="25">
        <f>I10/H10</f>
        <v>1.1355893705498652E-4</v>
      </c>
    </row>
    <row r="11" spans="1:10" ht="15.75" x14ac:dyDescent="0.25">
      <c r="A11" s="27" t="s">
        <v>21</v>
      </c>
      <c r="B11" s="16" t="s">
        <v>14</v>
      </c>
      <c r="C11" s="16">
        <v>51217286</v>
      </c>
      <c r="D11" s="22" t="s">
        <v>22</v>
      </c>
      <c r="E11" s="16">
        <v>21000</v>
      </c>
      <c r="F11" s="21">
        <v>779.22</v>
      </c>
      <c r="G11" s="21">
        <v>782.45</v>
      </c>
      <c r="H11" s="18">
        <f t="shared" ref="H11:H16" si="0">(G11-F11)*E11</f>
        <v>67830.000000000378</v>
      </c>
      <c r="I11" s="19"/>
      <c r="J11" s="20"/>
    </row>
    <row r="12" spans="1:10" ht="15.75" x14ac:dyDescent="0.25">
      <c r="A12" s="27" t="s">
        <v>23</v>
      </c>
      <c r="B12" s="16" t="s">
        <v>14</v>
      </c>
      <c r="C12" s="16">
        <v>51217292</v>
      </c>
      <c r="D12" s="22" t="s">
        <v>22</v>
      </c>
      <c r="E12" s="16">
        <v>21000</v>
      </c>
      <c r="F12" s="28">
        <v>3.2330000000000001</v>
      </c>
      <c r="G12" s="28">
        <v>3.258</v>
      </c>
      <c r="H12" s="18">
        <f>(G12-F12)*E12</f>
        <v>524.99999999999818</v>
      </c>
      <c r="I12" s="19"/>
      <c r="J12" s="20"/>
    </row>
    <row r="13" spans="1:10" ht="15.75" x14ac:dyDescent="0.25">
      <c r="A13" s="27" t="s">
        <v>24</v>
      </c>
      <c r="B13" s="16" t="s">
        <v>14</v>
      </c>
      <c r="C13" s="16">
        <v>51217271</v>
      </c>
      <c r="D13" s="22" t="s">
        <v>22</v>
      </c>
      <c r="E13" s="16">
        <v>21000</v>
      </c>
      <c r="F13" s="21">
        <v>569.08000000000004</v>
      </c>
      <c r="G13" s="21">
        <v>571.69100000000003</v>
      </c>
      <c r="H13" s="18">
        <f t="shared" si="0"/>
        <v>54830.999999999789</v>
      </c>
      <c r="I13" s="19"/>
      <c r="J13" s="20"/>
    </row>
    <row r="14" spans="1:10" ht="15.75" x14ac:dyDescent="0.25">
      <c r="A14" s="27" t="s">
        <v>25</v>
      </c>
      <c r="B14" s="16" t="s">
        <v>14</v>
      </c>
      <c r="C14" s="16">
        <v>51217276</v>
      </c>
      <c r="D14" s="22" t="s">
        <v>22</v>
      </c>
      <c r="E14" s="16">
        <v>21000</v>
      </c>
      <c r="F14" s="28">
        <v>0.45800000000000002</v>
      </c>
      <c r="G14" s="28">
        <v>0.46600000000000003</v>
      </c>
      <c r="H14" s="18">
        <f>(G14-F14)*E14</f>
        <v>168.00000000000014</v>
      </c>
      <c r="I14" s="19"/>
      <c r="J14" s="20"/>
    </row>
    <row r="15" spans="1:10" ht="15.75" x14ac:dyDescent="0.25">
      <c r="A15" s="27" t="s">
        <v>26</v>
      </c>
      <c r="B15" s="16" t="s">
        <v>14</v>
      </c>
      <c r="C15" s="16">
        <v>51100990</v>
      </c>
      <c r="D15" s="22" t="s">
        <v>22</v>
      </c>
      <c r="E15" s="16">
        <v>21000</v>
      </c>
      <c r="F15" s="29">
        <v>619.95399999999995</v>
      </c>
      <c r="G15" s="29">
        <v>622.87300000000005</v>
      </c>
      <c r="H15" s="18">
        <f t="shared" si="0"/>
        <v>61299.000000002023</v>
      </c>
      <c r="I15" s="19"/>
      <c r="J15" s="20"/>
    </row>
    <row r="16" spans="1:10" ht="15.75" x14ac:dyDescent="0.25">
      <c r="A16" s="27" t="s">
        <v>27</v>
      </c>
      <c r="B16" s="16" t="s">
        <v>14</v>
      </c>
      <c r="C16" s="16">
        <v>51097622</v>
      </c>
      <c r="D16" s="22" t="s">
        <v>22</v>
      </c>
      <c r="E16" s="16">
        <v>21000</v>
      </c>
      <c r="F16" s="21">
        <v>2.7269999999999999</v>
      </c>
      <c r="G16" s="21">
        <v>2.7389999999999999</v>
      </c>
      <c r="H16" s="18">
        <f t="shared" si="0"/>
        <v>252.00000000000023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6"/>
      <c r="D17" s="22"/>
      <c r="E17" s="16"/>
      <c r="F17" s="21"/>
      <c r="G17" s="21"/>
      <c r="H17" s="23">
        <f>H11+H12+H13+H14+H15+H16</f>
        <v>184905.00000000221</v>
      </c>
      <c r="I17" s="19"/>
      <c r="J17" s="20"/>
    </row>
    <row r="18" spans="1:10" ht="15.75" x14ac:dyDescent="0.25">
      <c r="A18" s="26" t="s">
        <v>30</v>
      </c>
      <c r="B18" s="16" t="s">
        <v>14</v>
      </c>
      <c r="C18" s="16">
        <v>51097617</v>
      </c>
      <c r="D18" s="22" t="s">
        <v>31</v>
      </c>
      <c r="E18" s="16">
        <v>18000</v>
      </c>
      <c r="F18" s="30">
        <v>739.04100000000005</v>
      </c>
      <c r="G18" s="30">
        <v>743.36500000000001</v>
      </c>
      <c r="H18" s="18">
        <f>(G18-F18)*E18</f>
        <v>77831.9999999992</v>
      </c>
      <c r="I18" s="19"/>
      <c r="J18" s="20"/>
    </row>
    <row r="19" spans="1:10" ht="15.75" x14ac:dyDescent="0.25">
      <c r="A19" s="26" t="s">
        <v>32</v>
      </c>
      <c r="B19" s="16" t="s">
        <v>14</v>
      </c>
      <c r="C19" s="16">
        <v>51097655</v>
      </c>
      <c r="D19" s="22" t="s">
        <v>31</v>
      </c>
      <c r="E19" s="16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6"/>
      <c r="D20" s="22"/>
      <c r="E20" s="16"/>
      <c r="F20" s="30"/>
      <c r="G20" s="30"/>
      <c r="H20" s="23">
        <f>H18+H19</f>
        <v>77831.9999999992</v>
      </c>
      <c r="I20" s="24">
        <f>H20-H35</f>
        <v>3348.5999999988562</v>
      </c>
      <c r="J20" s="25">
        <f>I20/H20</f>
        <v>4.3023435090950905E-2</v>
      </c>
    </row>
    <row r="21" spans="1:10" ht="15.75" x14ac:dyDescent="0.25">
      <c r="A21" s="15" t="s">
        <v>34</v>
      </c>
      <c r="B21" s="16" t="s">
        <v>14</v>
      </c>
      <c r="C21" s="16">
        <v>51217282</v>
      </c>
      <c r="D21" s="22" t="s">
        <v>35</v>
      </c>
      <c r="E21" s="16">
        <v>4800</v>
      </c>
      <c r="F21" s="21">
        <v>379.15800000000002</v>
      </c>
      <c r="G21" s="21">
        <v>379.21600000000001</v>
      </c>
      <c r="H21" s="18">
        <f t="shared" ref="H21:H34" si="1">(G21-F21)*E21</f>
        <v>278.39999999996508</v>
      </c>
      <c r="I21" s="19" t="s">
        <v>28</v>
      </c>
      <c r="J21" s="20"/>
    </row>
    <row r="22" spans="1:10" ht="15.75" x14ac:dyDescent="0.25">
      <c r="A22" s="15" t="s">
        <v>36</v>
      </c>
      <c r="B22" s="16" t="s">
        <v>14</v>
      </c>
      <c r="C22" s="16">
        <v>51217274</v>
      </c>
      <c r="D22" s="22" t="s">
        <v>35</v>
      </c>
      <c r="E22" s="16">
        <v>4800</v>
      </c>
      <c r="F22" s="21">
        <v>1167.4169999999999</v>
      </c>
      <c r="G22" s="21">
        <v>1173.4880000000001</v>
      </c>
      <c r="H22" s="18">
        <f t="shared" si="1"/>
        <v>29140.800000000672</v>
      </c>
      <c r="I22" s="19"/>
      <c r="J22" s="20"/>
    </row>
    <row r="23" spans="1:10" ht="15.75" x14ac:dyDescent="0.25">
      <c r="A23" s="15" t="s">
        <v>37</v>
      </c>
      <c r="B23" s="16" t="s">
        <v>14</v>
      </c>
      <c r="C23" s="16">
        <v>51097664</v>
      </c>
      <c r="D23" s="22" t="s">
        <v>38</v>
      </c>
      <c r="E23" s="16">
        <v>600</v>
      </c>
      <c r="F23" s="21">
        <v>4.2789999999999999</v>
      </c>
      <c r="G23" s="21">
        <v>4.2949999999999999</v>
      </c>
      <c r="H23" s="18">
        <f t="shared" si="1"/>
        <v>9.6000000000000085</v>
      </c>
      <c r="I23" s="19"/>
      <c r="J23" s="20"/>
    </row>
    <row r="24" spans="1:10" ht="15.75" x14ac:dyDescent="0.25">
      <c r="A24" s="15" t="s">
        <v>39</v>
      </c>
      <c r="B24" s="16" t="s">
        <v>14</v>
      </c>
      <c r="C24" s="16">
        <v>51097615</v>
      </c>
      <c r="D24" s="22" t="s">
        <v>38</v>
      </c>
      <c r="E24" s="16">
        <v>600</v>
      </c>
      <c r="F24" s="21">
        <v>33.53</v>
      </c>
      <c r="G24" s="21">
        <v>33.914999999999999</v>
      </c>
      <c r="H24" s="18">
        <f t="shared" si="1"/>
        <v>230.99999999999881</v>
      </c>
      <c r="I24" s="19"/>
      <c r="J24" s="20"/>
    </row>
    <row r="25" spans="1:10" ht="15.75" x14ac:dyDescent="0.25">
      <c r="A25" s="15" t="s">
        <v>40</v>
      </c>
      <c r="B25" s="16" t="s">
        <v>14</v>
      </c>
      <c r="C25" s="16">
        <v>51217264</v>
      </c>
      <c r="D25" s="22" t="s">
        <v>38</v>
      </c>
      <c r="E25" s="16">
        <v>600</v>
      </c>
      <c r="F25" s="21">
        <v>83.325999999999993</v>
      </c>
      <c r="G25" s="21">
        <v>84</v>
      </c>
      <c r="H25" s="18">
        <f t="shared" si="1"/>
        <v>404.40000000000396</v>
      </c>
      <c r="I25" s="19"/>
      <c r="J25" s="20"/>
    </row>
    <row r="26" spans="1:10" ht="15.75" x14ac:dyDescent="0.25">
      <c r="A26" s="15" t="s">
        <v>41</v>
      </c>
      <c r="B26" s="16" t="s">
        <v>14</v>
      </c>
      <c r="C26" s="16">
        <v>51217288</v>
      </c>
      <c r="D26" s="22" t="s">
        <v>38</v>
      </c>
      <c r="E26" s="16">
        <v>600</v>
      </c>
      <c r="F26" s="21">
        <v>19.529</v>
      </c>
      <c r="G26" s="21">
        <v>19.561</v>
      </c>
      <c r="H26" s="18">
        <f t="shared" si="1"/>
        <v>19.200000000000017</v>
      </c>
      <c r="I26" s="19" t="s">
        <v>28</v>
      </c>
      <c r="J26" s="20"/>
    </row>
    <row r="27" spans="1:10" ht="15.75" x14ac:dyDescent="0.25">
      <c r="A27" s="15" t="s">
        <v>42</v>
      </c>
      <c r="B27" s="16" t="s">
        <v>14</v>
      </c>
      <c r="C27" s="16">
        <v>51217279</v>
      </c>
      <c r="D27" s="22" t="s">
        <v>38</v>
      </c>
      <c r="E27" s="16">
        <v>600</v>
      </c>
      <c r="F27" s="21">
        <v>13.648</v>
      </c>
      <c r="G27" s="21">
        <v>13.702</v>
      </c>
      <c r="H27" s="18">
        <f t="shared" si="1"/>
        <v>32.400000000000162</v>
      </c>
      <c r="I27" s="19" t="s">
        <v>28</v>
      </c>
      <c r="J27" s="20"/>
    </row>
    <row r="28" spans="1:10" ht="15.75" x14ac:dyDescent="0.25">
      <c r="A28" s="15" t="s">
        <v>43</v>
      </c>
      <c r="B28" s="16" t="s">
        <v>14</v>
      </c>
      <c r="C28" s="16">
        <v>51217272</v>
      </c>
      <c r="D28" s="22" t="s">
        <v>38</v>
      </c>
      <c r="E28" s="16">
        <v>600</v>
      </c>
      <c r="F28" s="31">
        <v>13.388</v>
      </c>
      <c r="G28" s="31">
        <v>13.442</v>
      </c>
      <c r="H28" s="18">
        <f t="shared" si="1"/>
        <v>32.400000000000162</v>
      </c>
      <c r="I28" s="19"/>
      <c r="J28" s="20"/>
    </row>
    <row r="29" spans="1:10" ht="15.75" x14ac:dyDescent="0.25">
      <c r="A29" s="15" t="s">
        <v>44</v>
      </c>
      <c r="B29" s="16" t="s">
        <v>14</v>
      </c>
      <c r="C29" s="16">
        <v>51616744</v>
      </c>
      <c r="D29" s="22">
        <f>300/5</f>
        <v>60</v>
      </c>
      <c r="E29" s="16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6" t="s">
        <v>14</v>
      </c>
      <c r="C30" s="16">
        <v>51555226</v>
      </c>
      <c r="D30" s="22">
        <f>300/5</f>
        <v>60</v>
      </c>
      <c r="E30" s="16">
        <v>3600</v>
      </c>
      <c r="F30" s="31">
        <v>394.14400000000001</v>
      </c>
      <c r="G30" s="31">
        <v>398.24599999999998</v>
      </c>
      <c r="H30" s="18">
        <f>(G30-F30)*E30</f>
        <v>14767.199999999912</v>
      </c>
      <c r="I30" s="19"/>
      <c r="J30" s="20"/>
    </row>
    <row r="31" spans="1:10" ht="15.75" x14ac:dyDescent="0.25">
      <c r="A31" s="15" t="s">
        <v>46</v>
      </c>
      <c r="B31" s="16" t="s">
        <v>14</v>
      </c>
      <c r="C31" s="16">
        <v>51097658</v>
      </c>
      <c r="D31" s="22" t="s">
        <v>35</v>
      </c>
      <c r="E31" s="16">
        <v>4800</v>
      </c>
      <c r="F31" s="31">
        <v>564.83000000000004</v>
      </c>
      <c r="G31" s="31">
        <v>568.375</v>
      </c>
      <c r="H31" s="18">
        <f t="shared" si="1"/>
        <v>17015.999999999804</v>
      </c>
      <c r="I31" s="19"/>
      <c r="J31" s="20"/>
    </row>
    <row r="32" spans="1:10" ht="15.75" x14ac:dyDescent="0.25">
      <c r="A32" s="15" t="s">
        <v>47</v>
      </c>
      <c r="B32" s="16" t="s">
        <v>14</v>
      </c>
      <c r="C32" s="16">
        <v>51097635</v>
      </c>
      <c r="D32" s="22" t="s">
        <v>35</v>
      </c>
      <c r="E32" s="16">
        <v>4800</v>
      </c>
      <c r="F32" s="31">
        <v>48.44</v>
      </c>
      <c r="G32" s="31">
        <v>48.441000000000003</v>
      </c>
      <c r="H32" s="18">
        <f t="shared" si="1"/>
        <v>4.8000000000229193</v>
      </c>
      <c r="I32" s="19"/>
      <c r="J32" s="20"/>
    </row>
    <row r="33" spans="1:10" ht="15.75" x14ac:dyDescent="0.25">
      <c r="A33" s="15" t="s">
        <v>48</v>
      </c>
      <c r="B33" s="16" t="s">
        <v>14</v>
      </c>
      <c r="C33" s="32">
        <v>51097633</v>
      </c>
      <c r="D33" s="22" t="s">
        <v>35</v>
      </c>
      <c r="E33" s="16">
        <v>4800</v>
      </c>
      <c r="F33" s="31">
        <v>115.813</v>
      </c>
      <c r="G33" s="31">
        <v>118.34699999999999</v>
      </c>
      <c r="H33" s="33">
        <f t="shared" si="1"/>
        <v>12163.199999999961</v>
      </c>
      <c r="I33" s="34"/>
      <c r="J33" s="35"/>
    </row>
    <row r="34" spans="1:10" ht="15.75" x14ac:dyDescent="0.25">
      <c r="A34" s="15" t="s">
        <v>49</v>
      </c>
      <c r="B34" s="16" t="s">
        <v>14</v>
      </c>
      <c r="C34" s="32">
        <v>51097662</v>
      </c>
      <c r="D34" s="22" t="s">
        <v>35</v>
      </c>
      <c r="E34" s="16">
        <v>4800</v>
      </c>
      <c r="F34" s="31">
        <v>2.1259999999999999</v>
      </c>
      <c r="G34" s="31">
        <v>2.206</v>
      </c>
      <c r="H34" s="33">
        <f t="shared" si="1"/>
        <v>384.00000000000034</v>
      </c>
      <c r="I34" s="34"/>
      <c r="J34" s="35"/>
    </row>
    <row r="35" spans="1:10" ht="15.75" x14ac:dyDescent="0.25">
      <c r="A35" s="207" t="s">
        <v>50</v>
      </c>
      <c r="B35" s="208"/>
      <c r="C35" s="16"/>
      <c r="D35" s="22"/>
      <c r="E35" s="16"/>
      <c r="F35" s="36"/>
      <c r="G35" s="36"/>
      <c r="H35" s="23">
        <f>H21+H22+H23+H24+H25+H26+H27+H28+H29+H30+H31+H32+H33+H34</f>
        <v>74483.400000000343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6" t="s">
        <v>53</v>
      </c>
      <c r="C37" s="16">
        <v>51555209</v>
      </c>
      <c r="D37" s="22" t="s">
        <v>54</v>
      </c>
      <c r="E37" s="16">
        <v>7000</v>
      </c>
      <c r="F37" s="17">
        <v>4.5190000000000001</v>
      </c>
      <c r="G37" s="17">
        <v>4.5659999999999998</v>
      </c>
      <c r="H37" s="41">
        <f>(G37-F37)*E37</f>
        <v>328.99999999999795</v>
      </c>
      <c r="I37" s="42"/>
      <c r="J37" s="14"/>
    </row>
    <row r="38" spans="1:10" ht="15.75" x14ac:dyDescent="0.25">
      <c r="A38" s="15" t="s">
        <v>55</v>
      </c>
      <c r="B38" s="16" t="s">
        <v>53</v>
      </c>
      <c r="C38" s="16">
        <v>51555209</v>
      </c>
      <c r="D38" s="22" t="s">
        <v>54</v>
      </c>
      <c r="E38" s="16">
        <v>7000</v>
      </c>
      <c r="F38" s="21">
        <v>9.1649999999999991</v>
      </c>
      <c r="G38" s="21">
        <v>9.2159999999999993</v>
      </c>
      <c r="H38" s="18">
        <f>(G38-F38)*E38</f>
        <v>357.00000000000108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6" t="s">
        <v>53</v>
      </c>
      <c r="C40" s="16">
        <v>51097674</v>
      </c>
      <c r="D40" s="16" t="s">
        <v>15</v>
      </c>
      <c r="E40" s="16">
        <v>7200</v>
      </c>
      <c r="F40" s="21">
        <v>527.36599999999999</v>
      </c>
      <c r="G40" s="21">
        <v>529.69600000000003</v>
      </c>
      <c r="H40" s="18">
        <f>(G40-F40)*E40</f>
        <v>16776.000000000295</v>
      </c>
      <c r="I40" s="47"/>
      <c r="J40" s="20"/>
    </row>
    <row r="41" spans="1:10" ht="15.75" x14ac:dyDescent="0.25">
      <c r="A41" s="27" t="s">
        <v>58</v>
      </c>
      <c r="B41" s="16" t="s">
        <v>53</v>
      </c>
      <c r="C41" s="16">
        <v>51259257</v>
      </c>
      <c r="D41" s="16" t="s">
        <v>15</v>
      </c>
      <c r="E41" s="16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6"/>
      <c r="C42" s="16"/>
      <c r="D42" s="16"/>
      <c r="E42" s="16"/>
      <c r="F42" s="21"/>
      <c r="G42" s="21"/>
      <c r="H42" s="48">
        <f>H40+H41</f>
        <v>16776.000000000295</v>
      </c>
      <c r="I42" s="24">
        <f>H42-H50</f>
        <v>-115.99999999980719</v>
      </c>
      <c r="J42" s="25">
        <f>I42/H42</f>
        <v>-6.9146399618386471E-3</v>
      </c>
    </row>
    <row r="43" spans="1:10" ht="15.75" x14ac:dyDescent="0.25">
      <c r="A43" s="15" t="s">
        <v>60</v>
      </c>
      <c r="B43" s="16"/>
      <c r="C43" s="16"/>
      <c r="D43" s="22"/>
      <c r="E43" s="16"/>
      <c r="H43" s="18"/>
      <c r="I43" s="43"/>
      <c r="J43" s="20"/>
    </row>
    <row r="44" spans="1:10" ht="15.75" x14ac:dyDescent="0.25">
      <c r="A44" s="27" t="s">
        <v>61</v>
      </c>
      <c r="B44" s="16" t="s">
        <v>53</v>
      </c>
      <c r="C44" s="32">
        <v>51097648</v>
      </c>
      <c r="D44" s="16" t="s">
        <v>54</v>
      </c>
      <c r="E44" s="16">
        <v>1200</v>
      </c>
      <c r="F44" s="21">
        <v>431.721</v>
      </c>
      <c r="G44" s="21">
        <v>433.80200000000002</v>
      </c>
      <c r="H44" s="33">
        <f>(G44-F44)*E44</f>
        <v>2497.2000000000207</v>
      </c>
      <c r="I44" s="43"/>
      <c r="J44" s="20"/>
    </row>
    <row r="45" spans="1:10" ht="15.75" x14ac:dyDescent="0.25">
      <c r="A45" s="27" t="s">
        <v>62</v>
      </c>
      <c r="B45" s="16" t="s">
        <v>53</v>
      </c>
      <c r="C45" s="32">
        <v>50555043</v>
      </c>
      <c r="D45" s="16" t="s">
        <v>54</v>
      </c>
      <c r="E45" s="16">
        <v>1200</v>
      </c>
      <c r="F45" s="21">
        <v>1809.09</v>
      </c>
      <c r="G45" s="21">
        <v>1816.7629999999999</v>
      </c>
      <c r="H45" s="33">
        <f>(G45-F45)*E45</f>
        <v>9207.6000000000022</v>
      </c>
      <c r="I45" s="43"/>
      <c r="J45" s="20"/>
    </row>
    <row r="46" spans="1:10" ht="15.75" x14ac:dyDescent="0.25">
      <c r="A46" s="27" t="s">
        <v>63</v>
      </c>
      <c r="B46" s="16" t="s">
        <v>53</v>
      </c>
      <c r="C46" s="32">
        <v>51259336</v>
      </c>
      <c r="D46" s="16" t="s">
        <v>64</v>
      </c>
      <c r="E46" s="16">
        <v>2400</v>
      </c>
      <c r="F46" s="21">
        <v>3.7519999999999998</v>
      </c>
      <c r="G46" s="21">
        <v>3.766</v>
      </c>
      <c r="H46" s="33">
        <f>(G46-F46)*E46</f>
        <v>33.600000000000563</v>
      </c>
      <c r="I46" s="43"/>
      <c r="J46" s="20"/>
    </row>
    <row r="47" spans="1:10" ht="15.75" x14ac:dyDescent="0.25">
      <c r="A47" s="27" t="s">
        <v>65</v>
      </c>
      <c r="B47" s="16" t="s">
        <v>53</v>
      </c>
      <c r="C47" s="32">
        <v>51259266</v>
      </c>
      <c r="D47" s="16" t="s">
        <v>54</v>
      </c>
      <c r="E47" s="16">
        <v>1200</v>
      </c>
      <c r="F47" s="21">
        <v>876.13599999999997</v>
      </c>
      <c r="G47" s="21">
        <v>880.06600000000003</v>
      </c>
      <c r="H47" s="33">
        <f>(G47-F47)*E47</f>
        <v>4716.0000000000764</v>
      </c>
      <c r="I47" s="43"/>
      <c r="J47" s="20"/>
    </row>
    <row r="48" spans="1:10" ht="15.75" x14ac:dyDescent="0.25">
      <c r="A48" s="27" t="s">
        <v>66</v>
      </c>
      <c r="B48" s="16" t="s">
        <v>53</v>
      </c>
      <c r="C48" s="32">
        <v>51431336</v>
      </c>
      <c r="D48" s="16" t="s">
        <v>54</v>
      </c>
      <c r="E48" s="16">
        <v>1200</v>
      </c>
      <c r="F48" s="21">
        <v>48.476999999999997</v>
      </c>
      <c r="G48" s="21">
        <v>48.8</v>
      </c>
      <c r="H48" s="33">
        <f>(G48-F48)*E48</f>
        <v>387.60000000000048</v>
      </c>
      <c r="I48" s="43"/>
      <c r="J48" s="20"/>
    </row>
    <row r="49" spans="1:10" ht="15.75" x14ac:dyDescent="0.25">
      <c r="A49" s="15" t="s">
        <v>67</v>
      </c>
      <c r="B49" s="16" t="s">
        <v>68</v>
      </c>
      <c r="C49" s="16">
        <v>49174</v>
      </c>
      <c r="D49" s="22" t="s">
        <v>54</v>
      </c>
      <c r="E49" s="16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16892.000000000102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6" t="s">
        <v>53</v>
      </c>
      <c r="C52" s="16">
        <v>51097603</v>
      </c>
      <c r="D52" s="22" t="s">
        <v>54</v>
      </c>
      <c r="E52" s="16">
        <v>7000</v>
      </c>
      <c r="F52" s="17">
        <v>1746.6849999999999</v>
      </c>
      <c r="G52" s="17">
        <v>1753.76</v>
      </c>
      <c r="H52" s="18">
        <f>(G52-F52)*E52</f>
        <v>49525.00000000032</v>
      </c>
      <c r="I52" s="43"/>
      <c r="J52" s="20"/>
    </row>
    <row r="53" spans="1:10" ht="15.75" x14ac:dyDescent="0.25">
      <c r="A53" s="27" t="s">
        <v>73</v>
      </c>
      <c r="B53" s="16" t="s">
        <v>53</v>
      </c>
      <c r="C53" s="16">
        <v>51097590</v>
      </c>
      <c r="D53" s="22" t="s">
        <v>54</v>
      </c>
      <c r="E53" s="16">
        <v>7000</v>
      </c>
      <c r="F53" s="21">
        <v>10.678000000000001</v>
      </c>
      <c r="G53" s="21">
        <v>10.754</v>
      </c>
      <c r="H53" s="18">
        <f>(G53-F53)*E53</f>
        <v>531.99999999999113</v>
      </c>
      <c r="I53" s="43"/>
      <c r="J53" s="20"/>
    </row>
    <row r="54" spans="1:10" ht="15.75" x14ac:dyDescent="0.25">
      <c r="A54" s="15" t="s">
        <v>67</v>
      </c>
      <c r="B54" s="16" t="s">
        <v>68</v>
      </c>
      <c r="C54" s="16">
        <v>49174</v>
      </c>
      <c r="D54" s="22" t="s">
        <v>54</v>
      </c>
      <c r="E54" s="16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6"/>
      <c r="D55" s="22"/>
      <c r="E55" s="16"/>
      <c r="F55" s="21"/>
      <c r="G55" s="21"/>
      <c r="H55" s="48">
        <f>H52+H53+H54</f>
        <v>50157.000000000313</v>
      </c>
      <c r="I55" s="47"/>
      <c r="J55" s="59"/>
    </row>
    <row r="56" spans="1:10" ht="15.75" x14ac:dyDescent="0.25">
      <c r="A56" s="27" t="s">
        <v>75</v>
      </c>
      <c r="B56" s="16" t="s">
        <v>53</v>
      </c>
      <c r="C56" s="16">
        <v>51100980</v>
      </c>
      <c r="D56" s="16" t="s">
        <v>76</v>
      </c>
      <c r="E56" s="16">
        <v>12000</v>
      </c>
      <c r="F56" s="21">
        <v>1027.511</v>
      </c>
      <c r="G56" s="21">
        <v>1031.681</v>
      </c>
      <c r="H56" s="18">
        <f>(G56-F56)*E56</f>
        <v>50040.000000000873</v>
      </c>
      <c r="I56" s="47"/>
      <c r="J56" s="58"/>
    </row>
    <row r="57" spans="1:10" ht="15.75" x14ac:dyDescent="0.25">
      <c r="A57" s="27" t="s">
        <v>77</v>
      </c>
      <c r="B57" s="16" t="s">
        <v>53</v>
      </c>
      <c r="C57" s="16">
        <v>51097623</v>
      </c>
      <c r="D57" s="16" t="s">
        <v>76</v>
      </c>
      <c r="E57" s="16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6"/>
      <c r="C58" s="16"/>
      <c r="D58" s="16"/>
      <c r="E58" s="16"/>
      <c r="F58" s="21"/>
      <c r="G58" s="21"/>
      <c r="H58" s="48">
        <f>H56+H57</f>
        <v>50040.000000000873</v>
      </c>
      <c r="I58" s="61">
        <f>H55-H65-H54</f>
        <v>-75.399999999397551</v>
      </c>
      <c r="J58" s="25">
        <f>I58/H58</f>
        <v>-1.5067945643364555E-3</v>
      </c>
    </row>
    <row r="59" spans="1:10" ht="15.75" x14ac:dyDescent="0.25">
      <c r="A59" s="27" t="s">
        <v>79</v>
      </c>
      <c r="B59" s="16" t="s">
        <v>53</v>
      </c>
      <c r="C59" s="16">
        <v>51097675</v>
      </c>
      <c r="D59" s="16" t="s">
        <v>35</v>
      </c>
      <c r="E59" s="16">
        <v>4800</v>
      </c>
      <c r="F59" s="21">
        <v>425.63900000000001</v>
      </c>
      <c r="G59" s="21">
        <v>428.80399999999997</v>
      </c>
      <c r="H59" s="18">
        <f t="shared" ref="H59:H64" si="2">(G59-F59)*E59</f>
        <v>15191.999999999825</v>
      </c>
      <c r="I59" s="62"/>
      <c r="J59" s="59"/>
    </row>
    <row r="60" spans="1:10" ht="15.75" x14ac:dyDescent="0.25">
      <c r="A60" s="27" t="s">
        <v>80</v>
      </c>
      <c r="B60" s="16" t="s">
        <v>53</v>
      </c>
      <c r="C60" s="16">
        <v>51100997</v>
      </c>
      <c r="D60" s="16" t="s">
        <v>22</v>
      </c>
      <c r="E60" s="16">
        <v>3600</v>
      </c>
      <c r="F60" s="21">
        <v>1287.769</v>
      </c>
      <c r="G60" s="21">
        <v>1290.81</v>
      </c>
      <c r="H60" s="18">
        <f t="shared" si="2"/>
        <v>10947.599999999784</v>
      </c>
      <c r="I60" s="62"/>
      <c r="J60" s="59"/>
    </row>
    <row r="61" spans="1:10" ht="15.75" x14ac:dyDescent="0.25">
      <c r="A61" s="27" t="s">
        <v>81</v>
      </c>
      <c r="B61" s="16" t="s">
        <v>53</v>
      </c>
      <c r="C61" s="16">
        <v>51555218</v>
      </c>
      <c r="D61" s="16">
        <f>400/5</f>
        <v>80</v>
      </c>
      <c r="E61" s="16">
        <v>4800</v>
      </c>
      <c r="F61" s="21">
        <v>50.143000000000001</v>
      </c>
      <c r="G61" s="21">
        <v>50.668999999999997</v>
      </c>
      <c r="H61" s="18">
        <f t="shared" si="2"/>
        <v>2524.799999999982</v>
      </c>
      <c r="I61" s="62"/>
      <c r="J61" s="59"/>
    </row>
    <row r="62" spans="1:10" ht="15.75" x14ac:dyDescent="0.25">
      <c r="A62" s="27" t="s">
        <v>82</v>
      </c>
      <c r="B62" s="16" t="s">
        <v>53</v>
      </c>
      <c r="C62" s="16">
        <v>51555151</v>
      </c>
      <c r="D62" s="16">
        <f>400/5</f>
        <v>80</v>
      </c>
      <c r="E62" s="16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6" t="s">
        <v>53</v>
      </c>
      <c r="C63" s="16">
        <v>51097599</v>
      </c>
      <c r="D63" s="16" t="s">
        <v>22</v>
      </c>
      <c r="E63" s="16">
        <v>3600</v>
      </c>
      <c r="F63" s="21">
        <v>899.88400000000001</v>
      </c>
      <c r="G63" s="21">
        <v>902.27800000000002</v>
      </c>
      <c r="H63" s="18">
        <f t="shared" si="2"/>
        <v>8618.4000000000196</v>
      </c>
      <c r="I63" s="62"/>
      <c r="J63" s="59"/>
    </row>
    <row r="64" spans="1:10" ht="15.75" x14ac:dyDescent="0.25">
      <c r="A64" s="27" t="s">
        <v>84</v>
      </c>
      <c r="B64" s="16" t="s">
        <v>53</v>
      </c>
      <c r="C64" s="16">
        <v>51097620</v>
      </c>
      <c r="D64" s="16" t="s">
        <v>35</v>
      </c>
      <c r="E64" s="16">
        <v>4800</v>
      </c>
      <c r="F64" s="21">
        <v>441.28100000000001</v>
      </c>
      <c r="G64" s="21">
        <v>443.95800000000003</v>
      </c>
      <c r="H64" s="18">
        <f t="shared" si="2"/>
        <v>12849.6000000001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50132.39999999971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6" t="s">
        <v>53</v>
      </c>
      <c r="C67" s="9">
        <v>51259238</v>
      </c>
      <c r="D67" s="74" t="s">
        <v>54</v>
      </c>
      <c r="E67" s="74">
        <v>7000</v>
      </c>
      <c r="F67" s="75">
        <v>483.16300000000001</v>
      </c>
      <c r="G67" s="75">
        <v>486.01799999999997</v>
      </c>
      <c r="H67" s="76">
        <f>(G67-F67)*E67</f>
        <v>19984.999999999731</v>
      </c>
      <c r="I67" s="77"/>
      <c r="J67" s="78"/>
    </row>
    <row r="68" spans="1:10" ht="15.75" x14ac:dyDescent="0.25">
      <c r="A68" s="27" t="s">
        <v>87</v>
      </c>
      <c r="B68" s="16" t="s">
        <v>53</v>
      </c>
      <c r="C68" s="16">
        <v>51259324</v>
      </c>
      <c r="D68" s="22" t="s">
        <v>54</v>
      </c>
      <c r="E68" s="22">
        <v>7000</v>
      </c>
      <c r="F68" s="21">
        <v>371.45100000000002</v>
      </c>
      <c r="G68" s="21">
        <v>373.55099999999999</v>
      </c>
      <c r="H68" s="18">
        <f>(G68-F68)*E68</f>
        <v>14699.999999999762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6">
        <v>51491618</v>
      </c>
      <c r="D69" s="22" t="s">
        <v>64</v>
      </c>
      <c r="E69" s="16">
        <v>40</v>
      </c>
      <c r="F69" s="28">
        <v>965.87</v>
      </c>
      <c r="G69" s="28">
        <v>976.61900000000003</v>
      </c>
      <c r="H69" s="18">
        <f>(G69-F69)*E69</f>
        <v>429.96000000000095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6">
        <v>51491624</v>
      </c>
      <c r="D70" s="22" t="s">
        <v>64</v>
      </c>
      <c r="E70" s="16">
        <v>40</v>
      </c>
      <c r="F70" s="28">
        <v>130.11600000000001</v>
      </c>
      <c r="G70" s="28">
        <v>131.20599999999999</v>
      </c>
      <c r="H70" s="18">
        <f>(G70-F70)*E70</f>
        <v>43.599999999999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34684.999999999491</v>
      </c>
      <c r="I71" s="85">
        <f>H71-H74-H69-H70</f>
        <v>-744.56000000029826</v>
      </c>
      <c r="J71" s="25">
        <f>I71/H71</f>
        <v>-2.1466339916399284E-2</v>
      </c>
    </row>
    <row r="72" spans="1:10" ht="15.75" x14ac:dyDescent="0.25">
      <c r="A72" s="27" t="s">
        <v>92</v>
      </c>
      <c r="B72" s="16" t="s">
        <v>53</v>
      </c>
      <c r="C72" s="86">
        <v>51097588</v>
      </c>
      <c r="D72" s="22" t="s">
        <v>76</v>
      </c>
      <c r="E72" s="16">
        <v>12000</v>
      </c>
      <c r="F72" s="21">
        <v>291.61700000000002</v>
      </c>
      <c r="G72" s="21">
        <v>293.25700000000001</v>
      </c>
      <c r="H72" s="18">
        <f>(G72-F72)*E72</f>
        <v>19679.999999999836</v>
      </c>
      <c r="I72" s="51"/>
      <c r="J72" s="58"/>
    </row>
    <row r="73" spans="1:10" ht="15.75" x14ac:dyDescent="0.25">
      <c r="A73" s="27" t="s">
        <v>93</v>
      </c>
      <c r="B73" s="16" t="s">
        <v>53</v>
      </c>
      <c r="C73" s="86">
        <v>51431335</v>
      </c>
      <c r="D73" s="22" t="s">
        <v>76</v>
      </c>
      <c r="E73" s="16">
        <v>12000</v>
      </c>
      <c r="F73" s="21">
        <v>227.928</v>
      </c>
      <c r="G73" s="21">
        <v>229.20099999999999</v>
      </c>
      <c r="H73" s="18">
        <f>(G73-F73)*E73</f>
        <v>15275.999999999953</v>
      </c>
      <c r="I73" s="51"/>
      <c r="J73" s="58"/>
    </row>
    <row r="74" spans="1:10" ht="15.75" x14ac:dyDescent="0.25">
      <c r="A74" s="87" t="s">
        <v>94</v>
      </c>
      <c r="B74" s="16" t="s">
        <v>28</v>
      </c>
      <c r="C74" s="16"/>
      <c r="D74" s="22"/>
      <c r="E74" s="16"/>
      <c r="F74" s="21"/>
      <c r="G74" s="21"/>
      <c r="H74" s="48">
        <f>H72+ H73</f>
        <v>34955.999999999789</v>
      </c>
      <c r="I74" s="85">
        <f>H74-H82</f>
        <v>-74.400000000205182</v>
      </c>
      <c r="J74" s="25">
        <f>I74/H74</f>
        <v>-2.1283899759756732E-3</v>
      </c>
    </row>
    <row r="75" spans="1:10" ht="15.75" x14ac:dyDescent="0.25">
      <c r="A75" s="27" t="s">
        <v>95</v>
      </c>
      <c r="B75" s="16" t="s">
        <v>53</v>
      </c>
      <c r="C75" s="86">
        <v>51097676</v>
      </c>
      <c r="D75" s="88" t="s">
        <v>64</v>
      </c>
      <c r="E75" s="16">
        <v>2400</v>
      </c>
      <c r="F75" s="21">
        <v>598.86199999999997</v>
      </c>
      <c r="G75" s="21">
        <v>602.73</v>
      </c>
      <c r="H75" s="18">
        <f>(G75-F75)*E75</f>
        <v>9283.2000000001244</v>
      </c>
      <c r="I75" s="51"/>
      <c r="J75" s="58"/>
    </row>
    <row r="76" spans="1:10" ht="15.75" x14ac:dyDescent="0.25">
      <c r="A76" s="27" t="s">
        <v>96</v>
      </c>
      <c r="B76" s="16" t="s">
        <v>53</v>
      </c>
      <c r="C76" s="86">
        <v>51431355</v>
      </c>
      <c r="D76" s="22" t="s">
        <v>22</v>
      </c>
      <c r="E76" s="22">
        <v>3600</v>
      </c>
      <c r="F76" s="21">
        <v>327.512</v>
      </c>
      <c r="G76" s="21">
        <v>328.82400000000001</v>
      </c>
      <c r="H76" s="18">
        <f>(G76-F76)*E76</f>
        <v>4723.2000000000426</v>
      </c>
      <c r="I76" s="51"/>
      <c r="J76" s="52"/>
    </row>
    <row r="77" spans="1:10" ht="15.75" x14ac:dyDescent="0.25">
      <c r="A77" s="27" t="s">
        <v>97</v>
      </c>
      <c r="B77" s="16" t="s">
        <v>53</v>
      </c>
      <c r="C77" s="86">
        <v>51259331</v>
      </c>
      <c r="D77" s="88" t="s">
        <v>38</v>
      </c>
      <c r="E77" s="16">
        <v>600</v>
      </c>
      <c r="F77" s="21">
        <v>140.38399999999999</v>
      </c>
      <c r="G77" s="21">
        <v>141.27199999999999</v>
      </c>
      <c r="H77" s="18">
        <f>(G77-F77)*E77</f>
        <v>532.80000000000314</v>
      </c>
      <c r="I77" s="51"/>
      <c r="J77" s="52"/>
    </row>
    <row r="78" spans="1:10" ht="15.75" x14ac:dyDescent="0.25">
      <c r="A78" s="27" t="s">
        <v>98</v>
      </c>
      <c r="B78" s="16" t="s">
        <v>53</v>
      </c>
      <c r="C78" s="86">
        <v>51259326</v>
      </c>
      <c r="D78" s="88" t="s">
        <v>15</v>
      </c>
      <c r="E78" s="16">
        <v>7200</v>
      </c>
      <c r="F78" s="21">
        <v>290.971</v>
      </c>
      <c r="G78" s="21">
        <v>292.42399999999998</v>
      </c>
      <c r="H78" s="18">
        <f>(G78-F78)*E78</f>
        <v>10461.599999999817</v>
      </c>
      <c r="I78" s="51"/>
      <c r="J78" s="52"/>
    </row>
    <row r="79" spans="1:10" ht="15.75" x14ac:dyDescent="0.25">
      <c r="A79" s="27" t="s">
        <v>99</v>
      </c>
      <c r="B79" s="16" t="s">
        <v>53</v>
      </c>
      <c r="C79" s="86">
        <v>51431351</v>
      </c>
      <c r="D79" s="88" t="s">
        <v>15</v>
      </c>
      <c r="E79" s="16">
        <v>7200</v>
      </c>
      <c r="F79" s="21">
        <v>201.46899999999999</v>
      </c>
      <c r="G79" s="21">
        <v>202.86199999999999</v>
      </c>
      <c r="H79" s="18">
        <f>(G79-F79)*E79</f>
        <v>10029.600000000006</v>
      </c>
      <c r="I79" s="51"/>
      <c r="J79" s="52"/>
    </row>
    <row r="80" spans="1:10" ht="15.75" x14ac:dyDescent="0.25">
      <c r="A80" s="89" t="s">
        <v>100</v>
      </c>
      <c r="B80" s="16" t="s">
        <v>53</v>
      </c>
      <c r="C80" s="90">
        <v>51097666</v>
      </c>
      <c r="D80" s="88" t="s">
        <v>64</v>
      </c>
      <c r="E80" s="16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6" t="s">
        <v>53</v>
      </c>
      <c r="C81" s="90">
        <v>51259323</v>
      </c>
      <c r="D81" s="88" t="s">
        <v>64</v>
      </c>
      <c r="E81" s="16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35030.399999999994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6" t="s">
        <v>53</v>
      </c>
      <c r="C84" s="106">
        <v>51431297</v>
      </c>
      <c r="D84" s="22" t="s">
        <v>54</v>
      </c>
      <c r="E84" s="100">
        <v>7000</v>
      </c>
      <c r="F84" s="17">
        <v>240.05600000000001</v>
      </c>
      <c r="G84" s="17">
        <v>240.98699999999999</v>
      </c>
      <c r="H84" s="18">
        <f>(G84-F84)*E84</f>
        <v>6516.9999999998818</v>
      </c>
      <c r="I84" s="107"/>
      <c r="J84" s="108"/>
    </row>
    <row r="85" spans="1:10" ht="15.75" x14ac:dyDescent="0.25">
      <c r="A85" s="105" t="s">
        <v>87</v>
      </c>
      <c r="B85" s="16" t="s">
        <v>53</v>
      </c>
      <c r="C85" s="106">
        <v>51431332</v>
      </c>
      <c r="D85" s="22" t="s">
        <v>54</v>
      </c>
      <c r="E85" s="100">
        <v>7000</v>
      </c>
      <c r="F85" s="21">
        <v>323.93299999999999</v>
      </c>
      <c r="G85" s="21">
        <v>325.553</v>
      </c>
      <c r="H85" s="18">
        <f>(G85-F85)*E85</f>
        <v>11340.000000000033</v>
      </c>
      <c r="I85" s="16"/>
      <c r="J85" s="58"/>
    </row>
    <row r="86" spans="1:10" ht="15.75" x14ac:dyDescent="0.25">
      <c r="A86" s="27" t="s">
        <v>88</v>
      </c>
      <c r="B86" s="16" t="s">
        <v>104</v>
      </c>
      <c r="C86" s="109">
        <v>150773</v>
      </c>
      <c r="D86" s="22" t="s">
        <v>54</v>
      </c>
      <c r="E86" s="109">
        <v>20</v>
      </c>
      <c r="F86" s="17">
        <v>15437.1</v>
      </c>
      <c r="G86" s="17">
        <v>15445.4</v>
      </c>
      <c r="H86" s="18">
        <f>(G86-F86)*E86</f>
        <v>165.99999999998545</v>
      </c>
      <c r="I86" s="51"/>
      <c r="J86" s="58"/>
    </row>
    <row r="87" spans="1:10" ht="15.75" x14ac:dyDescent="0.25">
      <c r="A87" s="27" t="s">
        <v>90</v>
      </c>
      <c r="B87" s="16" t="s">
        <v>104</v>
      </c>
      <c r="C87" s="109">
        <v>150791</v>
      </c>
      <c r="D87" s="22" t="s">
        <v>54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11"/>
      <c r="C88" s="32"/>
      <c r="D88" s="82"/>
      <c r="E88" s="82"/>
      <c r="F88" s="21"/>
      <c r="G88" s="21"/>
      <c r="H88" s="48">
        <f>H84+H85</f>
        <v>17856.999999999913</v>
      </c>
      <c r="I88" s="85">
        <f>H88-H91-H86-H87</f>
        <v>454.19999999988795</v>
      </c>
      <c r="J88" s="25">
        <f>I88/H88</f>
        <v>2.5435403483221715E-2</v>
      </c>
    </row>
    <row r="89" spans="1:10" ht="15.75" x14ac:dyDescent="0.25">
      <c r="A89" s="27" t="s">
        <v>105</v>
      </c>
      <c r="B89" s="16" t="s">
        <v>53</v>
      </c>
      <c r="C89" s="106">
        <v>51431342</v>
      </c>
      <c r="D89" s="88" t="s">
        <v>35</v>
      </c>
      <c r="E89" s="16">
        <v>4800</v>
      </c>
      <c r="F89" s="21">
        <v>340.05</v>
      </c>
      <c r="G89" s="21">
        <v>341.36900000000003</v>
      </c>
      <c r="H89" s="18">
        <f>(G89-F89)*E89</f>
        <v>6331.2000000000808</v>
      </c>
      <c r="I89" s="51"/>
      <c r="J89" s="52"/>
    </row>
    <row r="90" spans="1:10" ht="15.75" x14ac:dyDescent="0.25">
      <c r="A90" s="27" t="s">
        <v>106</v>
      </c>
      <c r="B90" s="16" t="s">
        <v>53</v>
      </c>
      <c r="C90" s="106">
        <v>51431343</v>
      </c>
      <c r="D90" s="88" t="s">
        <v>35</v>
      </c>
      <c r="E90" s="16">
        <v>4800</v>
      </c>
      <c r="F90" s="21">
        <v>458.536</v>
      </c>
      <c r="G90" s="21">
        <v>460.80799999999999</v>
      </c>
      <c r="H90" s="18">
        <f>(G90-F90)*E90</f>
        <v>10905.599999999959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17236.800000000039</v>
      </c>
      <c r="I91" s="85">
        <f>H91-H99</f>
        <v>-146.19999999998254</v>
      </c>
      <c r="J91" s="25">
        <f>I91/H91</f>
        <v>-8.4818527800973615E-3</v>
      </c>
    </row>
    <row r="92" spans="1:10" ht="15.75" x14ac:dyDescent="0.25">
      <c r="A92" s="27" t="s">
        <v>108</v>
      </c>
      <c r="B92" s="16" t="s">
        <v>53</v>
      </c>
      <c r="C92" s="106">
        <v>51431347</v>
      </c>
      <c r="D92" s="22" t="s">
        <v>54</v>
      </c>
      <c r="E92" s="16">
        <v>1200</v>
      </c>
      <c r="F92" s="21">
        <v>1040.326</v>
      </c>
      <c r="G92" s="21">
        <v>1048.7280000000001</v>
      </c>
      <c r="H92" s="18">
        <f t="shared" ref="H92:H100" si="4">(G92-F92)*E92</f>
        <v>10082.400000000052</v>
      </c>
      <c r="I92" s="51"/>
      <c r="J92" s="52"/>
    </row>
    <row r="93" spans="1:10" ht="15.75" x14ac:dyDescent="0.25">
      <c r="A93" s="27" t="s">
        <v>109</v>
      </c>
      <c r="B93" s="16" t="s">
        <v>53</v>
      </c>
      <c r="C93" s="106">
        <v>51431339</v>
      </c>
      <c r="D93" s="22" t="s">
        <v>54</v>
      </c>
      <c r="E93" s="16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6" t="s">
        <v>53</v>
      </c>
      <c r="C94" s="106">
        <v>51217244</v>
      </c>
      <c r="D94" s="16" t="s">
        <v>38</v>
      </c>
      <c r="E94" s="16">
        <v>600</v>
      </c>
      <c r="F94" s="30">
        <v>286.56</v>
      </c>
      <c r="G94" s="30">
        <v>287.82</v>
      </c>
      <c r="H94" s="18">
        <f t="shared" si="4"/>
        <v>755.99999999999454</v>
      </c>
      <c r="I94" s="51"/>
      <c r="J94" s="52"/>
    </row>
    <row r="95" spans="1:10" ht="15.75" x14ac:dyDescent="0.25">
      <c r="A95" s="27" t="s">
        <v>111</v>
      </c>
      <c r="B95" s="16" t="s">
        <v>53</v>
      </c>
      <c r="C95" s="106">
        <v>51217267</v>
      </c>
      <c r="D95" s="88" t="s">
        <v>64</v>
      </c>
      <c r="E95" s="16">
        <v>2400</v>
      </c>
      <c r="F95" s="30">
        <v>19.416</v>
      </c>
      <c r="G95" s="30">
        <v>19.448</v>
      </c>
      <c r="H95" s="18">
        <f t="shared" si="4"/>
        <v>76.800000000000068</v>
      </c>
      <c r="I95" s="51"/>
      <c r="J95" s="52"/>
    </row>
    <row r="96" spans="1:10" ht="15.75" x14ac:dyDescent="0.25">
      <c r="A96" s="27" t="s">
        <v>112</v>
      </c>
      <c r="B96" s="16" t="s">
        <v>53</v>
      </c>
      <c r="C96" s="16">
        <v>51555165</v>
      </c>
      <c r="D96" s="22" t="s">
        <v>54</v>
      </c>
      <c r="E96" s="16">
        <v>1200</v>
      </c>
      <c r="F96" s="30">
        <v>771.62699999999995</v>
      </c>
      <c r="G96" s="30">
        <v>771.62699999999995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6" t="s">
        <v>53</v>
      </c>
      <c r="C97" s="106">
        <v>51431346</v>
      </c>
      <c r="D97" s="114" t="s">
        <v>38</v>
      </c>
      <c r="E97" s="114">
        <v>600</v>
      </c>
      <c r="F97" s="30">
        <v>315.13600000000002</v>
      </c>
      <c r="G97" s="30">
        <v>316.92700000000002</v>
      </c>
      <c r="H97" s="115">
        <f t="shared" si="4"/>
        <v>1074.5999999999981</v>
      </c>
      <c r="I97" s="116"/>
      <c r="J97" s="117"/>
    </row>
    <row r="98" spans="1:10" ht="15.75" x14ac:dyDescent="0.25">
      <c r="A98" s="27" t="s">
        <v>114</v>
      </c>
      <c r="B98" s="16" t="s">
        <v>53</v>
      </c>
      <c r="C98" s="106">
        <v>51431352</v>
      </c>
      <c r="D98" s="88" t="s">
        <v>22</v>
      </c>
      <c r="E98" s="16">
        <v>3600</v>
      </c>
      <c r="F98" s="21">
        <v>184.374</v>
      </c>
      <c r="G98" s="21">
        <v>185.82599999999999</v>
      </c>
      <c r="H98" s="18">
        <f t="shared" si="4"/>
        <v>5227.1999999999935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17383.000000000022</v>
      </c>
      <c r="I99" s="51"/>
      <c r="J99" s="52"/>
    </row>
    <row r="100" spans="1:10" ht="15.75" x14ac:dyDescent="0.25">
      <c r="A100" s="45" t="s">
        <v>115</v>
      </c>
      <c r="B100" s="16" t="s">
        <v>53</v>
      </c>
      <c r="C100" s="120">
        <v>51431357</v>
      </c>
      <c r="D100" s="22" t="s">
        <v>64</v>
      </c>
      <c r="E100" s="22">
        <v>14000</v>
      </c>
      <c r="F100" s="28">
        <v>737.93499999999995</v>
      </c>
      <c r="G100" s="28">
        <v>741.73099999999999</v>
      </c>
      <c r="H100" s="121">
        <f t="shared" si="4"/>
        <v>53144.000000000684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A14" zoomScaleNormal="100" workbookViewId="0">
      <selection activeCell="A2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117</v>
      </c>
      <c r="G3" s="4" t="s">
        <v>118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23" t="s">
        <v>14</v>
      </c>
      <c r="C5" s="123">
        <v>51555166</v>
      </c>
      <c r="D5" s="123" t="s">
        <v>15</v>
      </c>
      <c r="E5" s="123">
        <v>132000</v>
      </c>
      <c r="F5" s="17">
        <v>2.8410000000000002</v>
      </c>
      <c r="G5" s="17">
        <v>2.8530000000000002</v>
      </c>
      <c r="H5" s="18">
        <f>(G5-F5)*E5</f>
        <v>1584.0000000000014</v>
      </c>
      <c r="I5" s="19"/>
      <c r="J5" s="20"/>
    </row>
    <row r="6" spans="1:10" ht="15.75" x14ac:dyDescent="0.25">
      <c r="A6" s="15" t="s">
        <v>16</v>
      </c>
      <c r="B6" s="123" t="s">
        <v>14</v>
      </c>
      <c r="C6" s="123">
        <v>51555191</v>
      </c>
      <c r="D6" s="123" t="s">
        <v>15</v>
      </c>
      <c r="E6" s="123">
        <v>132000</v>
      </c>
      <c r="F6" s="21">
        <v>318.74099999999999</v>
      </c>
      <c r="G6" s="21">
        <v>320.67</v>
      </c>
      <c r="H6" s="18">
        <f>(G6-F6)*E6</f>
        <v>254628.00000000402</v>
      </c>
      <c r="I6" s="19"/>
      <c r="J6" s="20"/>
    </row>
    <row r="7" spans="1:10" ht="15.75" x14ac:dyDescent="0.25">
      <c r="A7" s="207" t="s">
        <v>17</v>
      </c>
      <c r="B7" s="208"/>
      <c r="C7" s="123"/>
      <c r="D7" s="124"/>
      <c r="E7" s="123"/>
      <c r="H7" s="23">
        <f>H5+H6</f>
        <v>256212.00000000402</v>
      </c>
      <c r="I7" s="24">
        <f>H7-H10-H20</f>
        <v>1740.0000000049185</v>
      </c>
      <c r="J7" s="25">
        <f>I7/H7</f>
        <v>6.7912509952886332E-3</v>
      </c>
    </row>
    <row r="8" spans="1:10" ht="15.75" x14ac:dyDescent="0.25">
      <c r="A8" s="26" t="s">
        <v>18</v>
      </c>
      <c r="B8" s="123" t="s">
        <v>14</v>
      </c>
      <c r="C8" s="123">
        <v>51097629</v>
      </c>
      <c r="D8" s="124" t="s">
        <v>15</v>
      </c>
      <c r="E8" s="123">
        <v>42000</v>
      </c>
      <c r="F8" s="21">
        <v>985.63699999999994</v>
      </c>
      <c r="G8" s="21">
        <v>989.90599999999995</v>
      </c>
      <c r="H8" s="18">
        <f>(G8-F8)*E8</f>
        <v>179298.00000000023</v>
      </c>
      <c r="I8" s="19"/>
      <c r="J8" s="20"/>
    </row>
    <row r="9" spans="1:10" ht="15.75" x14ac:dyDescent="0.25">
      <c r="A9" s="26" t="s">
        <v>19</v>
      </c>
      <c r="B9" s="123" t="s">
        <v>14</v>
      </c>
      <c r="C9" s="123">
        <v>51616820</v>
      </c>
      <c r="D9" s="124" t="s">
        <v>15</v>
      </c>
      <c r="E9" s="123">
        <v>42000</v>
      </c>
      <c r="F9" s="21">
        <v>4.8360000000000003</v>
      </c>
      <c r="G9" s="21">
        <v>4.8609999999999998</v>
      </c>
      <c r="H9" s="18">
        <f>(G9-F9)*E9</f>
        <v>1049.9999999999777</v>
      </c>
      <c r="I9" s="19"/>
      <c r="J9" s="20"/>
    </row>
    <row r="10" spans="1:10" ht="15.75" x14ac:dyDescent="0.25">
      <c r="A10" s="207" t="s">
        <v>20</v>
      </c>
      <c r="B10" s="208"/>
      <c r="C10" s="123"/>
      <c r="D10" s="124"/>
      <c r="E10" s="123"/>
      <c r="F10" s="21"/>
      <c r="G10" s="21"/>
      <c r="H10" s="23">
        <f>H8+H9</f>
        <v>180348.0000000002</v>
      </c>
      <c r="I10" s="24">
        <f>H10-H17</f>
        <v>84.00000000235741</v>
      </c>
      <c r="J10" s="25">
        <f>I10/H10</f>
        <v>4.6576618538801272E-4</v>
      </c>
    </row>
    <row r="11" spans="1:10" ht="15.75" x14ac:dyDescent="0.25">
      <c r="A11" s="27" t="s">
        <v>21</v>
      </c>
      <c r="B11" s="123" t="s">
        <v>14</v>
      </c>
      <c r="C11" s="123">
        <v>51217286</v>
      </c>
      <c r="D11" s="124" t="s">
        <v>22</v>
      </c>
      <c r="E11" s="123">
        <v>21000</v>
      </c>
      <c r="F11" s="21">
        <v>782.45</v>
      </c>
      <c r="G11" s="21">
        <v>785.61599999999999</v>
      </c>
      <c r="H11" s="18">
        <f t="shared" ref="H11:H16" si="0">(G11-F11)*E11</f>
        <v>66485.999999998734</v>
      </c>
      <c r="I11" s="19"/>
      <c r="J11" s="20"/>
    </row>
    <row r="12" spans="1:10" ht="15.75" x14ac:dyDescent="0.25">
      <c r="A12" s="27" t="s">
        <v>23</v>
      </c>
      <c r="B12" s="123" t="s">
        <v>14</v>
      </c>
      <c r="C12" s="123">
        <v>51217292</v>
      </c>
      <c r="D12" s="124" t="s">
        <v>22</v>
      </c>
      <c r="E12" s="123">
        <v>21000</v>
      </c>
      <c r="F12" s="28">
        <v>3.258</v>
      </c>
      <c r="G12" s="28">
        <v>3.2850000000000001</v>
      </c>
      <c r="H12" s="18">
        <f>(G12-F12)*E12</f>
        <v>567.00000000000284</v>
      </c>
      <c r="I12" s="19"/>
      <c r="J12" s="20"/>
    </row>
    <row r="13" spans="1:10" ht="15.75" x14ac:dyDescent="0.25">
      <c r="A13" s="27" t="s">
        <v>24</v>
      </c>
      <c r="B13" s="123" t="s">
        <v>14</v>
      </c>
      <c r="C13" s="123">
        <v>51217271</v>
      </c>
      <c r="D13" s="124" t="s">
        <v>22</v>
      </c>
      <c r="E13" s="123">
        <v>21000</v>
      </c>
      <c r="F13" s="21">
        <v>571.69100000000003</v>
      </c>
      <c r="G13" s="21">
        <v>574.23800000000006</v>
      </c>
      <c r="H13" s="18">
        <f t="shared" si="0"/>
        <v>53487.000000000538</v>
      </c>
      <c r="I13" s="19"/>
      <c r="J13" s="20"/>
    </row>
    <row r="14" spans="1:10" ht="15.75" x14ac:dyDescent="0.25">
      <c r="A14" s="27" t="s">
        <v>25</v>
      </c>
      <c r="B14" s="123" t="s">
        <v>14</v>
      </c>
      <c r="C14" s="123">
        <v>51217276</v>
      </c>
      <c r="D14" s="124" t="s">
        <v>22</v>
      </c>
      <c r="E14" s="123">
        <v>21000</v>
      </c>
      <c r="F14" s="28">
        <v>0.46600000000000003</v>
      </c>
      <c r="G14" s="28">
        <v>0.47299999999999998</v>
      </c>
      <c r="H14" s="18">
        <f>(G14-F14)*E14</f>
        <v>146.99999999999898</v>
      </c>
      <c r="I14" s="19"/>
      <c r="J14" s="20"/>
    </row>
    <row r="15" spans="1:10" ht="15.75" x14ac:dyDescent="0.25">
      <c r="A15" s="27" t="s">
        <v>26</v>
      </c>
      <c r="B15" s="123" t="s">
        <v>14</v>
      </c>
      <c r="C15" s="123">
        <v>51100990</v>
      </c>
      <c r="D15" s="124" t="s">
        <v>22</v>
      </c>
      <c r="E15" s="123">
        <v>21000</v>
      </c>
      <c r="F15" s="29">
        <v>622.87300000000005</v>
      </c>
      <c r="G15" s="29">
        <v>625.69799999999998</v>
      </c>
      <c r="H15" s="18">
        <f t="shared" si="0"/>
        <v>59324.999999998567</v>
      </c>
      <c r="I15" s="19"/>
      <c r="J15" s="20"/>
    </row>
    <row r="16" spans="1:10" ht="15.75" x14ac:dyDescent="0.25">
      <c r="A16" s="27" t="s">
        <v>27</v>
      </c>
      <c r="B16" s="123" t="s">
        <v>14</v>
      </c>
      <c r="C16" s="123">
        <v>51097622</v>
      </c>
      <c r="D16" s="124" t="s">
        <v>22</v>
      </c>
      <c r="E16" s="123">
        <v>21000</v>
      </c>
      <c r="F16" s="21">
        <v>2.7389999999999999</v>
      </c>
      <c r="G16" s="21">
        <v>2.7509999999999999</v>
      </c>
      <c r="H16" s="18">
        <f t="shared" si="0"/>
        <v>252.00000000000023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23"/>
      <c r="D17" s="124"/>
      <c r="E17" s="123"/>
      <c r="F17" s="21"/>
      <c r="G17" s="21"/>
      <c r="H17" s="23">
        <f>H11+H12+H13+H14+H15+H16</f>
        <v>180263.99999999785</v>
      </c>
      <c r="I17" s="19"/>
      <c r="J17" s="20"/>
    </row>
    <row r="18" spans="1:10" ht="15.75" x14ac:dyDescent="0.25">
      <c r="A18" s="26" t="s">
        <v>30</v>
      </c>
      <c r="B18" s="123" t="s">
        <v>14</v>
      </c>
      <c r="C18" s="123">
        <v>51097617</v>
      </c>
      <c r="D18" s="124" t="s">
        <v>31</v>
      </c>
      <c r="E18" s="123">
        <v>18000</v>
      </c>
      <c r="F18" s="30">
        <v>743.36500000000001</v>
      </c>
      <c r="G18" s="30">
        <v>747.48299999999995</v>
      </c>
      <c r="H18" s="18">
        <f>(G18-F18)*E18</f>
        <v>74123.999999998894</v>
      </c>
      <c r="I18" s="19"/>
      <c r="J18" s="20"/>
    </row>
    <row r="19" spans="1:10" ht="15.75" x14ac:dyDescent="0.25">
      <c r="A19" s="26" t="s">
        <v>32</v>
      </c>
      <c r="B19" s="123" t="s">
        <v>14</v>
      </c>
      <c r="C19" s="123">
        <v>51097655</v>
      </c>
      <c r="D19" s="124" t="s">
        <v>31</v>
      </c>
      <c r="E19" s="123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23"/>
      <c r="D20" s="124"/>
      <c r="E20" s="123"/>
      <c r="F20" s="30"/>
      <c r="G20" s="30"/>
      <c r="H20" s="23">
        <f>H18+H19</f>
        <v>74123.999999998894</v>
      </c>
      <c r="I20" s="24">
        <f>H20-H35</f>
        <v>3161.3999999987282</v>
      </c>
      <c r="J20" s="25">
        <f>I20/H20</f>
        <v>4.2650153796324745E-2</v>
      </c>
    </row>
    <row r="21" spans="1:10" ht="15.75" x14ac:dyDescent="0.25">
      <c r="A21" s="15" t="s">
        <v>34</v>
      </c>
      <c r="B21" s="123" t="s">
        <v>14</v>
      </c>
      <c r="C21" s="123">
        <v>51217282</v>
      </c>
      <c r="D21" s="124" t="s">
        <v>35</v>
      </c>
      <c r="E21" s="123">
        <v>4800</v>
      </c>
      <c r="F21" s="21">
        <v>379.21600000000001</v>
      </c>
      <c r="G21" s="21">
        <v>379.26400000000001</v>
      </c>
      <c r="H21" s="18">
        <f t="shared" ref="H21:H34" si="1">(G21-F21)*E21</f>
        <v>230.40000000000873</v>
      </c>
      <c r="I21" s="19" t="s">
        <v>28</v>
      </c>
      <c r="J21" s="20"/>
    </row>
    <row r="22" spans="1:10" ht="15.75" x14ac:dyDescent="0.25">
      <c r="A22" s="15" t="s">
        <v>36</v>
      </c>
      <c r="B22" s="123" t="s">
        <v>14</v>
      </c>
      <c r="C22" s="123">
        <v>51217274</v>
      </c>
      <c r="D22" s="124" t="s">
        <v>35</v>
      </c>
      <c r="E22" s="123">
        <v>4800</v>
      </c>
      <c r="F22" s="21">
        <v>1173.4880000000001</v>
      </c>
      <c r="G22" s="21">
        <v>1179.412</v>
      </c>
      <c r="H22" s="18">
        <f t="shared" si="1"/>
        <v>28435.199999999895</v>
      </c>
      <c r="I22" s="19"/>
      <c r="J22" s="20"/>
    </row>
    <row r="23" spans="1:10" ht="15.75" x14ac:dyDescent="0.25">
      <c r="A23" s="15" t="s">
        <v>37</v>
      </c>
      <c r="B23" s="123" t="s">
        <v>14</v>
      </c>
      <c r="C23" s="123">
        <v>51097664</v>
      </c>
      <c r="D23" s="124" t="s">
        <v>38</v>
      </c>
      <c r="E23" s="123">
        <v>600</v>
      </c>
      <c r="F23" s="21">
        <v>4.2949999999999999</v>
      </c>
      <c r="G23" s="21">
        <v>4.3109999999999999</v>
      </c>
      <c r="H23" s="18">
        <f t="shared" si="1"/>
        <v>9.6000000000000085</v>
      </c>
      <c r="I23" s="19"/>
      <c r="J23" s="20"/>
    </row>
    <row r="24" spans="1:10" ht="15.75" x14ac:dyDescent="0.25">
      <c r="A24" s="15" t="s">
        <v>39</v>
      </c>
      <c r="B24" s="123" t="s">
        <v>14</v>
      </c>
      <c r="C24" s="123">
        <v>51097615</v>
      </c>
      <c r="D24" s="124" t="s">
        <v>38</v>
      </c>
      <c r="E24" s="123">
        <v>600</v>
      </c>
      <c r="F24" s="21">
        <v>33.914999999999999</v>
      </c>
      <c r="G24" s="21">
        <v>34.298000000000002</v>
      </c>
      <c r="H24" s="18">
        <f t="shared" si="1"/>
        <v>229.8000000000016</v>
      </c>
      <c r="I24" s="19"/>
      <c r="J24" s="20"/>
    </row>
    <row r="25" spans="1:10" ht="15.75" x14ac:dyDescent="0.25">
      <c r="A25" s="15" t="s">
        <v>40</v>
      </c>
      <c r="B25" s="123" t="s">
        <v>14</v>
      </c>
      <c r="C25" s="123">
        <v>51217264</v>
      </c>
      <c r="D25" s="124" t="s">
        <v>38</v>
      </c>
      <c r="E25" s="123">
        <v>600</v>
      </c>
      <c r="F25" s="21">
        <v>84</v>
      </c>
      <c r="G25" s="21">
        <v>84.668999999999997</v>
      </c>
      <c r="H25" s="18">
        <f t="shared" si="1"/>
        <v>401.39999999999816</v>
      </c>
      <c r="I25" s="19"/>
      <c r="J25" s="20"/>
    </row>
    <row r="26" spans="1:10" ht="15.75" x14ac:dyDescent="0.25">
      <c r="A26" s="15" t="s">
        <v>41</v>
      </c>
      <c r="B26" s="123" t="s">
        <v>14</v>
      </c>
      <c r="C26" s="123">
        <v>51217288</v>
      </c>
      <c r="D26" s="124" t="s">
        <v>38</v>
      </c>
      <c r="E26" s="123">
        <v>600</v>
      </c>
      <c r="F26" s="21">
        <v>19.561</v>
      </c>
      <c r="G26" s="21">
        <v>19.591999999999999</v>
      </c>
      <c r="H26" s="18">
        <f t="shared" si="1"/>
        <v>18.599999999999284</v>
      </c>
      <c r="I26" s="19" t="s">
        <v>28</v>
      </c>
      <c r="J26" s="20"/>
    </row>
    <row r="27" spans="1:10" ht="15.75" x14ac:dyDescent="0.25">
      <c r="A27" s="15" t="s">
        <v>42</v>
      </c>
      <c r="B27" s="123" t="s">
        <v>14</v>
      </c>
      <c r="C27" s="123">
        <v>51217279</v>
      </c>
      <c r="D27" s="124" t="s">
        <v>38</v>
      </c>
      <c r="E27" s="123">
        <v>600</v>
      </c>
      <c r="F27" s="21">
        <v>13.702</v>
      </c>
      <c r="G27" s="21">
        <v>13.757</v>
      </c>
      <c r="H27" s="18">
        <f t="shared" si="1"/>
        <v>32.999999999999829</v>
      </c>
      <c r="I27" s="19" t="s">
        <v>28</v>
      </c>
      <c r="J27" s="20"/>
    </row>
    <row r="28" spans="1:10" ht="15.75" x14ac:dyDescent="0.25">
      <c r="A28" s="15" t="s">
        <v>43</v>
      </c>
      <c r="B28" s="123" t="s">
        <v>14</v>
      </c>
      <c r="C28" s="123">
        <v>51217272</v>
      </c>
      <c r="D28" s="124" t="s">
        <v>38</v>
      </c>
      <c r="E28" s="123">
        <v>600</v>
      </c>
      <c r="F28" s="31">
        <v>13.442</v>
      </c>
      <c r="G28" s="31">
        <v>13.494999999999999</v>
      </c>
      <c r="H28" s="18">
        <f t="shared" si="1"/>
        <v>31.799999999999429</v>
      </c>
      <c r="I28" s="19"/>
      <c r="J28" s="20"/>
    </row>
    <row r="29" spans="1:10" ht="15.75" x14ac:dyDescent="0.25">
      <c r="A29" s="15" t="s">
        <v>44</v>
      </c>
      <c r="B29" s="123" t="s">
        <v>14</v>
      </c>
      <c r="C29" s="123">
        <v>51616744</v>
      </c>
      <c r="D29" s="124">
        <f>300/5</f>
        <v>60</v>
      </c>
      <c r="E29" s="123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23" t="s">
        <v>14</v>
      </c>
      <c r="C30" s="123">
        <v>51555226</v>
      </c>
      <c r="D30" s="124">
        <f>300/5</f>
        <v>60</v>
      </c>
      <c r="E30" s="123">
        <v>3600</v>
      </c>
      <c r="F30" s="31">
        <v>398.24599999999998</v>
      </c>
      <c r="G30" s="31">
        <v>402.142</v>
      </c>
      <c r="H30" s="18">
        <f>(G30-F30)*E30</f>
        <v>14025.600000000053</v>
      </c>
      <c r="I30" s="19"/>
      <c r="J30" s="20"/>
    </row>
    <row r="31" spans="1:10" ht="15.75" x14ac:dyDescent="0.25">
      <c r="A31" s="15" t="s">
        <v>46</v>
      </c>
      <c r="B31" s="123" t="s">
        <v>14</v>
      </c>
      <c r="C31" s="123">
        <v>51097658</v>
      </c>
      <c r="D31" s="124" t="s">
        <v>35</v>
      </c>
      <c r="E31" s="123">
        <v>4800</v>
      </c>
      <c r="F31" s="31">
        <v>568.375</v>
      </c>
      <c r="G31" s="31">
        <v>571.58500000000004</v>
      </c>
      <c r="H31" s="18">
        <f t="shared" si="1"/>
        <v>15408.000000000175</v>
      </c>
      <c r="I31" s="19"/>
      <c r="J31" s="20"/>
    </row>
    <row r="32" spans="1:10" ht="15.75" x14ac:dyDescent="0.25">
      <c r="A32" s="15" t="s">
        <v>47</v>
      </c>
      <c r="B32" s="123" t="s">
        <v>14</v>
      </c>
      <c r="C32" s="123">
        <v>51097635</v>
      </c>
      <c r="D32" s="124" t="s">
        <v>35</v>
      </c>
      <c r="E32" s="123">
        <v>4800</v>
      </c>
      <c r="F32" s="31">
        <v>48.441000000000003</v>
      </c>
      <c r="G32" s="31">
        <v>48.442</v>
      </c>
      <c r="H32" s="18">
        <f t="shared" si="1"/>
        <v>4.7999999999888132</v>
      </c>
      <c r="I32" s="19"/>
      <c r="J32" s="20"/>
    </row>
    <row r="33" spans="1:10" ht="15.75" x14ac:dyDescent="0.25">
      <c r="A33" s="15" t="s">
        <v>48</v>
      </c>
      <c r="B33" s="123" t="s">
        <v>14</v>
      </c>
      <c r="C33" s="32">
        <v>51097633</v>
      </c>
      <c r="D33" s="124" t="s">
        <v>35</v>
      </c>
      <c r="E33" s="123">
        <v>4800</v>
      </c>
      <c r="F33" s="31">
        <v>118.34699999999999</v>
      </c>
      <c r="G33" s="31">
        <v>120.79600000000001</v>
      </c>
      <c r="H33" s="33">
        <f t="shared" si="1"/>
        <v>11755.200000000059</v>
      </c>
      <c r="I33" s="34"/>
      <c r="J33" s="35"/>
    </row>
    <row r="34" spans="1:10" ht="15.75" x14ac:dyDescent="0.25">
      <c r="A34" s="15" t="s">
        <v>49</v>
      </c>
      <c r="B34" s="123" t="s">
        <v>14</v>
      </c>
      <c r="C34" s="32">
        <v>51097662</v>
      </c>
      <c r="D34" s="124" t="s">
        <v>35</v>
      </c>
      <c r="E34" s="123">
        <v>4800</v>
      </c>
      <c r="F34" s="31">
        <v>2.206</v>
      </c>
      <c r="G34" s="31">
        <v>2.2850000000000001</v>
      </c>
      <c r="H34" s="33">
        <f t="shared" si="1"/>
        <v>379.20000000000084</v>
      </c>
      <c r="I34" s="34"/>
      <c r="J34" s="35"/>
    </row>
    <row r="35" spans="1:10" ht="15.75" x14ac:dyDescent="0.25">
      <c r="A35" s="207" t="s">
        <v>50</v>
      </c>
      <c r="B35" s="208"/>
      <c r="C35" s="123"/>
      <c r="D35" s="124"/>
      <c r="E35" s="123"/>
      <c r="F35" s="36"/>
      <c r="G35" s="36"/>
      <c r="H35" s="23">
        <f>H21+H22+H23+H24+H25+H26+H27+H28+H29+H30+H31+H32+H33+H34</f>
        <v>70962.600000000166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23" t="s">
        <v>53</v>
      </c>
      <c r="C37" s="123">
        <v>51555209</v>
      </c>
      <c r="D37" s="124" t="s">
        <v>54</v>
      </c>
      <c r="E37" s="123">
        <v>7000</v>
      </c>
      <c r="F37" s="17">
        <v>4.5659999999999998</v>
      </c>
      <c r="G37" s="17">
        <v>4.6059999999999999</v>
      </c>
      <c r="H37" s="41">
        <f>(G37-F37)*E37</f>
        <v>280.00000000000023</v>
      </c>
      <c r="I37" s="42"/>
      <c r="J37" s="14"/>
    </row>
    <row r="38" spans="1:10" ht="15.75" x14ac:dyDescent="0.25">
      <c r="A38" s="15" t="s">
        <v>55</v>
      </c>
      <c r="B38" s="123" t="s">
        <v>53</v>
      </c>
      <c r="C38" s="123">
        <v>51555209</v>
      </c>
      <c r="D38" s="124" t="s">
        <v>54</v>
      </c>
      <c r="E38" s="123">
        <v>7000</v>
      </c>
      <c r="F38" s="21">
        <v>9.2159999999999993</v>
      </c>
      <c r="G38" s="21">
        <v>9.2639999999999993</v>
      </c>
      <c r="H38" s="18">
        <f>(G38-F38)*E38</f>
        <v>336.00000000000028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23" t="s">
        <v>53</v>
      </c>
      <c r="C40" s="123">
        <v>51097674</v>
      </c>
      <c r="D40" s="123" t="s">
        <v>15</v>
      </c>
      <c r="E40" s="123">
        <v>7200</v>
      </c>
      <c r="F40" s="21">
        <v>529.69600000000003</v>
      </c>
      <c r="G40" s="21">
        <v>532.13</v>
      </c>
      <c r="H40" s="18">
        <f>(G40-F40)*E40</f>
        <v>17524.799999999777</v>
      </c>
      <c r="I40" s="47"/>
      <c r="J40" s="20"/>
    </row>
    <row r="41" spans="1:10" ht="15.75" x14ac:dyDescent="0.25">
      <c r="A41" s="27" t="s">
        <v>58</v>
      </c>
      <c r="B41" s="123" t="s">
        <v>53</v>
      </c>
      <c r="C41" s="123">
        <v>51259257</v>
      </c>
      <c r="D41" s="123" t="s">
        <v>15</v>
      </c>
      <c r="E41" s="123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23"/>
      <c r="C42" s="123"/>
      <c r="D42" s="123"/>
      <c r="E42" s="123"/>
      <c r="F42" s="21"/>
      <c r="G42" s="21"/>
      <c r="H42" s="48">
        <f>H40+H41</f>
        <v>17524.799999999777</v>
      </c>
      <c r="I42" s="24">
        <f>H42-H50</f>
        <v>-128.00000000037471</v>
      </c>
      <c r="J42" s="25">
        <f>I42/H42</f>
        <v>-7.3039349950000197E-3</v>
      </c>
    </row>
    <row r="43" spans="1:10" ht="15.75" x14ac:dyDescent="0.25">
      <c r="A43" s="15" t="s">
        <v>60</v>
      </c>
      <c r="B43" s="123"/>
      <c r="C43" s="123"/>
      <c r="D43" s="124"/>
      <c r="E43" s="123"/>
      <c r="H43" s="18"/>
      <c r="I43" s="43"/>
      <c r="J43" s="20"/>
    </row>
    <row r="44" spans="1:10" ht="15.75" x14ac:dyDescent="0.25">
      <c r="A44" s="27" t="s">
        <v>61</v>
      </c>
      <c r="B44" s="123" t="s">
        <v>53</v>
      </c>
      <c r="C44" s="32">
        <v>51097648</v>
      </c>
      <c r="D44" s="123" t="s">
        <v>54</v>
      </c>
      <c r="E44" s="123">
        <v>1200</v>
      </c>
      <c r="F44" s="21">
        <v>433.80200000000002</v>
      </c>
      <c r="G44" s="21">
        <v>435.96699999999998</v>
      </c>
      <c r="H44" s="33">
        <f>(G44-F44)*E44</f>
        <v>2597.9999999999563</v>
      </c>
      <c r="I44" s="43"/>
      <c r="J44" s="20"/>
    </row>
    <row r="45" spans="1:10" ht="15.75" x14ac:dyDescent="0.25">
      <c r="A45" s="27" t="s">
        <v>62</v>
      </c>
      <c r="B45" s="123" t="s">
        <v>53</v>
      </c>
      <c r="C45" s="32">
        <v>50555043</v>
      </c>
      <c r="D45" s="123" t="s">
        <v>54</v>
      </c>
      <c r="E45" s="123">
        <v>1200</v>
      </c>
      <c r="F45" s="21">
        <v>1816.7629999999999</v>
      </c>
      <c r="G45" s="21">
        <v>1824.7470000000001</v>
      </c>
      <c r="H45" s="33">
        <f>(G45-F45)*E45</f>
        <v>9580.8000000001812</v>
      </c>
      <c r="I45" s="43"/>
      <c r="J45" s="20"/>
    </row>
    <row r="46" spans="1:10" ht="15.75" x14ac:dyDescent="0.25">
      <c r="A46" s="27" t="s">
        <v>63</v>
      </c>
      <c r="B46" s="123" t="s">
        <v>53</v>
      </c>
      <c r="C46" s="32">
        <v>51259336</v>
      </c>
      <c r="D46" s="123" t="s">
        <v>64</v>
      </c>
      <c r="E46" s="123">
        <v>2400</v>
      </c>
      <c r="F46" s="21">
        <v>3.766</v>
      </c>
      <c r="G46" s="21">
        <v>3.78</v>
      </c>
      <c r="H46" s="33">
        <f>(G46-F46)*E46</f>
        <v>33.599999999999497</v>
      </c>
      <c r="I46" s="43"/>
      <c r="J46" s="20"/>
    </row>
    <row r="47" spans="1:10" ht="15.75" x14ac:dyDescent="0.25">
      <c r="A47" s="27" t="s">
        <v>65</v>
      </c>
      <c r="B47" s="123" t="s">
        <v>53</v>
      </c>
      <c r="C47" s="32">
        <v>51259266</v>
      </c>
      <c r="D47" s="123" t="s">
        <v>54</v>
      </c>
      <c r="E47" s="123">
        <v>1200</v>
      </c>
      <c r="F47" s="21">
        <v>880.06600000000003</v>
      </c>
      <c r="G47" s="21">
        <v>884.20500000000004</v>
      </c>
      <c r="H47" s="33">
        <f>(G47-F47)*E47</f>
        <v>4966.800000000012</v>
      </c>
      <c r="I47" s="43"/>
      <c r="J47" s="20"/>
    </row>
    <row r="48" spans="1:10" ht="15.75" x14ac:dyDescent="0.25">
      <c r="A48" s="27" t="s">
        <v>66</v>
      </c>
      <c r="B48" s="123" t="s">
        <v>53</v>
      </c>
      <c r="C48" s="32">
        <v>51431336</v>
      </c>
      <c r="D48" s="123" t="s">
        <v>54</v>
      </c>
      <c r="E48" s="123">
        <v>1200</v>
      </c>
      <c r="F48" s="21">
        <v>48.8</v>
      </c>
      <c r="G48" s="21">
        <v>49.152999999999999</v>
      </c>
      <c r="H48" s="33">
        <f>(G48-F48)*E48</f>
        <v>423.60000000000184</v>
      </c>
      <c r="I48" s="43"/>
      <c r="J48" s="20"/>
    </row>
    <row r="49" spans="1:10" ht="15.75" x14ac:dyDescent="0.25">
      <c r="A49" s="15" t="s">
        <v>67</v>
      </c>
      <c r="B49" s="123" t="s">
        <v>68</v>
      </c>
      <c r="C49" s="123">
        <v>49174</v>
      </c>
      <c r="D49" s="124" t="s">
        <v>54</v>
      </c>
      <c r="E49" s="123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17652.800000000152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23" t="s">
        <v>53</v>
      </c>
      <c r="C52" s="123">
        <v>51097603</v>
      </c>
      <c r="D52" s="124" t="s">
        <v>54</v>
      </c>
      <c r="E52" s="123">
        <v>7000</v>
      </c>
      <c r="F52" s="17">
        <v>1753.76</v>
      </c>
      <c r="G52" s="17">
        <v>1760.5409999999999</v>
      </c>
      <c r="H52" s="18">
        <f>(G52-F52)*E52</f>
        <v>47466.999999999643</v>
      </c>
      <c r="I52" s="43"/>
      <c r="J52" s="20"/>
    </row>
    <row r="53" spans="1:10" ht="15.75" x14ac:dyDescent="0.25">
      <c r="A53" s="27" t="s">
        <v>73</v>
      </c>
      <c r="B53" s="123" t="s">
        <v>53</v>
      </c>
      <c r="C53" s="123">
        <v>51097590</v>
      </c>
      <c r="D53" s="124" t="s">
        <v>54</v>
      </c>
      <c r="E53" s="123">
        <v>7000</v>
      </c>
      <c r="F53" s="21">
        <v>10.754</v>
      </c>
      <c r="G53" s="21">
        <v>10.831</v>
      </c>
      <c r="H53" s="18">
        <f>(G53-F53)*E53</f>
        <v>538.99999999999966</v>
      </c>
      <c r="I53" s="43"/>
      <c r="J53" s="20"/>
    </row>
    <row r="54" spans="1:10" ht="15.75" x14ac:dyDescent="0.25">
      <c r="A54" s="15" t="s">
        <v>67</v>
      </c>
      <c r="B54" s="123" t="s">
        <v>68</v>
      </c>
      <c r="C54" s="123">
        <v>49174</v>
      </c>
      <c r="D54" s="124" t="s">
        <v>54</v>
      </c>
      <c r="E54" s="123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23"/>
      <c r="D55" s="124"/>
      <c r="E55" s="123"/>
      <c r="F55" s="21"/>
      <c r="G55" s="21"/>
      <c r="H55" s="48">
        <f>H52+H53+H54</f>
        <v>48105.999999999643</v>
      </c>
      <c r="I55" s="47"/>
      <c r="J55" s="59"/>
    </row>
    <row r="56" spans="1:10" ht="15.75" x14ac:dyDescent="0.25">
      <c r="A56" s="27" t="s">
        <v>75</v>
      </c>
      <c r="B56" s="123" t="s">
        <v>53</v>
      </c>
      <c r="C56" s="123">
        <v>51100980</v>
      </c>
      <c r="D56" s="123" t="s">
        <v>76</v>
      </c>
      <c r="E56" s="123">
        <v>12000</v>
      </c>
      <c r="F56" s="21">
        <v>1031.681</v>
      </c>
      <c r="G56" s="21">
        <v>1035.674</v>
      </c>
      <c r="H56" s="18">
        <f>(G56-F56)*E56</f>
        <v>47915.999999999258</v>
      </c>
      <c r="I56" s="47"/>
      <c r="J56" s="58"/>
    </row>
    <row r="57" spans="1:10" ht="15.75" x14ac:dyDescent="0.25">
      <c r="A57" s="27" t="s">
        <v>77</v>
      </c>
      <c r="B57" s="123" t="s">
        <v>53</v>
      </c>
      <c r="C57" s="123">
        <v>51097623</v>
      </c>
      <c r="D57" s="123" t="s">
        <v>76</v>
      </c>
      <c r="E57" s="123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23"/>
      <c r="C58" s="123"/>
      <c r="D58" s="123"/>
      <c r="E58" s="123"/>
      <c r="F58" s="21"/>
      <c r="G58" s="21"/>
      <c r="H58" s="48">
        <f>H56+H57</f>
        <v>47915.999999999258</v>
      </c>
      <c r="I58" s="61">
        <f>H55-H65-H54</f>
        <v>-21.600000000478758</v>
      </c>
      <c r="J58" s="25">
        <f>I58/H58</f>
        <v>-4.5078888055094524E-4</v>
      </c>
    </row>
    <row r="59" spans="1:10" ht="15.75" x14ac:dyDescent="0.25">
      <c r="A59" s="27" t="s">
        <v>79</v>
      </c>
      <c r="B59" s="123" t="s">
        <v>53</v>
      </c>
      <c r="C59" s="123">
        <v>51097675</v>
      </c>
      <c r="D59" s="123" t="s">
        <v>35</v>
      </c>
      <c r="E59" s="123">
        <v>4800</v>
      </c>
      <c r="F59" s="21">
        <v>428.80399999999997</v>
      </c>
      <c r="G59" s="21">
        <v>431.62700000000001</v>
      </c>
      <c r="H59" s="18">
        <f t="shared" ref="H59:H64" si="2">(G59-F59)*E59</f>
        <v>13550.400000000172</v>
      </c>
      <c r="I59" s="62"/>
      <c r="J59" s="59"/>
    </row>
    <row r="60" spans="1:10" ht="15.75" x14ac:dyDescent="0.25">
      <c r="A60" s="27" t="s">
        <v>80</v>
      </c>
      <c r="B60" s="123" t="s">
        <v>53</v>
      </c>
      <c r="C60" s="123">
        <v>51100997</v>
      </c>
      <c r="D60" s="123" t="s">
        <v>22</v>
      </c>
      <c r="E60" s="123">
        <v>3600</v>
      </c>
      <c r="F60" s="21">
        <v>1290.81</v>
      </c>
      <c r="G60" s="21">
        <v>1293.759</v>
      </c>
      <c r="H60" s="18">
        <f t="shared" si="2"/>
        <v>10616.400000000249</v>
      </c>
      <c r="I60" s="62"/>
      <c r="J60" s="59"/>
    </row>
    <row r="61" spans="1:10" ht="15.75" x14ac:dyDescent="0.25">
      <c r="A61" s="27" t="s">
        <v>81</v>
      </c>
      <c r="B61" s="123" t="s">
        <v>53</v>
      </c>
      <c r="C61" s="123">
        <v>51555218</v>
      </c>
      <c r="D61" s="123">
        <f>400/5</f>
        <v>80</v>
      </c>
      <c r="E61" s="123">
        <v>4800</v>
      </c>
      <c r="F61" s="21">
        <v>50.668999999999997</v>
      </c>
      <c r="G61" s="21">
        <v>51.170999999999999</v>
      </c>
      <c r="H61" s="18">
        <f t="shared" si="2"/>
        <v>2409.6000000000117</v>
      </c>
      <c r="I61" s="62"/>
      <c r="J61" s="59"/>
    </row>
    <row r="62" spans="1:10" ht="15.75" x14ac:dyDescent="0.25">
      <c r="A62" s="27" t="s">
        <v>82</v>
      </c>
      <c r="B62" s="123" t="s">
        <v>53</v>
      </c>
      <c r="C62" s="123">
        <v>51555151</v>
      </c>
      <c r="D62" s="123">
        <f>400/5</f>
        <v>80</v>
      </c>
      <c r="E62" s="123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23" t="s">
        <v>53</v>
      </c>
      <c r="C63" s="123">
        <v>51097599</v>
      </c>
      <c r="D63" s="123" t="s">
        <v>22</v>
      </c>
      <c r="E63" s="123">
        <v>3600</v>
      </c>
      <c r="F63" s="21">
        <v>902.27800000000002</v>
      </c>
      <c r="G63" s="21">
        <v>904.654</v>
      </c>
      <c r="H63" s="18">
        <f t="shared" si="2"/>
        <v>8553.5999999999149</v>
      </c>
      <c r="I63" s="62"/>
      <c r="J63" s="59"/>
    </row>
    <row r="64" spans="1:10" ht="15.75" x14ac:dyDescent="0.25">
      <c r="A64" s="27" t="s">
        <v>84</v>
      </c>
      <c r="B64" s="123" t="s">
        <v>53</v>
      </c>
      <c r="C64" s="123">
        <v>51097620</v>
      </c>
      <c r="D64" s="123" t="s">
        <v>35</v>
      </c>
      <c r="E64" s="123">
        <v>4800</v>
      </c>
      <c r="F64" s="21">
        <v>443.95800000000003</v>
      </c>
      <c r="G64" s="21">
        <v>446.64499999999998</v>
      </c>
      <c r="H64" s="18">
        <f t="shared" si="2"/>
        <v>12897.599999999784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48027.600000000122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23" t="s">
        <v>53</v>
      </c>
      <c r="C67" s="9">
        <v>51259238</v>
      </c>
      <c r="D67" s="74" t="s">
        <v>54</v>
      </c>
      <c r="E67" s="74">
        <v>7000</v>
      </c>
      <c r="F67" s="75">
        <v>486.01799999999997</v>
      </c>
      <c r="G67" s="75">
        <v>488.83499999999998</v>
      </c>
      <c r="H67" s="76">
        <f>(G67-F67)*E67</f>
        <v>19719.000000000051</v>
      </c>
      <c r="I67" s="77"/>
      <c r="J67" s="78"/>
    </row>
    <row r="68" spans="1:10" ht="15.75" x14ac:dyDescent="0.25">
      <c r="A68" s="27" t="s">
        <v>87</v>
      </c>
      <c r="B68" s="123" t="s">
        <v>53</v>
      </c>
      <c r="C68" s="123">
        <v>51259324</v>
      </c>
      <c r="D68" s="124" t="s">
        <v>54</v>
      </c>
      <c r="E68" s="124">
        <v>7000</v>
      </c>
      <c r="F68" s="21">
        <v>373.55099999999999</v>
      </c>
      <c r="G68" s="21">
        <v>375.58800000000002</v>
      </c>
      <c r="H68" s="18">
        <f>(G68-F68)*E68</f>
        <v>14259.000000000242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23">
        <v>51491618</v>
      </c>
      <c r="D69" s="124" t="s">
        <v>64</v>
      </c>
      <c r="E69" s="123">
        <v>40</v>
      </c>
      <c r="F69" s="28">
        <v>976.61900000000003</v>
      </c>
      <c r="G69" s="28">
        <v>987.27599999999995</v>
      </c>
      <c r="H69" s="18">
        <f>(G69-F69)*E69</f>
        <v>426.27999999999702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23">
        <v>51491624</v>
      </c>
      <c r="D70" s="124" t="s">
        <v>64</v>
      </c>
      <c r="E70" s="123">
        <v>40</v>
      </c>
      <c r="F70" s="28">
        <v>131.20599999999999</v>
      </c>
      <c r="G70" s="28">
        <v>132.46700000000001</v>
      </c>
      <c r="H70" s="18">
        <f>(G70-F70)*E70</f>
        <v>50.440000000000964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33978.000000000291</v>
      </c>
      <c r="I71" s="85">
        <f>H71-H74-H69-H70</f>
        <v>-758.71999999992522</v>
      </c>
      <c r="J71" s="25">
        <f>I71/H71</f>
        <v>-2.2329742774734204E-2</v>
      </c>
    </row>
    <row r="72" spans="1:10" ht="15.75" x14ac:dyDescent="0.25">
      <c r="A72" s="27" t="s">
        <v>92</v>
      </c>
      <c r="B72" s="123" t="s">
        <v>53</v>
      </c>
      <c r="C72" s="86">
        <v>51097588</v>
      </c>
      <c r="D72" s="124" t="s">
        <v>76</v>
      </c>
      <c r="E72" s="123">
        <v>12000</v>
      </c>
      <c r="F72" s="21">
        <v>293.25700000000001</v>
      </c>
      <c r="G72" s="21">
        <v>294.87700000000001</v>
      </c>
      <c r="H72" s="18">
        <f>(G72-F72)*E72</f>
        <v>19440.000000000055</v>
      </c>
      <c r="I72" s="51"/>
      <c r="J72" s="58"/>
    </row>
    <row r="73" spans="1:10" ht="15.75" x14ac:dyDescent="0.25">
      <c r="A73" s="27" t="s">
        <v>93</v>
      </c>
      <c r="B73" s="123" t="s">
        <v>53</v>
      </c>
      <c r="C73" s="86">
        <v>51431335</v>
      </c>
      <c r="D73" s="124" t="s">
        <v>76</v>
      </c>
      <c r="E73" s="123">
        <v>12000</v>
      </c>
      <c r="F73" s="21">
        <v>229.20099999999999</v>
      </c>
      <c r="G73" s="21">
        <v>230.43600000000001</v>
      </c>
      <c r="H73" s="18">
        <f>(G73-F73)*E73</f>
        <v>14820.000000000164</v>
      </c>
      <c r="I73" s="51"/>
      <c r="J73" s="58"/>
    </row>
    <row r="74" spans="1:10" ht="15.75" x14ac:dyDescent="0.25">
      <c r="A74" s="87" t="s">
        <v>94</v>
      </c>
      <c r="B74" s="123" t="s">
        <v>28</v>
      </c>
      <c r="C74" s="123"/>
      <c r="D74" s="124"/>
      <c r="E74" s="123"/>
      <c r="F74" s="21"/>
      <c r="G74" s="21"/>
      <c r="H74" s="48">
        <f>H72+ H73</f>
        <v>34260.000000000218</v>
      </c>
      <c r="I74" s="85">
        <f>H74-H82</f>
        <v>-49.199999999807915</v>
      </c>
      <c r="J74" s="25">
        <f>I74/H74</f>
        <v>-1.4360770577877293E-3</v>
      </c>
    </row>
    <row r="75" spans="1:10" ht="15.75" x14ac:dyDescent="0.25">
      <c r="A75" s="27" t="s">
        <v>95</v>
      </c>
      <c r="B75" s="123" t="s">
        <v>53</v>
      </c>
      <c r="C75" s="86">
        <v>51097676</v>
      </c>
      <c r="D75" s="88" t="s">
        <v>64</v>
      </c>
      <c r="E75" s="123">
        <v>2400</v>
      </c>
      <c r="F75" s="21">
        <v>602.73</v>
      </c>
      <c r="G75" s="21">
        <v>606.42700000000002</v>
      </c>
      <c r="H75" s="18">
        <f>(G75-F75)*E75</f>
        <v>8872.8000000000065</v>
      </c>
      <c r="I75" s="51"/>
      <c r="J75" s="58"/>
    </row>
    <row r="76" spans="1:10" ht="15.75" x14ac:dyDescent="0.25">
      <c r="A76" s="27" t="s">
        <v>96</v>
      </c>
      <c r="B76" s="123" t="s">
        <v>53</v>
      </c>
      <c r="C76" s="86">
        <v>51431355</v>
      </c>
      <c r="D76" s="124" t="s">
        <v>22</v>
      </c>
      <c r="E76" s="124">
        <v>3600</v>
      </c>
      <c r="F76" s="21">
        <v>328.82400000000001</v>
      </c>
      <c r="G76" s="21">
        <v>330.05500000000001</v>
      </c>
      <c r="H76" s="18">
        <f>(G76-F76)*E76</f>
        <v>4431.5999999999804</v>
      </c>
      <c r="I76" s="51"/>
      <c r="J76" s="52"/>
    </row>
    <row r="77" spans="1:10" ht="15.75" x14ac:dyDescent="0.25">
      <c r="A77" s="27" t="s">
        <v>97</v>
      </c>
      <c r="B77" s="123" t="s">
        <v>53</v>
      </c>
      <c r="C77" s="86">
        <v>51259331</v>
      </c>
      <c r="D77" s="88" t="s">
        <v>38</v>
      </c>
      <c r="E77" s="123">
        <v>600</v>
      </c>
      <c r="F77" s="21">
        <v>141.27199999999999</v>
      </c>
      <c r="G77" s="21">
        <v>142.05600000000001</v>
      </c>
      <c r="H77" s="18">
        <f>(G77-F77)*E77</f>
        <v>470.40000000001214</v>
      </c>
      <c r="I77" s="51"/>
      <c r="J77" s="52"/>
    </row>
    <row r="78" spans="1:10" ht="15.75" x14ac:dyDescent="0.25">
      <c r="A78" s="27" t="s">
        <v>98</v>
      </c>
      <c r="B78" s="123" t="s">
        <v>53</v>
      </c>
      <c r="C78" s="86">
        <v>51259326</v>
      </c>
      <c r="D78" s="88" t="s">
        <v>15</v>
      </c>
      <c r="E78" s="123">
        <v>7200</v>
      </c>
      <c r="F78" s="21">
        <v>292.42399999999998</v>
      </c>
      <c r="G78" s="21">
        <v>293.89999999999998</v>
      </c>
      <c r="H78" s="18">
        <f>(G78-F78)*E78</f>
        <v>10627.199999999993</v>
      </c>
      <c r="I78" s="51"/>
      <c r="J78" s="52"/>
    </row>
    <row r="79" spans="1:10" ht="15.75" x14ac:dyDescent="0.25">
      <c r="A79" s="27" t="s">
        <v>99</v>
      </c>
      <c r="B79" s="123" t="s">
        <v>53</v>
      </c>
      <c r="C79" s="86">
        <v>51431351</v>
      </c>
      <c r="D79" s="88" t="s">
        <v>15</v>
      </c>
      <c r="E79" s="123">
        <v>7200</v>
      </c>
      <c r="F79" s="21">
        <v>202.86199999999999</v>
      </c>
      <c r="G79" s="21">
        <v>204.238</v>
      </c>
      <c r="H79" s="18">
        <f>(G79-F79)*E79</f>
        <v>9907.2000000000335</v>
      </c>
      <c r="I79" s="51"/>
      <c r="J79" s="52"/>
    </row>
    <row r="80" spans="1:10" ht="15.75" x14ac:dyDescent="0.25">
      <c r="A80" s="89" t="s">
        <v>100</v>
      </c>
      <c r="B80" s="123" t="s">
        <v>53</v>
      </c>
      <c r="C80" s="90">
        <v>51097666</v>
      </c>
      <c r="D80" s="88" t="s">
        <v>64</v>
      </c>
      <c r="E80" s="123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23" t="s">
        <v>53</v>
      </c>
      <c r="C81" s="90">
        <v>51259323</v>
      </c>
      <c r="D81" s="88" t="s">
        <v>64</v>
      </c>
      <c r="E81" s="123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34309.200000000026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23" t="s">
        <v>53</v>
      </c>
      <c r="C84" s="106">
        <v>51431297</v>
      </c>
      <c r="D84" s="124" t="s">
        <v>54</v>
      </c>
      <c r="E84" s="100">
        <v>7000</v>
      </c>
      <c r="F84" s="17">
        <v>240.98699999999999</v>
      </c>
      <c r="G84" s="17">
        <v>241.77799999999999</v>
      </c>
      <c r="H84" s="18">
        <f>(G84-F84)*E84</f>
        <v>5536.9999999999782</v>
      </c>
      <c r="I84" s="107"/>
      <c r="J84" s="108"/>
    </row>
    <row r="85" spans="1:10" ht="15.75" x14ac:dyDescent="0.25">
      <c r="A85" s="105" t="s">
        <v>87</v>
      </c>
      <c r="B85" s="123" t="s">
        <v>53</v>
      </c>
      <c r="C85" s="106">
        <v>51431332</v>
      </c>
      <c r="D85" s="124" t="s">
        <v>54</v>
      </c>
      <c r="E85" s="100">
        <v>7000</v>
      </c>
      <c r="F85" s="21">
        <v>325.553</v>
      </c>
      <c r="G85" s="21">
        <v>327.27499999999998</v>
      </c>
      <c r="H85" s="18">
        <f>(G85-F85)*E85</f>
        <v>12053.99999999986</v>
      </c>
      <c r="I85" s="123"/>
      <c r="J85" s="58"/>
    </row>
    <row r="86" spans="1:10" ht="15.75" x14ac:dyDescent="0.25">
      <c r="A86" s="27" t="s">
        <v>88</v>
      </c>
      <c r="B86" s="123" t="s">
        <v>104</v>
      </c>
      <c r="C86" s="109">
        <v>150773</v>
      </c>
      <c r="D86" s="124" t="s">
        <v>54</v>
      </c>
      <c r="E86" s="109">
        <v>20</v>
      </c>
      <c r="F86" s="17">
        <v>15445.4</v>
      </c>
      <c r="G86" s="17">
        <v>15451.4</v>
      </c>
      <c r="H86" s="18">
        <f>(G86-F86)*E86</f>
        <v>120</v>
      </c>
      <c r="I86" s="51"/>
      <c r="J86" s="58"/>
    </row>
    <row r="87" spans="1:10" ht="15.75" x14ac:dyDescent="0.25">
      <c r="A87" s="27" t="s">
        <v>90</v>
      </c>
      <c r="B87" s="123" t="s">
        <v>104</v>
      </c>
      <c r="C87" s="109">
        <v>150791</v>
      </c>
      <c r="D87" s="124" t="s">
        <v>54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25"/>
      <c r="C88" s="32"/>
      <c r="D88" s="82"/>
      <c r="E88" s="82"/>
      <c r="F88" s="21"/>
      <c r="G88" s="21"/>
      <c r="H88" s="48">
        <f>H84+H85</f>
        <v>17590.99999999984</v>
      </c>
      <c r="I88" s="85">
        <f>H88-H91-H86-H87</f>
        <v>378.19999999994252</v>
      </c>
      <c r="J88" s="25">
        <f>I88/H88</f>
        <v>2.1499630492862597E-2</v>
      </c>
    </row>
    <row r="89" spans="1:10" ht="15.75" x14ac:dyDescent="0.25">
      <c r="A89" s="27" t="s">
        <v>105</v>
      </c>
      <c r="B89" s="123" t="s">
        <v>53</v>
      </c>
      <c r="C89" s="106">
        <v>51431342</v>
      </c>
      <c r="D89" s="88" t="s">
        <v>35</v>
      </c>
      <c r="E89" s="123">
        <v>4800</v>
      </c>
      <c r="F89" s="21">
        <v>341.36900000000003</v>
      </c>
      <c r="G89" s="21">
        <v>342.495</v>
      </c>
      <c r="H89" s="18">
        <f>(G89-F89)*E89</f>
        <v>5404.7999999998865</v>
      </c>
      <c r="I89" s="51"/>
      <c r="J89" s="52"/>
    </row>
    <row r="90" spans="1:10" ht="15.75" x14ac:dyDescent="0.25">
      <c r="A90" s="27" t="s">
        <v>106</v>
      </c>
      <c r="B90" s="123" t="s">
        <v>53</v>
      </c>
      <c r="C90" s="106">
        <v>51431343</v>
      </c>
      <c r="D90" s="88" t="s">
        <v>35</v>
      </c>
      <c r="E90" s="123">
        <v>4800</v>
      </c>
      <c r="F90" s="21">
        <v>460.80799999999999</v>
      </c>
      <c r="G90" s="21">
        <v>463.24299999999999</v>
      </c>
      <c r="H90" s="18">
        <f>(G90-F90)*E90</f>
        <v>11688.000000000011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17092.799999999897</v>
      </c>
      <c r="I91" s="85">
        <f>H91-H99</f>
        <v>-96.60000000006039</v>
      </c>
      <c r="J91" s="25">
        <f>I91/H91</f>
        <v>-5.6515023869735193E-3</v>
      </c>
    </row>
    <row r="92" spans="1:10" ht="15.75" x14ac:dyDescent="0.25">
      <c r="A92" s="27" t="s">
        <v>108</v>
      </c>
      <c r="B92" s="123" t="s">
        <v>53</v>
      </c>
      <c r="C92" s="106">
        <v>51431347</v>
      </c>
      <c r="D92" s="124" t="s">
        <v>54</v>
      </c>
      <c r="E92" s="123">
        <v>1200</v>
      </c>
      <c r="F92" s="21">
        <v>1048.7280000000001</v>
      </c>
      <c r="G92" s="21">
        <v>1057.203</v>
      </c>
      <c r="H92" s="18">
        <f t="shared" ref="H92:H100" si="4">(G92-F92)*E92</f>
        <v>10169.999999999891</v>
      </c>
      <c r="I92" s="51"/>
      <c r="J92" s="52"/>
    </row>
    <row r="93" spans="1:10" ht="15.75" x14ac:dyDescent="0.25">
      <c r="A93" s="27" t="s">
        <v>109</v>
      </c>
      <c r="B93" s="123" t="s">
        <v>53</v>
      </c>
      <c r="C93" s="106">
        <v>51431339</v>
      </c>
      <c r="D93" s="124" t="s">
        <v>54</v>
      </c>
      <c r="E93" s="123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23" t="s">
        <v>53</v>
      </c>
      <c r="C94" s="106">
        <v>51217244</v>
      </c>
      <c r="D94" s="123" t="s">
        <v>38</v>
      </c>
      <c r="E94" s="123">
        <v>600</v>
      </c>
      <c r="F94" s="30">
        <v>287.82</v>
      </c>
      <c r="G94" s="30">
        <v>290.24099999999999</v>
      </c>
      <c r="H94" s="18">
        <f t="shared" si="4"/>
        <v>1452.5999999999954</v>
      </c>
      <c r="I94" s="51"/>
      <c r="J94" s="52"/>
    </row>
    <row r="95" spans="1:10" ht="15.75" x14ac:dyDescent="0.25">
      <c r="A95" s="27" t="s">
        <v>111</v>
      </c>
      <c r="B95" s="123" t="s">
        <v>53</v>
      </c>
      <c r="C95" s="106">
        <v>51217267</v>
      </c>
      <c r="D95" s="88" t="s">
        <v>64</v>
      </c>
      <c r="E95" s="123">
        <v>2400</v>
      </c>
      <c r="F95" s="30">
        <v>19.448</v>
      </c>
      <c r="G95" s="30">
        <v>19.478999999999999</v>
      </c>
      <c r="H95" s="18">
        <f t="shared" si="4"/>
        <v>74.399999999997135</v>
      </c>
      <c r="I95" s="51"/>
      <c r="J95" s="52"/>
    </row>
    <row r="96" spans="1:10" ht="15.75" x14ac:dyDescent="0.25">
      <c r="A96" s="27" t="s">
        <v>112</v>
      </c>
      <c r="B96" s="123" t="s">
        <v>53</v>
      </c>
      <c r="C96" s="123">
        <v>51555165</v>
      </c>
      <c r="D96" s="124" t="s">
        <v>54</v>
      </c>
      <c r="E96" s="123">
        <v>1200</v>
      </c>
      <c r="F96" s="30">
        <v>771.62699999999995</v>
      </c>
      <c r="G96" s="30">
        <v>771.62699999999995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23" t="s">
        <v>53</v>
      </c>
      <c r="C97" s="106">
        <v>51431346</v>
      </c>
      <c r="D97" s="114" t="s">
        <v>38</v>
      </c>
      <c r="E97" s="114">
        <v>600</v>
      </c>
      <c r="F97" s="30">
        <v>316.92700000000002</v>
      </c>
      <c r="G97" s="30">
        <v>317.42700000000002</v>
      </c>
      <c r="H97" s="115">
        <f t="shared" si="4"/>
        <v>300</v>
      </c>
      <c r="I97" s="116"/>
      <c r="J97" s="117"/>
    </row>
    <row r="98" spans="1:10" ht="15.75" x14ac:dyDescent="0.25">
      <c r="A98" s="27" t="s">
        <v>114</v>
      </c>
      <c r="B98" s="123" t="s">
        <v>53</v>
      </c>
      <c r="C98" s="106">
        <v>51431352</v>
      </c>
      <c r="D98" s="88" t="s">
        <v>22</v>
      </c>
      <c r="E98" s="123">
        <v>3600</v>
      </c>
      <c r="F98" s="21">
        <v>185.82599999999999</v>
      </c>
      <c r="G98" s="21">
        <v>187.23500000000001</v>
      </c>
      <c r="H98" s="18">
        <f t="shared" si="4"/>
        <v>5072.4000000000724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17189.399999999958</v>
      </c>
      <c r="I99" s="51"/>
      <c r="J99" s="52"/>
    </row>
    <row r="100" spans="1:10" ht="15.75" x14ac:dyDescent="0.25">
      <c r="A100" s="45" t="s">
        <v>115</v>
      </c>
      <c r="B100" s="123" t="s">
        <v>53</v>
      </c>
      <c r="C100" s="120">
        <v>51431357</v>
      </c>
      <c r="D100" s="124" t="s">
        <v>64</v>
      </c>
      <c r="E100" s="124">
        <v>14000</v>
      </c>
      <c r="F100" s="28">
        <v>741.73099999999999</v>
      </c>
      <c r="G100" s="28">
        <v>745.48199999999997</v>
      </c>
      <c r="H100" s="121">
        <f t="shared" si="4"/>
        <v>52513.999999999665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zoomScale="115" zoomScaleNormal="115"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118</v>
      </c>
      <c r="G3" s="4" t="s">
        <v>119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26" t="s">
        <v>14</v>
      </c>
      <c r="C5" s="126">
        <v>51555166</v>
      </c>
      <c r="D5" s="126" t="s">
        <v>15</v>
      </c>
      <c r="E5" s="126">
        <v>132000</v>
      </c>
      <c r="F5" s="17">
        <v>2.8530000000000002</v>
      </c>
      <c r="G5" s="17">
        <v>2.8650000000000002</v>
      </c>
      <c r="H5" s="18">
        <f>(G5-F5)*E5</f>
        <v>1584.0000000000014</v>
      </c>
      <c r="I5" s="19"/>
      <c r="J5" s="20"/>
    </row>
    <row r="6" spans="1:10" ht="15.75" x14ac:dyDescent="0.25">
      <c r="A6" s="15" t="s">
        <v>16</v>
      </c>
      <c r="B6" s="126" t="s">
        <v>14</v>
      </c>
      <c r="C6" s="126">
        <v>51555191</v>
      </c>
      <c r="D6" s="126" t="s">
        <v>15</v>
      </c>
      <c r="E6" s="126">
        <v>132000</v>
      </c>
      <c r="F6" s="21">
        <v>320.67</v>
      </c>
      <c r="G6" s="21">
        <v>322.64499999999998</v>
      </c>
      <c r="H6" s="18">
        <f>(G6-F6)*E6</f>
        <v>260699.99999999549</v>
      </c>
      <c r="I6" s="19"/>
      <c r="J6" s="20"/>
    </row>
    <row r="7" spans="1:10" ht="15.75" x14ac:dyDescent="0.25">
      <c r="A7" s="207" t="s">
        <v>17</v>
      </c>
      <c r="B7" s="208"/>
      <c r="C7" s="126"/>
      <c r="D7" s="127"/>
      <c r="E7" s="126"/>
      <c r="H7" s="23">
        <f>H5+H6</f>
        <v>262283.99999999552</v>
      </c>
      <c r="I7" s="24">
        <f>H7-H10-H20</f>
        <v>2075.9999999945721</v>
      </c>
      <c r="J7" s="25">
        <f>I7/H7</f>
        <v>7.9150844122958617E-3</v>
      </c>
    </row>
    <row r="8" spans="1:10" ht="15.75" x14ac:dyDescent="0.25">
      <c r="A8" s="26" t="s">
        <v>18</v>
      </c>
      <c r="B8" s="126" t="s">
        <v>14</v>
      </c>
      <c r="C8" s="126">
        <v>51097629</v>
      </c>
      <c r="D8" s="127" t="s">
        <v>15</v>
      </c>
      <c r="E8" s="126">
        <v>42000</v>
      </c>
      <c r="F8" s="21">
        <v>989.90599999999995</v>
      </c>
      <c r="G8" s="21">
        <v>994.28599999999994</v>
      </c>
      <c r="H8" s="18">
        <f>(G8-F8)*E8</f>
        <v>183959.9999999998</v>
      </c>
      <c r="I8" s="19"/>
      <c r="J8" s="20"/>
    </row>
    <row r="9" spans="1:10" ht="15.75" x14ac:dyDescent="0.25">
      <c r="A9" s="26" t="s">
        <v>19</v>
      </c>
      <c r="B9" s="126" t="s">
        <v>14</v>
      </c>
      <c r="C9" s="126">
        <v>51616820</v>
      </c>
      <c r="D9" s="127" t="s">
        <v>15</v>
      </c>
      <c r="E9" s="126">
        <v>42000</v>
      </c>
      <c r="F9" s="21">
        <v>4.8609999999999998</v>
      </c>
      <c r="G9" s="21">
        <v>4.8849999999999998</v>
      </c>
      <c r="H9" s="18">
        <f>(G9-F9)*E9</f>
        <v>1008.0000000000009</v>
      </c>
      <c r="I9" s="19"/>
      <c r="J9" s="20"/>
    </row>
    <row r="10" spans="1:10" ht="15.75" x14ac:dyDescent="0.25">
      <c r="A10" s="207" t="s">
        <v>20</v>
      </c>
      <c r="B10" s="208"/>
      <c r="C10" s="126"/>
      <c r="D10" s="127"/>
      <c r="E10" s="126"/>
      <c r="F10" s="21"/>
      <c r="G10" s="21"/>
      <c r="H10" s="23">
        <f>H8+H9</f>
        <v>184967.9999999998</v>
      </c>
      <c r="I10" s="24">
        <f>H10-H17</f>
        <v>-21.000000001426088</v>
      </c>
      <c r="J10" s="25">
        <f>I10/H10</f>
        <v>-1.1353315168800069E-4</v>
      </c>
    </row>
    <row r="11" spans="1:10" ht="15.75" x14ac:dyDescent="0.25">
      <c r="A11" s="27" t="s">
        <v>21</v>
      </c>
      <c r="B11" s="126" t="s">
        <v>14</v>
      </c>
      <c r="C11" s="126">
        <v>51217286</v>
      </c>
      <c r="D11" s="127" t="s">
        <v>22</v>
      </c>
      <c r="E11" s="126">
        <v>21000</v>
      </c>
      <c r="F11" s="21">
        <v>785.61599999999999</v>
      </c>
      <c r="G11" s="21">
        <v>788.827</v>
      </c>
      <c r="H11" s="18">
        <f t="shared" ref="H11:H16" si="0">(G11-F11)*E11</f>
        <v>67431.000000000262</v>
      </c>
      <c r="I11" s="19"/>
      <c r="J11" s="20"/>
    </row>
    <row r="12" spans="1:10" ht="15.75" x14ac:dyDescent="0.25">
      <c r="A12" s="27" t="s">
        <v>23</v>
      </c>
      <c r="B12" s="126" t="s">
        <v>14</v>
      </c>
      <c r="C12" s="126">
        <v>51217292</v>
      </c>
      <c r="D12" s="127" t="s">
        <v>22</v>
      </c>
      <c r="E12" s="126">
        <v>21000</v>
      </c>
      <c r="F12" s="28">
        <v>3.2850000000000001</v>
      </c>
      <c r="G12" s="28">
        <v>3.3109999999999999</v>
      </c>
      <c r="H12" s="18">
        <f>(G12-F12)*E12</f>
        <v>545.99999999999579</v>
      </c>
      <c r="I12" s="19"/>
      <c r="J12" s="20"/>
    </row>
    <row r="13" spans="1:10" ht="15.75" x14ac:dyDescent="0.25">
      <c r="A13" s="27" t="s">
        <v>24</v>
      </c>
      <c r="B13" s="126" t="s">
        <v>14</v>
      </c>
      <c r="C13" s="126">
        <v>51217271</v>
      </c>
      <c r="D13" s="127" t="s">
        <v>22</v>
      </c>
      <c r="E13" s="126">
        <v>21000</v>
      </c>
      <c r="F13" s="21">
        <v>574.23800000000006</v>
      </c>
      <c r="G13" s="21">
        <v>576.81500000000005</v>
      </c>
      <c r="H13" s="18">
        <f t="shared" si="0"/>
        <v>54116.999999999964</v>
      </c>
      <c r="I13" s="19"/>
      <c r="J13" s="20"/>
    </row>
    <row r="14" spans="1:10" ht="15.75" x14ac:dyDescent="0.25">
      <c r="A14" s="27" t="s">
        <v>25</v>
      </c>
      <c r="B14" s="126" t="s">
        <v>14</v>
      </c>
      <c r="C14" s="126">
        <v>51217276</v>
      </c>
      <c r="D14" s="127" t="s">
        <v>22</v>
      </c>
      <c r="E14" s="126">
        <v>21000</v>
      </c>
      <c r="F14" s="28">
        <v>0.47299999999999998</v>
      </c>
      <c r="G14" s="28">
        <v>0.48099999999999998</v>
      </c>
      <c r="H14" s="18">
        <f>(G14-F14)*E14</f>
        <v>168.00000000000014</v>
      </c>
      <c r="I14" s="19"/>
      <c r="J14" s="20"/>
    </row>
    <row r="15" spans="1:10" ht="15.75" x14ac:dyDescent="0.25">
      <c r="A15" s="27" t="s">
        <v>26</v>
      </c>
      <c r="B15" s="126" t="s">
        <v>14</v>
      </c>
      <c r="C15" s="126">
        <v>51100990</v>
      </c>
      <c r="D15" s="127" t="s">
        <v>22</v>
      </c>
      <c r="E15" s="126">
        <v>21000</v>
      </c>
      <c r="F15" s="29">
        <v>625.69799999999998</v>
      </c>
      <c r="G15" s="29">
        <v>628.67200000000003</v>
      </c>
      <c r="H15" s="18">
        <f t="shared" si="0"/>
        <v>62454.000000000975</v>
      </c>
      <c r="I15" s="19"/>
      <c r="J15" s="20"/>
    </row>
    <row r="16" spans="1:10" ht="15.75" x14ac:dyDescent="0.25">
      <c r="A16" s="27" t="s">
        <v>27</v>
      </c>
      <c r="B16" s="126" t="s">
        <v>14</v>
      </c>
      <c r="C16" s="126">
        <v>51097622</v>
      </c>
      <c r="D16" s="127" t="s">
        <v>22</v>
      </c>
      <c r="E16" s="126">
        <v>21000</v>
      </c>
      <c r="F16" s="21">
        <v>2.7509999999999999</v>
      </c>
      <c r="G16" s="21">
        <v>2.7639999999999998</v>
      </c>
      <c r="H16" s="18">
        <f t="shared" si="0"/>
        <v>272.9999999999979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26"/>
      <c r="D17" s="127"/>
      <c r="E17" s="126"/>
      <c r="F17" s="21"/>
      <c r="G17" s="21"/>
      <c r="H17" s="23">
        <f>H11+H12+H13+H14+H15+H16</f>
        <v>184989.00000000122</v>
      </c>
      <c r="I17" s="19"/>
      <c r="J17" s="20"/>
    </row>
    <row r="18" spans="1:10" ht="15.75" x14ac:dyDescent="0.25">
      <c r="A18" s="26" t="s">
        <v>30</v>
      </c>
      <c r="B18" s="126" t="s">
        <v>14</v>
      </c>
      <c r="C18" s="126">
        <v>51097617</v>
      </c>
      <c r="D18" s="127" t="s">
        <v>31</v>
      </c>
      <c r="E18" s="126">
        <v>18000</v>
      </c>
      <c r="F18" s="30">
        <v>747.48299999999995</v>
      </c>
      <c r="G18" s="30">
        <v>751.66300000000001</v>
      </c>
      <c r="H18" s="18">
        <f>(G18-F18)*E18</f>
        <v>75240.00000000115</v>
      </c>
      <c r="I18" s="19"/>
      <c r="J18" s="20"/>
    </row>
    <row r="19" spans="1:10" ht="15.75" x14ac:dyDescent="0.25">
      <c r="A19" s="26" t="s">
        <v>32</v>
      </c>
      <c r="B19" s="126" t="s">
        <v>14</v>
      </c>
      <c r="C19" s="126">
        <v>51097655</v>
      </c>
      <c r="D19" s="127" t="s">
        <v>31</v>
      </c>
      <c r="E19" s="126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26"/>
      <c r="D20" s="127"/>
      <c r="E20" s="126"/>
      <c r="F20" s="30"/>
      <c r="G20" s="30"/>
      <c r="H20" s="23">
        <f>H18+H19</f>
        <v>75240.00000000115</v>
      </c>
      <c r="I20" s="24">
        <f>H20-H35</f>
        <v>2826.0000000011642</v>
      </c>
      <c r="J20" s="25">
        <f>I20/H20</f>
        <v>3.7559808612455087E-2</v>
      </c>
    </row>
    <row r="21" spans="1:10" ht="15.75" x14ac:dyDescent="0.25">
      <c r="A21" s="15" t="s">
        <v>34</v>
      </c>
      <c r="B21" s="126" t="s">
        <v>14</v>
      </c>
      <c r="C21" s="126">
        <v>51217282</v>
      </c>
      <c r="D21" s="127" t="s">
        <v>35</v>
      </c>
      <c r="E21" s="126">
        <v>4800</v>
      </c>
      <c r="F21" s="21">
        <v>379.26400000000001</v>
      </c>
      <c r="G21" s="21">
        <v>379.30700000000002</v>
      </c>
      <c r="H21" s="18">
        <f t="shared" ref="H21:H34" si="1">(G21-F21)*E21</f>
        <v>206.40000000003056</v>
      </c>
      <c r="I21" s="19" t="s">
        <v>28</v>
      </c>
      <c r="J21" s="20"/>
    </row>
    <row r="22" spans="1:10" ht="15.75" x14ac:dyDescent="0.25">
      <c r="A22" s="15" t="s">
        <v>36</v>
      </c>
      <c r="B22" s="126" t="s">
        <v>14</v>
      </c>
      <c r="C22" s="126">
        <v>51217274</v>
      </c>
      <c r="D22" s="127" t="s">
        <v>35</v>
      </c>
      <c r="E22" s="126">
        <v>4800</v>
      </c>
      <c r="F22" s="21">
        <v>1179.412</v>
      </c>
      <c r="G22" s="21">
        <v>1185.4280000000001</v>
      </c>
      <c r="H22" s="18">
        <f t="shared" si="1"/>
        <v>28876.800000000367</v>
      </c>
      <c r="I22" s="19"/>
      <c r="J22" s="20"/>
    </row>
    <row r="23" spans="1:10" ht="15.75" x14ac:dyDescent="0.25">
      <c r="A23" s="15" t="s">
        <v>37</v>
      </c>
      <c r="B23" s="126" t="s">
        <v>14</v>
      </c>
      <c r="C23" s="126">
        <v>51097664</v>
      </c>
      <c r="D23" s="127" t="s">
        <v>38</v>
      </c>
      <c r="E23" s="126">
        <v>600</v>
      </c>
      <c r="F23" s="21">
        <v>4.3109999999999999</v>
      </c>
      <c r="G23" s="21">
        <v>4.33</v>
      </c>
      <c r="H23" s="18">
        <f t="shared" si="1"/>
        <v>11.400000000000077</v>
      </c>
      <c r="I23" s="19"/>
      <c r="J23" s="20"/>
    </row>
    <row r="24" spans="1:10" ht="15.75" x14ac:dyDescent="0.25">
      <c r="A24" s="15" t="s">
        <v>39</v>
      </c>
      <c r="B24" s="126" t="s">
        <v>14</v>
      </c>
      <c r="C24" s="126">
        <v>51097615</v>
      </c>
      <c r="D24" s="127" t="s">
        <v>38</v>
      </c>
      <c r="E24" s="126">
        <v>600</v>
      </c>
      <c r="F24" s="21">
        <v>34.298000000000002</v>
      </c>
      <c r="G24" s="21">
        <v>34.680999999999997</v>
      </c>
      <c r="H24" s="18">
        <f t="shared" si="1"/>
        <v>229.79999999999734</v>
      </c>
      <c r="I24" s="19"/>
      <c r="J24" s="20"/>
    </row>
    <row r="25" spans="1:10" ht="15.75" x14ac:dyDescent="0.25">
      <c r="A25" s="15" t="s">
        <v>40</v>
      </c>
      <c r="B25" s="126" t="s">
        <v>14</v>
      </c>
      <c r="C25" s="126">
        <v>51217264</v>
      </c>
      <c r="D25" s="127" t="s">
        <v>38</v>
      </c>
      <c r="E25" s="126">
        <v>600</v>
      </c>
      <c r="F25" s="21">
        <v>84.668999999999997</v>
      </c>
      <c r="G25" s="21">
        <v>85.292000000000002</v>
      </c>
      <c r="H25" s="18">
        <f t="shared" si="1"/>
        <v>373.8000000000028</v>
      </c>
      <c r="I25" s="19"/>
      <c r="J25" s="20"/>
    </row>
    <row r="26" spans="1:10" ht="15.75" x14ac:dyDescent="0.25">
      <c r="A26" s="15" t="s">
        <v>41</v>
      </c>
      <c r="B26" s="126" t="s">
        <v>14</v>
      </c>
      <c r="C26" s="126">
        <v>51217288</v>
      </c>
      <c r="D26" s="127" t="s">
        <v>38</v>
      </c>
      <c r="E26" s="126">
        <v>600</v>
      </c>
      <c r="F26" s="21">
        <v>19.591999999999999</v>
      </c>
      <c r="G26" s="21">
        <v>19.623000000000001</v>
      </c>
      <c r="H26" s="18">
        <f t="shared" si="1"/>
        <v>18.600000000001415</v>
      </c>
      <c r="I26" s="19" t="s">
        <v>28</v>
      </c>
      <c r="J26" s="20"/>
    </row>
    <row r="27" spans="1:10" ht="15.75" x14ac:dyDescent="0.25">
      <c r="A27" s="15" t="s">
        <v>42</v>
      </c>
      <c r="B27" s="126" t="s">
        <v>14</v>
      </c>
      <c r="C27" s="126">
        <v>51217279</v>
      </c>
      <c r="D27" s="127" t="s">
        <v>38</v>
      </c>
      <c r="E27" s="126">
        <v>600</v>
      </c>
      <c r="F27" s="21">
        <v>13.757</v>
      </c>
      <c r="G27" s="21">
        <v>13.811</v>
      </c>
      <c r="H27" s="18">
        <f t="shared" si="1"/>
        <v>32.400000000000162</v>
      </c>
      <c r="I27" s="19" t="s">
        <v>28</v>
      </c>
      <c r="J27" s="20"/>
    </row>
    <row r="28" spans="1:10" ht="15.75" x14ac:dyDescent="0.25">
      <c r="A28" s="15" t="s">
        <v>43</v>
      </c>
      <c r="B28" s="126" t="s">
        <v>14</v>
      </c>
      <c r="C28" s="126">
        <v>51217272</v>
      </c>
      <c r="D28" s="127" t="s">
        <v>38</v>
      </c>
      <c r="E28" s="126">
        <v>600</v>
      </c>
      <c r="F28" s="31">
        <v>13.494999999999999</v>
      </c>
      <c r="G28" s="31">
        <v>13.548999999999999</v>
      </c>
      <c r="H28" s="18">
        <f t="shared" si="1"/>
        <v>32.400000000000162</v>
      </c>
      <c r="I28" s="19"/>
      <c r="J28" s="20"/>
    </row>
    <row r="29" spans="1:10" ht="15.75" x14ac:dyDescent="0.25">
      <c r="A29" s="15" t="s">
        <v>44</v>
      </c>
      <c r="B29" s="126" t="s">
        <v>14</v>
      </c>
      <c r="C29" s="126">
        <v>51616744</v>
      </c>
      <c r="D29" s="127">
        <f>300/5</f>
        <v>60</v>
      </c>
      <c r="E29" s="126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26" t="s">
        <v>14</v>
      </c>
      <c r="C30" s="126">
        <v>51555226</v>
      </c>
      <c r="D30" s="127">
        <f>300/5</f>
        <v>60</v>
      </c>
      <c r="E30" s="126">
        <v>3600</v>
      </c>
      <c r="F30" s="31">
        <v>402.142</v>
      </c>
      <c r="G30" s="31">
        <v>406.20299999999997</v>
      </c>
      <c r="H30" s="18">
        <f>(G30-F30)*E30</f>
        <v>14619.599999999922</v>
      </c>
      <c r="I30" s="19"/>
      <c r="J30" s="20"/>
    </row>
    <row r="31" spans="1:10" ht="15.75" x14ac:dyDescent="0.25">
      <c r="A31" s="15" t="s">
        <v>46</v>
      </c>
      <c r="B31" s="126" t="s">
        <v>14</v>
      </c>
      <c r="C31" s="126">
        <v>51097658</v>
      </c>
      <c r="D31" s="127" t="s">
        <v>35</v>
      </c>
      <c r="E31" s="126">
        <v>4800</v>
      </c>
      <c r="F31" s="31">
        <v>571.58500000000004</v>
      </c>
      <c r="G31" s="31">
        <v>574.82299999999998</v>
      </c>
      <c r="H31" s="18">
        <f t="shared" si="1"/>
        <v>15542.399999999725</v>
      </c>
      <c r="I31" s="19"/>
      <c r="J31" s="20"/>
    </row>
    <row r="32" spans="1:10" ht="15.75" x14ac:dyDescent="0.25">
      <c r="A32" s="15" t="s">
        <v>47</v>
      </c>
      <c r="B32" s="126" t="s">
        <v>14</v>
      </c>
      <c r="C32" s="126">
        <v>51097635</v>
      </c>
      <c r="D32" s="127" t="s">
        <v>35</v>
      </c>
      <c r="E32" s="126">
        <v>4800</v>
      </c>
      <c r="F32" s="31">
        <v>48.442</v>
      </c>
      <c r="G32" s="31">
        <v>48.442999999999998</v>
      </c>
      <c r="H32" s="18">
        <f t="shared" si="1"/>
        <v>4.7999999999888132</v>
      </c>
      <c r="I32" s="19"/>
      <c r="J32" s="20"/>
    </row>
    <row r="33" spans="1:10" ht="15.75" x14ac:dyDescent="0.25">
      <c r="A33" s="15" t="s">
        <v>48</v>
      </c>
      <c r="B33" s="126" t="s">
        <v>14</v>
      </c>
      <c r="C33" s="32">
        <v>51097633</v>
      </c>
      <c r="D33" s="127" t="s">
        <v>35</v>
      </c>
      <c r="E33" s="126">
        <v>4800</v>
      </c>
      <c r="F33" s="31">
        <v>120.79600000000001</v>
      </c>
      <c r="G33" s="31">
        <v>123.34099999999999</v>
      </c>
      <c r="H33" s="33">
        <f t="shared" si="1"/>
        <v>12215.99999999994</v>
      </c>
      <c r="I33" s="34"/>
      <c r="J33" s="35"/>
    </row>
    <row r="34" spans="1:10" ht="15.75" x14ac:dyDescent="0.25">
      <c r="A34" s="15" t="s">
        <v>49</v>
      </c>
      <c r="B34" s="126" t="s">
        <v>14</v>
      </c>
      <c r="C34" s="32">
        <v>51097662</v>
      </c>
      <c r="D34" s="127" t="s">
        <v>35</v>
      </c>
      <c r="E34" s="126">
        <v>4800</v>
      </c>
      <c r="F34" s="31">
        <v>2.2850000000000001</v>
      </c>
      <c r="G34" s="31">
        <v>2.3370000000000002</v>
      </c>
      <c r="H34" s="33">
        <f t="shared" si="1"/>
        <v>249.60000000000022</v>
      </c>
      <c r="I34" s="34"/>
      <c r="J34" s="35"/>
    </row>
    <row r="35" spans="1:10" ht="15.75" x14ac:dyDescent="0.25">
      <c r="A35" s="207" t="s">
        <v>50</v>
      </c>
      <c r="B35" s="208"/>
      <c r="C35" s="126"/>
      <c r="D35" s="127"/>
      <c r="E35" s="126"/>
      <c r="F35" s="36"/>
      <c r="G35" s="36"/>
      <c r="H35" s="23">
        <f>H21+H22+H23+H24+H25+H26+H27+H28+H29+H30+H31+H32+H33+H34</f>
        <v>72413.999999999985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26" t="s">
        <v>53</v>
      </c>
      <c r="C37" s="126">
        <v>51555209</v>
      </c>
      <c r="D37" s="127" t="s">
        <v>54</v>
      </c>
      <c r="E37" s="126">
        <v>7000</v>
      </c>
      <c r="F37" s="17">
        <v>4.6059999999999999</v>
      </c>
      <c r="G37" s="17">
        <v>4.6500000000000004</v>
      </c>
      <c r="H37" s="41">
        <f>(G37-F37)*E37</f>
        <v>308.00000000000341</v>
      </c>
      <c r="I37" s="42"/>
      <c r="J37" s="14"/>
    </row>
    <row r="38" spans="1:10" ht="15.75" x14ac:dyDescent="0.25">
      <c r="A38" s="15" t="s">
        <v>55</v>
      </c>
      <c r="B38" s="126" t="s">
        <v>53</v>
      </c>
      <c r="C38" s="126">
        <v>51555209</v>
      </c>
      <c r="D38" s="127" t="s">
        <v>54</v>
      </c>
      <c r="E38" s="126">
        <v>7000</v>
      </c>
      <c r="F38" s="21">
        <v>9.2639999999999993</v>
      </c>
      <c r="G38" s="21">
        <v>9.3019999999999996</v>
      </c>
      <c r="H38" s="18">
        <f>(G38-F38)*E38</f>
        <v>266.00000000000182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26" t="s">
        <v>53</v>
      </c>
      <c r="C40" s="126">
        <v>51097674</v>
      </c>
      <c r="D40" s="126" t="s">
        <v>15</v>
      </c>
      <c r="E40" s="126">
        <v>7200</v>
      </c>
      <c r="F40" s="21">
        <v>532.13</v>
      </c>
      <c r="G40" s="21">
        <v>534.55600000000004</v>
      </c>
      <c r="H40" s="18">
        <f>(G40-F40)*E40</f>
        <v>17467.200000000321</v>
      </c>
      <c r="I40" s="47"/>
      <c r="J40" s="20"/>
    </row>
    <row r="41" spans="1:10" ht="15.75" x14ac:dyDescent="0.25">
      <c r="A41" s="27" t="s">
        <v>58</v>
      </c>
      <c r="B41" s="126" t="s">
        <v>53</v>
      </c>
      <c r="C41" s="126">
        <v>51259257</v>
      </c>
      <c r="D41" s="126" t="s">
        <v>15</v>
      </c>
      <c r="E41" s="126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26"/>
      <c r="C42" s="126"/>
      <c r="D42" s="126"/>
      <c r="E42" s="126"/>
      <c r="F42" s="21"/>
      <c r="G42" s="21"/>
      <c r="H42" s="48">
        <f>H40+H41</f>
        <v>17467.200000000321</v>
      </c>
      <c r="I42" s="24">
        <f>H42-H50</f>
        <v>-113.59999999953652</v>
      </c>
      <c r="J42" s="25">
        <f>I42/H42</f>
        <v>-6.503618210104335E-3</v>
      </c>
    </row>
    <row r="43" spans="1:10" ht="15.75" x14ac:dyDescent="0.25">
      <c r="A43" s="15" t="s">
        <v>60</v>
      </c>
      <c r="B43" s="126"/>
      <c r="C43" s="126"/>
      <c r="D43" s="127"/>
      <c r="E43" s="126"/>
      <c r="H43" s="18"/>
      <c r="I43" s="43"/>
      <c r="J43" s="20"/>
    </row>
    <row r="44" spans="1:10" ht="15.75" x14ac:dyDescent="0.25">
      <c r="A44" s="27" t="s">
        <v>61</v>
      </c>
      <c r="B44" s="126" t="s">
        <v>53</v>
      </c>
      <c r="C44" s="32">
        <v>51097648</v>
      </c>
      <c r="D44" s="126" t="s">
        <v>54</v>
      </c>
      <c r="E44" s="126">
        <v>1200</v>
      </c>
      <c r="F44" s="21">
        <v>435.96699999999998</v>
      </c>
      <c r="G44" s="21">
        <v>438.13600000000002</v>
      </c>
      <c r="H44" s="33">
        <f>(G44-F44)*E44</f>
        <v>2602.8000000000475</v>
      </c>
      <c r="I44" s="43"/>
      <c r="J44" s="20"/>
    </row>
    <row r="45" spans="1:10" ht="15.75" x14ac:dyDescent="0.25">
      <c r="A45" s="27" t="s">
        <v>62</v>
      </c>
      <c r="B45" s="126" t="s">
        <v>53</v>
      </c>
      <c r="C45" s="32">
        <v>50555043</v>
      </c>
      <c r="D45" s="126" t="s">
        <v>54</v>
      </c>
      <c r="E45" s="126">
        <v>1200</v>
      </c>
      <c r="F45" s="21">
        <v>1824.7470000000001</v>
      </c>
      <c r="G45" s="21">
        <v>1832.817</v>
      </c>
      <c r="H45" s="33">
        <f>(G45-F45)*E45</f>
        <v>9683.9999999999236</v>
      </c>
      <c r="I45" s="43"/>
      <c r="J45" s="20"/>
    </row>
    <row r="46" spans="1:10" ht="15.75" x14ac:dyDescent="0.25">
      <c r="A46" s="27" t="s">
        <v>63</v>
      </c>
      <c r="B46" s="126" t="s">
        <v>53</v>
      </c>
      <c r="C46" s="32">
        <v>51259336</v>
      </c>
      <c r="D46" s="126" t="s">
        <v>64</v>
      </c>
      <c r="E46" s="126">
        <v>2400</v>
      </c>
      <c r="F46" s="21">
        <v>3.78</v>
      </c>
      <c r="G46" s="21">
        <v>3.794</v>
      </c>
      <c r="H46" s="33">
        <f>(G46-F46)*E46</f>
        <v>33.600000000000563</v>
      </c>
      <c r="I46" s="43"/>
      <c r="J46" s="20"/>
    </row>
    <row r="47" spans="1:10" ht="15.75" x14ac:dyDescent="0.25">
      <c r="A47" s="27" t="s">
        <v>65</v>
      </c>
      <c r="B47" s="126" t="s">
        <v>53</v>
      </c>
      <c r="C47" s="32">
        <v>51259266</v>
      </c>
      <c r="D47" s="126" t="s">
        <v>54</v>
      </c>
      <c r="E47" s="126">
        <v>1200</v>
      </c>
      <c r="F47" s="21">
        <v>884.20500000000004</v>
      </c>
      <c r="G47" s="21">
        <v>888.15599999999995</v>
      </c>
      <c r="H47" s="33">
        <f>(G47-F47)*E47</f>
        <v>4741.1999999998898</v>
      </c>
      <c r="I47" s="43"/>
      <c r="J47" s="20"/>
    </row>
    <row r="48" spans="1:10" ht="15.75" x14ac:dyDescent="0.25">
      <c r="A48" s="27" t="s">
        <v>66</v>
      </c>
      <c r="B48" s="126" t="s">
        <v>53</v>
      </c>
      <c r="C48" s="32">
        <v>51431336</v>
      </c>
      <c r="D48" s="126" t="s">
        <v>54</v>
      </c>
      <c r="E48" s="126">
        <v>1200</v>
      </c>
      <c r="F48" s="21">
        <v>49.152999999999999</v>
      </c>
      <c r="G48" s="21">
        <v>49.543999999999997</v>
      </c>
      <c r="H48" s="33">
        <f>(G48-F48)*E48</f>
        <v>469.19999999999789</v>
      </c>
      <c r="I48" s="43"/>
      <c r="J48" s="20"/>
    </row>
    <row r="49" spans="1:10" ht="15.75" x14ac:dyDescent="0.25">
      <c r="A49" s="15" t="s">
        <v>67</v>
      </c>
      <c r="B49" s="126" t="s">
        <v>68</v>
      </c>
      <c r="C49" s="126">
        <v>49174</v>
      </c>
      <c r="D49" s="127" t="s">
        <v>54</v>
      </c>
      <c r="E49" s="126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17580.799999999857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26" t="s">
        <v>53</v>
      </c>
      <c r="C52" s="126">
        <v>51097603</v>
      </c>
      <c r="D52" s="127" t="s">
        <v>54</v>
      </c>
      <c r="E52" s="126">
        <v>7000</v>
      </c>
      <c r="F52" s="17">
        <v>1760.5409999999999</v>
      </c>
      <c r="G52" s="17">
        <v>1767.47</v>
      </c>
      <c r="H52" s="18">
        <f>(G52-F52)*E52</f>
        <v>48503.000000000611</v>
      </c>
      <c r="I52" s="43"/>
      <c r="J52" s="20"/>
    </row>
    <row r="53" spans="1:10" ht="15.75" x14ac:dyDescent="0.25">
      <c r="A53" s="27" t="s">
        <v>73</v>
      </c>
      <c r="B53" s="126" t="s">
        <v>53</v>
      </c>
      <c r="C53" s="126">
        <v>51097590</v>
      </c>
      <c r="D53" s="127" t="s">
        <v>54</v>
      </c>
      <c r="E53" s="126">
        <v>7000</v>
      </c>
      <c r="F53" s="21">
        <v>10.831</v>
      </c>
      <c r="G53" s="21">
        <v>10.907999999999999</v>
      </c>
      <c r="H53" s="18">
        <f>(G53-F53)*E53</f>
        <v>538.99999999999966</v>
      </c>
      <c r="I53" s="43"/>
      <c r="J53" s="20"/>
    </row>
    <row r="54" spans="1:10" ht="15.75" x14ac:dyDescent="0.25">
      <c r="A54" s="15" t="s">
        <v>67</v>
      </c>
      <c r="B54" s="126" t="s">
        <v>68</v>
      </c>
      <c r="C54" s="126">
        <v>49174</v>
      </c>
      <c r="D54" s="127" t="s">
        <v>54</v>
      </c>
      <c r="E54" s="126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26"/>
      <c r="D55" s="127"/>
      <c r="E55" s="126"/>
      <c r="F55" s="21"/>
      <c r="G55" s="21"/>
      <c r="H55" s="48">
        <f>H52+H53+H54</f>
        <v>49142.000000000611</v>
      </c>
      <c r="I55" s="47"/>
      <c r="J55" s="59"/>
    </row>
    <row r="56" spans="1:10" ht="15.75" x14ac:dyDescent="0.25">
      <c r="A56" s="27" t="s">
        <v>75</v>
      </c>
      <c r="B56" s="126" t="s">
        <v>53</v>
      </c>
      <c r="C56" s="126">
        <v>51100980</v>
      </c>
      <c r="D56" s="126" t="s">
        <v>76</v>
      </c>
      <c r="E56" s="126">
        <v>12000</v>
      </c>
      <c r="F56" s="21">
        <v>1035.674</v>
      </c>
      <c r="G56" s="21">
        <v>1039.759</v>
      </c>
      <c r="H56" s="18">
        <f>(G56-F56)*E56</f>
        <v>49020.000000000437</v>
      </c>
      <c r="I56" s="47"/>
      <c r="J56" s="58"/>
    </row>
    <row r="57" spans="1:10" ht="15.75" x14ac:dyDescent="0.25">
      <c r="A57" s="27" t="s">
        <v>77</v>
      </c>
      <c r="B57" s="126" t="s">
        <v>53</v>
      </c>
      <c r="C57" s="126">
        <v>51097623</v>
      </c>
      <c r="D57" s="126" t="s">
        <v>76</v>
      </c>
      <c r="E57" s="126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26"/>
      <c r="C58" s="126"/>
      <c r="D58" s="126"/>
      <c r="E58" s="126"/>
      <c r="F58" s="21"/>
      <c r="G58" s="21"/>
      <c r="H58" s="48">
        <f>H56+H57</f>
        <v>49020.000000000437</v>
      </c>
      <c r="I58" s="61">
        <f>H55-H65-H54</f>
        <v>-57.19999999931315</v>
      </c>
      <c r="J58" s="25">
        <f>I58/H58</f>
        <v>-1.1668706650206577E-3</v>
      </c>
    </row>
    <row r="59" spans="1:10" ht="15.75" x14ac:dyDescent="0.25">
      <c r="A59" s="27" t="s">
        <v>79</v>
      </c>
      <c r="B59" s="126" t="s">
        <v>53</v>
      </c>
      <c r="C59" s="126">
        <v>51097675</v>
      </c>
      <c r="D59" s="126" t="s">
        <v>35</v>
      </c>
      <c r="E59" s="126">
        <v>4800</v>
      </c>
      <c r="F59" s="21">
        <v>431.62700000000001</v>
      </c>
      <c r="G59" s="21">
        <v>434.608</v>
      </c>
      <c r="H59" s="18">
        <f t="shared" ref="H59:H64" si="2">(G59-F59)*E59</f>
        <v>14308.799999999974</v>
      </c>
      <c r="I59" s="62"/>
      <c r="J59" s="59"/>
    </row>
    <row r="60" spans="1:10" ht="15.75" x14ac:dyDescent="0.25">
      <c r="A60" s="27" t="s">
        <v>80</v>
      </c>
      <c r="B60" s="126" t="s">
        <v>53</v>
      </c>
      <c r="C60" s="126">
        <v>51100997</v>
      </c>
      <c r="D60" s="126" t="s">
        <v>22</v>
      </c>
      <c r="E60" s="126">
        <v>3600</v>
      </c>
      <c r="F60" s="21">
        <v>1293.759</v>
      </c>
      <c r="G60" s="21">
        <v>1296.7619999999999</v>
      </c>
      <c r="H60" s="18">
        <f t="shared" si="2"/>
        <v>10810.799999999745</v>
      </c>
      <c r="I60" s="62"/>
      <c r="J60" s="59"/>
    </row>
    <row r="61" spans="1:10" ht="15.75" x14ac:dyDescent="0.25">
      <c r="A61" s="27" t="s">
        <v>81</v>
      </c>
      <c r="B61" s="126" t="s">
        <v>53</v>
      </c>
      <c r="C61" s="126">
        <v>51555218</v>
      </c>
      <c r="D61" s="126">
        <f>400/5</f>
        <v>80</v>
      </c>
      <c r="E61" s="126">
        <v>4800</v>
      </c>
      <c r="F61" s="21">
        <v>51.170999999999999</v>
      </c>
      <c r="G61" s="21">
        <v>51.701000000000001</v>
      </c>
      <c r="H61" s="18">
        <f t="shared" si="2"/>
        <v>2544.0000000000055</v>
      </c>
      <c r="I61" s="62"/>
      <c r="J61" s="59"/>
    </row>
    <row r="62" spans="1:10" ht="15.75" x14ac:dyDescent="0.25">
      <c r="A62" s="27" t="s">
        <v>82</v>
      </c>
      <c r="B62" s="126" t="s">
        <v>53</v>
      </c>
      <c r="C62" s="126">
        <v>51555151</v>
      </c>
      <c r="D62" s="126">
        <f>400/5</f>
        <v>80</v>
      </c>
      <c r="E62" s="126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26" t="s">
        <v>53</v>
      </c>
      <c r="C63" s="126">
        <v>51097599</v>
      </c>
      <c r="D63" s="126" t="s">
        <v>22</v>
      </c>
      <c r="E63" s="126">
        <v>3600</v>
      </c>
      <c r="F63" s="21">
        <v>904.654</v>
      </c>
      <c r="G63" s="21">
        <v>907.00300000000004</v>
      </c>
      <c r="H63" s="18">
        <f t="shared" si="2"/>
        <v>8456.400000000167</v>
      </c>
      <c r="I63" s="62"/>
      <c r="J63" s="59"/>
    </row>
    <row r="64" spans="1:10" ht="15.75" x14ac:dyDescent="0.25">
      <c r="A64" s="27" t="s">
        <v>84</v>
      </c>
      <c r="B64" s="126" t="s">
        <v>53</v>
      </c>
      <c r="C64" s="126">
        <v>51097620</v>
      </c>
      <c r="D64" s="126" t="s">
        <v>35</v>
      </c>
      <c r="E64" s="126">
        <v>4800</v>
      </c>
      <c r="F64" s="21">
        <v>446.64499999999998</v>
      </c>
      <c r="G64" s="21">
        <v>449.34899999999999</v>
      </c>
      <c r="H64" s="18">
        <f t="shared" si="2"/>
        <v>12979.200000000037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49099.199999999924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26" t="s">
        <v>53</v>
      </c>
      <c r="C67" s="9">
        <v>51259238</v>
      </c>
      <c r="D67" s="74" t="s">
        <v>54</v>
      </c>
      <c r="E67" s="74">
        <v>7000</v>
      </c>
      <c r="F67" s="75">
        <v>488.83499999999998</v>
      </c>
      <c r="G67" s="75">
        <v>491.84300000000002</v>
      </c>
      <c r="H67" s="76">
        <f>(G67-F67)*E67</f>
        <v>21056.000000000269</v>
      </c>
      <c r="I67" s="77"/>
      <c r="J67" s="78"/>
    </row>
    <row r="68" spans="1:10" ht="15.75" x14ac:dyDescent="0.25">
      <c r="A68" s="27" t="s">
        <v>87</v>
      </c>
      <c r="B68" s="126" t="s">
        <v>53</v>
      </c>
      <c r="C68" s="126">
        <v>51259324</v>
      </c>
      <c r="D68" s="127" t="s">
        <v>54</v>
      </c>
      <c r="E68" s="127">
        <v>7000</v>
      </c>
      <c r="F68" s="21">
        <v>375.58800000000002</v>
      </c>
      <c r="G68" s="21">
        <v>377.60199999999998</v>
      </c>
      <c r="H68" s="18">
        <f>(G68-F68)*E68</f>
        <v>14097.999999999673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26">
        <v>51491618</v>
      </c>
      <c r="D69" s="127" t="s">
        <v>64</v>
      </c>
      <c r="E69" s="126">
        <v>40</v>
      </c>
      <c r="F69" s="28">
        <v>987.27599999999995</v>
      </c>
      <c r="G69" s="28">
        <v>997.84900000000005</v>
      </c>
      <c r="H69" s="18">
        <f>(G69-F69)*E69</f>
        <v>422.92000000000371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26">
        <v>51491624</v>
      </c>
      <c r="D70" s="127" t="s">
        <v>64</v>
      </c>
      <c r="E70" s="126">
        <v>40</v>
      </c>
      <c r="F70" s="28">
        <v>132.46700000000001</v>
      </c>
      <c r="G70" s="28">
        <v>133.76400000000001</v>
      </c>
      <c r="H70" s="18">
        <f>(G70-F70)*E70</f>
        <v>51.879999999999882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35153.999999999942</v>
      </c>
      <c r="I71" s="85">
        <f>H71-H74-H69-H70</f>
        <v>-708.79999999953066</v>
      </c>
      <c r="J71" s="25">
        <f>I71/H71</f>
        <v>-2.0162712635817599E-2</v>
      </c>
    </row>
    <row r="72" spans="1:10" ht="15.75" x14ac:dyDescent="0.25">
      <c r="A72" s="27" t="s">
        <v>92</v>
      </c>
      <c r="B72" s="126" t="s">
        <v>53</v>
      </c>
      <c r="C72" s="86">
        <v>51097588</v>
      </c>
      <c r="D72" s="127" t="s">
        <v>76</v>
      </c>
      <c r="E72" s="126">
        <v>12000</v>
      </c>
      <c r="F72" s="21">
        <v>294.87700000000001</v>
      </c>
      <c r="G72" s="21">
        <v>296.60199999999998</v>
      </c>
      <c r="H72" s="18">
        <f>(G72-F72)*E72</f>
        <v>20699.999999999593</v>
      </c>
      <c r="I72" s="51"/>
      <c r="J72" s="58"/>
    </row>
    <row r="73" spans="1:10" ht="15.75" x14ac:dyDescent="0.25">
      <c r="A73" s="27" t="s">
        <v>93</v>
      </c>
      <c r="B73" s="126" t="s">
        <v>53</v>
      </c>
      <c r="C73" s="86">
        <v>51431335</v>
      </c>
      <c r="D73" s="127" t="s">
        <v>76</v>
      </c>
      <c r="E73" s="126">
        <v>12000</v>
      </c>
      <c r="F73" s="21">
        <v>230.43600000000001</v>
      </c>
      <c r="G73" s="21">
        <v>231.66</v>
      </c>
      <c r="H73" s="18">
        <f>(G73-F73)*E73</f>
        <v>14687.999999999874</v>
      </c>
      <c r="I73" s="51"/>
      <c r="J73" s="58"/>
    </row>
    <row r="74" spans="1:10" ht="15.75" x14ac:dyDescent="0.25">
      <c r="A74" s="87" t="s">
        <v>94</v>
      </c>
      <c r="B74" s="126" t="s">
        <v>28</v>
      </c>
      <c r="C74" s="126"/>
      <c r="D74" s="127"/>
      <c r="E74" s="126"/>
      <c r="F74" s="21"/>
      <c r="G74" s="21"/>
      <c r="H74" s="48">
        <f>H72+ H73</f>
        <v>35387.999999999469</v>
      </c>
      <c r="I74" s="85">
        <f>H74-H82</f>
        <v>-88.800000000555883</v>
      </c>
      <c r="J74" s="25">
        <f>I74/H74</f>
        <v>-2.5093251949970955E-3</v>
      </c>
    </row>
    <row r="75" spans="1:10" ht="15.75" x14ac:dyDescent="0.25">
      <c r="A75" s="27" t="s">
        <v>95</v>
      </c>
      <c r="B75" s="126" t="s">
        <v>53</v>
      </c>
      <c r="C75" s="86">
        <v>51097676</v>
      </c>
      <c r="D75" s="88" t="s">
        <v>64</v>
      </c>
      <c r="E75" s="126">
        <v>2400</v>
      </c>
      <c r="F75" s="21">
        <v>606.42700000000002</v>
      </c>
      <c r="G75" s="21">
        <v>610.49699999999996</v>
      </c>
      <c r="H75" s="18">
        <f>(G75-F75)*E75</f>
        <v>9767.9999999998472</v>
      </c>
      <c r="I75" s="51"/>
      <c r="J75" s="58"/>
    </row>
    <row r="76" spans="1:10" ht="15.75" x14ac:dyDescent="0.25">
      <c r="A76" s="27" t="s">
        <v>96</v>
      </c>
      <c r="B76" s="126" t="s">
        <v>53</v>
      </c>
      <c r="C76" s="86">
        <v>51431355</v>
      </c>
      <c r="D76" s="127" t="s">
        <v>22</v>
      </c>
      <c r="E76" s="127">
        <v>3600</v>
      </c>
      <c r="F76" s="21">
        <v>330.05500000000001</v>
      </c>
      <c r="G76" s="21">
        <v>331.35599999999999</v>
      </c>
      <c r="H76" s="18">
        <f>(G76-F76)*E76</f>
        <v>4683.5999999999558</v>
      </c>
      <c r="I76" s="51"/>
      <c r="J76" s="52"/>
    </row>
    <row r="77" spans="1:10" ht="15.75" x14ac:dyDescent="0.25">
      <c r="A77" s="27" t="s">
        <v>97</v>
      </c>
      <c r="B77" s="126" t="s">
        <v>53</v>
      </c>
      <c r="C77" s="86">
        <v>51259331</v>
      </c>
      <c r="D77" s="88" t="s">
        <v>38</v>
      </c>
      <c r="E77" s="126">
        <v>600</v>
      </c>
      <c r="F77" s="21">
        <v>142.05600000000001</v>
      </c>
      <c r="G77" s="21">
        <v>143.018</v>
      </c>
      <c r="H77" s="18">
        <f>(G77-F77)*E77</f>
        <v>577.19999999999345</v>
      </c>
      <c r="I77" s="51"/>
      <c r="J77" s="52"/>
    </row>
    <row r="78" spans="1:10" ht="15.75" x14ac:dyDescent="0.25">
      <c r="A78" s="27" t="s">
        <v>98</v>
      </c>
      <c r="B78" s="126" t="s">
        <v>53</v>
      </c>
      <c r="C78" s="86">
        <v>51259326</v>
      </c>
      <c r="D78" s="88" t="s">
        <v>15</v>
      </c>
      <c r="E78" s="126">
        <v>7200</v>
      </c>
      <c r="F78" s="21">
        <v>293.89999999999998</v>
      </c>
      <c r="G78" s="21">
        <v>295.43</v>
      </c>
      <c r="H78" s="18">
        <f>(G78-F78)*E78</f>
        <v>11016.000000000213</v>
      </c>
      <c r="I78" s="51"/>
      <c r="J78" s="52"/>
    </row>
    <row r="79" spans="1:10" ht="15.75" x14ac:dyDescent="0.25">
      <c r="A79" s="27" t="s">
        <v>99</v>
      </c>
      <c r="B79" s="126" t="s">
        <v>53</v>
      </c>
      <c r="C79" s="86">
        <v>51431351</v>
      </c>
      <c r="D79" s="88" t="s">
        <v>15</v>
      </c>
      <c r="E79" s="126">
        <v>7200</v>
      </c>
      <c r="F79" s="21">
        <v>204.238</v>
      </c>
      <c r="G79" s="21">
        <v>205.548</v>
      </c>
      <c r="H79" s="18">
        <f>(G79-F79)*E79</f>
        <v>9432.0000000000164</v>
      </c>
      <c r="I79" s="51"/>
      <c r="J79" s="52"/>
    </row>
    <row r="80" spans="1:10" ht="15.75" x14ac:dyDescent="0.25">
      <c r="A80" s="89" t="s">
        <v>100</v>
      </c>
      <c r="B80" s="126" t="s">
        <v>53</v>
      </c>
      <c r="C80" s="90">
        <v>51097666</v>
      </c>
      <c r="D80" s="88" t="s">
        <v>64</v>
      </c>
      <c r="E80" s="126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26" t="s">
        <v>53</v>
      </c>
      <c r="C81" s="90">
        <v>51259323</v>
      </c>
      <c r="D81" s="88" t="s">
        <v>64</v>
      </c>
      <c r="E81" s="126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35476.800000000025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26" t="s">
        <v>53</v>
      </c>
      <c r="C84" s="106">
        <v>51431297</v>
      </c>
      <c r="D84" s="127" t="s">
        <v>54</v>
      </c>
      <c r="E84" s="100">
        <v>7000</v>
      </c>
      <c r="F84" s="17">
        <v>241.77799999999999</v>
      </c>
      <c r="G84" s="17">
        <v>242.596</v>
      </c>
      <c r="H84" s="18">
        <f>(G84-F84)*E84</f>
        <v>5726.0000000000846</v>
      </c>
      <c r="I84" s="107"/>
      <c r="J84" s="108"/>
    </row>
    <row r="85" spans="1:10" ht="15.75" x14ac:dyDescent="0.25">
      <c r="A85" s="105" t="s">
        <v>87</v>
      </c>
      <c r="B85" s="126" t="s">
        <v>53</v>
      </c>
      <c r="C85" s="106">
        <v>51431332</v>
      </c>
      <c r="D85" s="127" t="s">
        <v>54</v>
      </c>
      <c r="E85" s="100">
        <v>7000</v>
      </c>
      <c r="F85" s="21">
        <v>327.27499999999998</v>
      </c>
      <c r="G85" s="21">
        <v>329.017</v>
      </c>
      <c r="H85" s="18">
        <f>(G85-F85)*E85</f>
        <v>12194.000000000131</v>
      </c>
      <c r="I85" s="126"/>
      <c r="J85" s="58"/>
    </row>
    <row r="86" spans="1:10" ht="15.75" x14ac:dyDescent="0.25">
      <c r="A86" s="27" t="s">
        <v>88</v>
      </c>
      <c r="B86" s="126" t="s">
        <v>104</v>
      </c>
      <c r="C86" s="109">
        <v>150773</v>
      </c>
      <c r="D86" s="127" t="s">
        <v>54</v>
      </c>
      <c r="E86" s="109">
        <v>20</v>
      </c>
      <c r="F86" s="17">
        <v>15451.4</v>
      </c>
      <c r="G86" s="17">
        <v>15458</v>
      </c>
      <c r="H86" s="18">
        <f>(G86-F86)*E86</f>
        <v>132.00000000000728</v>
      </c>
      <c r="I86" s="51"/>
      <c r="J86" s="58"/>
    </row>
    <row r="87" spans="1:10" ht="15.75" x14ac:dyDescent="0.25">
      <c r="A87" s="27" t="s">
        <v>90</v>
      </c>
      <c r="B87" s="126" t="s">
        <v>104</v>
      </c>
      <c r="C87" s="109">
        <v>150791</v>
      </c>
      <c r="D87" s="127" t="s">
        <v>54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28"/>
      <c r="C88" s="32"/>
      <c r="D88" s="82"/>
      <c r="E88" s="82"/>
      <c r="F88" s="21"/>
      <c r="G88" s="21"/>
      <c r="H88" s="48">
        <f>H84+H85</f>
        <v>17920.000000000215</v>
      </c>
      <c r="I88" s="85">
        <f>H88-H91-H86-H87</f>
        <v>392.80000000036671</v>
      </c>
      <c r="J88" s="25">
        <f>I88/H88</f>
        <v>2.1919642857163059E-2</v>
      </c>
    </row>
    <row r="89" spans="1:10" ht="15.75" x14ac:dyDescent="0.25">
      <c r="A89" s="27" t="s">
        <v>105</v>
      </c>
      <c r="B89" s="126" t="s">
        <v>53</v>
      </c>
      <c r="C89" s="106">
        <v>51431342</v>
      </c>
      <c r="D89" s="88" t="s">
        <v>35</v>
      </c>
      <c r="E89" s="126">
        <v>4800</v>
      </c>
      <c r="F89" s="21">
        <v>342.495</v>
      </c>
      <c r="G89" s="21">
        <v>343.65699999999998</v>
      </c>
      <c r="H89" s="18">
        <f>(G89-F89)*E89</f>
        <v>5577.599999999893</v>
      </c>
      <c r="I89" s="51"/>
      <c r="J89" s="52"/>
    </row>
    <row r="90" spans="1:10" ht="15.75" x14ac:dyDescent="0.25">
      <c r="A90" s="27" t="s">
        <v>106</v>
      </c>
      <c r="B90" s="126" t="s">
        <v>53</v>
      </c>
      <c r="C90" s="106">
        <v>51431343</v>
      </c>
      <c r="D90" s="88" t="s">
        <v>35</v>
      </c>
      <c r="E90" s="126">
        <v>4800</v>
      </c>
      <c r="F90" s="21">
        <v>463.24299999999999</v>
      </c>
      <c r="G90" s="21">
        <v>465.70499999999998</v>
      </c>
      <c r="H90" s="18">
        <f>(G90-F90)*E90</f>
        <v>11817.599999999948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17395.199999999841</v>
      </c>
      <c r="I91" s="85">
        <f>H91-H99</f>
        <v>-115.80000000005748</v>
      </c>
      <c r="J91" s="25">
        <f>I91/H91</f>
        <v>-6.6570088300254406E-3</v>
      </c>
    </row>
    <row r="92" spans="1:10" ht="15.75" x14ac:dyDescent="0.25">
      <c r="A92" s="27" t="s">
        <v>108</v>
      </c>
      <c r="B92" s="126" t="s">
        <v>53</v>
      </c>
      <c r="C92" s="106">
        <v>51431347</v>
      </c>
      <c r="D92" s="127" t="s">
        <v>54</v>
      </c>
      <c r="E92" s="126">
        <v>1200</v>
      </c>
      <c r="F92" s="21">
        <v>1057.203</v>
      </c>
      <c r="G92" s="21">
        <v>1065.6849999999999</v>
      </c>
      <c r="H92" s="18">
        <f t="shared" ref="H92:H100" si="4">(G92-F92)*E92</f>
        <v>10178.399999999965</v>
      </c>
      <c r="I92" s="51"/>
      <c r="J92" s="52"/>
    </row>
    <row r="93" spans="1:10" ht="15.75" x14ac:dyDescent="0.25">
      <c r="A93" s="27" t="s">
        <v>109</v>
      </c>
      <c r="B93" s="126" t="s">
        <v>53</v>
      </c>
      <c r="C93" s="106">
        <v>51431339</v>
      </c>
      <c r="D93" s="127" t="s">
        <v>54</v>
      </c>
      <c r="E93" s="126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26" t="s">
        <v>53</v>
      </c>
      <c r="C94" s="106">
        <v>51217244</v>
      </c>
      <c r="D94" s="126" t="s">
        <v>38</v>
      </c>
      <c r="E94" s="126">
        <v>600</v>
      </c>
      <c r="F94" s="30">
        <v>290.24099999999999</v>
      </c>
      <c r="G94" s="30">
        <v>292.86200000000002</v>
      </c>
      <c r="H94" s="18">
        <f t="shared" si="4"/>
        <v>1572.6000000000226</v>
      </c>
      <c r="I94" s="51"/>
      <c r="J94" s="52"/>
    </row>
    <row r="95" spans="1:10" ht="15.75" x14ac:dyDescent="0.25">
      <c r="A95" s="27" t="s">
        <v>111</v>
      </c>
      <c r="B95" s="126" t="s">
        <v>53</v>
      </c>
      <c r="C95" s="106">
        <v>51217267</v>
      </c>
      <c r="D95" s="88" t="s">
        <v>64</v>
      </c>
      <c r="E95" s="126">
        <v>2400</v>
      </c>
      <c r="F95" s="30">
        <v>19.478999999999999</v>
      </c>
      <c r="G95" s="30">
        <v>19.510999999999999</v>
      </c>
      <c r="H95" s="18">
        <f t="shared" si="4"/>
        <v>76.800000000000068</v>
      </c>
      <c r="I95" s="51"/>
      <c r="J95" s="52"/>
    </row>
    <row r="96" spans="1:10" ht="15.75" x14ac:dyDescent="0.25">
      <c r="A96" s="27" t="s">
        <v>112</v>
      </c>
      <c r="B96" s="126" t="s">
        <v>53</v>
      </c>
      <c r="C96" s="126">
        <v>51555165</v>
      </c>
      <c r="D96" s="127" t="s">
        <v>54</v>
      </c>
      <c r="E96" s="126">
        <v>1200</v>
      </c>
      <c r="F96" s="30">
        <v>771.62699999999995</v>
      </c>
      <c r="G96" s="30">
        <v>771.62699999999995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26" t="s">
        <v>53</v>
      </c>
      <c r="C97" s="106">
        <v>51431346</v>
      </c>
      <c r="D97" s="114" t="s">
        <v>38</v>
      </c>
      <c r="E97" s="114">
        <v>600</v>
      </c>
      <c r="F97" s="30">
        <v>317.42700000000002</v>
      </c>
      <c r="G97" s="30">
        <v>317.81099999999998</v>
      </c>
      <c r="H97" s="115">
        <f t="shared" si="4"/>
        <v>230.39999999997463</v>
      </c>
      <c r="I97" s="116"/>
      <c r="J97" s="117"/>
    </row>
    <row r="98" spans="1:10" ht="15.75" x14ac:dyDescent="0.25">
      <c r="A98" s="27" t="s">
        <v>114</v>
      </c>
      <c r="B98" s="126" t="s">
        <v>53</v>
      </c>
      <c r="C98" s="106">
        <v>51431352</v>
      </c>
      <c r="D98" s="88" t="s">
        <v>22</v>
      </c>
      <c r="E98" s="126">
        <v>3600</v>
      </c>
      <c r="F98" s="21">
        <v>187.23500000000001</v>
      </c>
      <c r="G98" s="21">
        <v>188.71299999999999</v>
      </c>
      <c r="H98" s="18">
        <f t="shared" si="4"/>
        <v>5320.7999999999283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17510.999999999898</v>
      </c>
      <c r="I99" s="51"/>
      <c r="J99" s="52"/>
    </row>
    <row r="100" spans="1:10" ht="15.75" x14ac:dyDescent="0.25">
      <c r="A100" s="45" t="s">
        <v>115</v>
      </c>
      <c r="B100" s="126" t="s">
        <v>53</v>
      </c>
      <c r="C100" s="120">
        <v>51431357</v>
      </c>
      <c r="D100" s="127" t="s">
        <v>64</v>
      </c>
      <c r="E100" s="127">
        <v>14000</v>
      </c>
      <c r="F100" s="28">
        <v>745.48199999999997</v>
      </c>
      <c r="G100" s="28">
        <v>749.28300000000002</v>
      </c>
      <c r="H100" s="121">
        <f t="shared" si="4"/>
        <v>53214.000000000626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zoomScale="85" zoomScaleNormal="85"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119</v>
      </c>
      <c r="G3" s="4" t="s">
        <v>120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29" t="s">
        <v>14</v>
      </c>
      <c r="C5" s="129">
        <v>51555166</v>
      </c>
      <c r="D5" s="129" t="s">
        <v>15</v>
      </c>
      <c r="E5" s="129">
        <v>132000</v>
      </c>
      <c r="F5" s="17">
        <v>2.8650000000000002</v>
      </c>
      <c r="G5" s="17">
        <v>2.8769999999999998</v>
      </c>
      <c r="H5" s="18">
        <f>(G5-F5)*E5</f>
        <v>1583.9999999999427</v>
      </c>
      <c r="I5" s="19"/>
      <c r="J5" s="20"/>
    </row>
    <row r="6" spans="1:10" ht="15.75" x14ac:dyDescent="0.25">
      <c r="A6" s="15" t="s">
        <v>16</v>
      </c>
      <c r="B6" s="129" t="s">
        <v>14</v>
      </c>
      <c r="C6" s="129">
        <v>51555191</v>
      </c>
      <c r="D6" s="129" t="s">
        <v>15</v>
      </c>
      <c r="E6" s="129">
        <v>132000</v>
      </c>
      <c r="F6" s="21">
        <v>322.64499999999998</v>
      </c>
      <c r="G6" s="21">
        <v>324.57400000000001</v>
      </c>
      <c r="H6" s="18">
        <f>(G6-F6)*E6</f>
        <v>254628.00000000402</v>
      </c>
      <c r="I6" s="19"/>
      <c r="J6" s="20"/>
    </row>
    <row r="7" spans="1:10" ht="15.75" x14ac:dyDescent="0.25">
      <c r="A7" s="207" t="s">
        <v>17</v>
      </c>
      <c r="B7" s="208"/>
      <c r="C7" s="129"/>
      <c r="D7" s="130"/>
      <c r="E7" s="129"/>
      <c r="H7" s="23">
        <f>H5+H6</f>
        <v>256212.00000000396</v>
      </c>
      <c r="I7" s="24">
        <f>H7-H10-H20</f>
        <v>1842.0000000037835</v>
      </c>
      <c r="J7" s="25">
        <f>I7/H7</f>
        <v>7.1893588122482754E-3</v>
      </c>
    </row>
    <row r="8" spans="1:10" ht="15.75" x14ac:dyDescent="0.25">
      <c r="A8" s="26" t="s">
        <v>18</v>
      </c>
      <c r="B8" s="129" t="s">
        <v>14</v>
      </c>
      <c r="C8" s="129">
        <v>51097629</v>
      </c>
      <c r="D8" s="130" t="s">
        <v>15</v>
      </c>
      <c r="E8" s="129">
        <v>42000</v>
      </c>
      <c r="F8" s="21">
        <v>994.28599999999994</v>
      </c>
      <c r="G8" s="21">
        <v>998.55899999999997</v>
      </c>
      <c r="H8" s="18">
        <f>(G8-F8)*E8</f>
        <v>179466.00000000102</v>
      </c>
      <c r="I8" s="19"/>
      <c r="J8" s="20"/>
    </row>
    <row r="9" spans="1:10" ht="15.75" x14ac:dyDescent="0.25">
      <c r="A9" s="26" t="s">
        <v>19</v>
      </c>
      <c r="B9" s="129" t="s">
        <v>14</v>
      </c>
      <c r="C9" s="129">
        <v>51616820</v>
      </c>
      <c r="D9" s="130" t="s">
        <v>15</v>
      </c>
      <c r="E9" s="129">
        <v>42000</v>
      </c>
      <c r="F9" s="21">
        <v>4.8849999999999998</v>
      </c>
      <c r="G9" s="21">
        <v>4.91</v>
      </c>
      <c r="H9" s="18">
        <f>(G9-F9)*E9</f>
        <v>1050.000000000015</v>
      </c>
      <c r="I9" s="19"/>
      <c r="J9" s="20"/>
    </row>
    <row r="10" spans="1:10" ht="15.75" x14ac:dyDescent="0.25">
      <c r="A10" s="207" t="s">
        <v>20</v>
      </c>
      <c r="B10" s="208"/>
      <c r="C10" s="129"/>
      <c r="D10" s="130"/>
      <c r="E10" s="129"/>
      <c r="F10" s="21"/>
      <c r="G10" s="21"/>
      <c r="H10" s="23">
        <f>H8+H9</f>
        <v>180516.00000000105</v>
      </c>
      <c r="I10" s="24">
        <f>H10-H17</f>
        <v>63.000000002910383</v>
      </c>
      <c r="J10" s="25">
        <f>I10/H10</f>
        <v>3.4899953468340764E-4</v>
      </c>
    </row>
    <row r="11" spans="1:10" ht="15.75" x14ac:dyDescent="0.25">
      <c r="A11" s="27" t="s">
        <v>21</v>
      </c>
      <c r="B11" s="129" t="s">
        <v>14</v>
      </c>
      <c r="C11" s="129">
        <v>51217286</v>
      </c>
      <c r="D11" s="130" t="s">
        <v>22</v>
      </c>
      <c r="E11" s="129">
        <v>21000</v>
      </c>
      <c r="F11" s="21">
        <v>788.827</v>
      </c>
      <c r="G11" s="21">
        <v>792.00300000000004</v>
      </c>
      <c r="H11" s="18">
        <f t="shared" ref="H11:H16" si="0">(G11-F11)*E11</f>
        <v>66696.000000000931</v>
      </c>
      <c r="I11" s="19"/>
      <c r="J11" s="20"/>
    </row>
    <row r="12" spans="1:10" ht="15.75" x14ac:dyDescent="0.25">
      <c r="A12" s="27" t="s">
        <v>23</v>
      </c>
      <c r="B12" s="129" t="s">
        <v>14</v>
      </c>
      <c r="C12" s="129">
        <v>51217292</v>
      </c>
      <c r="D12" s="130" t="s">
        <v>22</v>
      </c>
      <c r="E12" s="129">
        <v>21000</v>
      </c>
      <c r="F12" s="28">
        <v>3.3109999999999999</v>
      </c>
      <c r="G12" s="28">
        <v>3.3370000000000002</v>
      </c>
      <c r="H12" s="18">
        <f>(G12-F12)*E12</f>
        <v>546.00000000000512</v>
      </c>
      <c r="I12" s="19"/>
      <c r="J12" s="20"/>
    </row>
    <row r="13" spans="1:10" ht="15.75" x14ac:dyDescent="0.25">
      <c r="A13" s="27" t="s">
        <v>24</v>
      </c>
      <c r="B13" s="129" t="s">
        <v>14</v>
      </c>
      <c r="C13" s="129">
        <v>51217271</v>
      </c>
      <c r="D13" s="130" t="s">
        <v>22</v>
      </c>
      <c r="E13" s="129">
        <v>21000</v>
      </c>
      <c r="F13" s="21">
        <v>576.81500000000005</v>
      </c>
      <c r="G13" s="21">
        <v>579.31799999999998</v>
      </c>
      <c r="H13" s="18">
        <f t="shared" si="0"/>
        <v>52562.999999998508</v>
      </c>
      <c r="I13" s="19"/>
      <c r="J13" s="20"/>
    </row>
    <row r="14" spans="1:10" ht="15.75" x14ac:dyDescent="0.25">
      <c r="A14" s="27" t="s">
        <v>25</v>
      </c>
      <c r="B14" s="129" t="s">
        <v>14</v>
      </c>
      <c r="C14" s="129">
        <v>51217276</v>
      </c>
      <c r="D14" s="130" t="s">
        <v>22</v>
      </c>
      <c r="E14" s="129">
        <v>21000</v>
      </c>
      <c r="F14" s="28">
        <v>0.48099999999999998</v>
      </c>
      <c r="G14" s="28">
        <v>0.48899999999999999</v>
      </c>
      <c r="H14" s="18">
        <f>(G14-F14)*E14</f>
        <v>168.00000000000014</v>
      </c>
      <c r="I14" s="19"/>
      <c r="J14" s="20"/>
    </row>
    <row r="15" spans="1:10" ht="15.75" x14ac:dyDescent="0.25">
      <c r="A15" s="27" t="s">
        <v>26</v>
      </c>
      <c r="B15" s="129" t="s">
        <v>14</v>
      </c>
      <c r="C15" s="129">
        <v>51100990</v>
      </c>
      <c r="D15" s="130" t="s">
        <v>22</v>
      </c>
      <c r="E15" s="129">
        <v>21000</v>
      </c>
      <c r="F15" s="29">
        <v>628.67200000000003</v>
      </c>
      <c r="G15" s="29">
        <v>631.54</v>
      </c>
      <c r="H15" s="18">
        <f t="shared" si="0"/>
        <v>60227.999999998705</v>
      </c>
      <c r="I15" s="19"/>
      <c r="J15" s="20"/>
    </row>
    <row r="16" spans="1:10" ht="15.75" x14ac:dyDescent="0.25">
      <c r="A16" s="27" t="s">
        <v>27</v>
      </c>
      <c r="B16" s="129" t="s">
        <v>14</v>
      </c>
      <c r="C16" s="129">
        <v>51097622</v>
      </c>
      <c r="D16" s="130" t="s">
        <v>22</v>
      </c>
      <c r="E16" s="129">
        <v>21000</v>
      </c>
      <c r="F16" s="21">
        <v>2.7639999999999998</v>
      </c>
      <c r="G16" s="21">
        <v>2.7759999999999998</v>
      </c>
      <c r="H16" s="18">
        <f t="shared" si="0"/>
        <v>252.00000000000023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29"/>
      <c r="D17" s="130"/>
      <c r="E17" s="129"/>
      <c r="F17" s="21"/>
      <c r="G17" s="21"/>
      <c r="H17" s="23">
        <f>H11+H12+H13+H14+H15+H16</f>
        <v>180452.99999999814</v>
      </c>
      <c r="I17" s="19"/>
      <c r="J17" s="20"/>
    </row>
    <row r="18" spans="1:10" ht="15.75" x14ac:dyDescent="0.25">
      <c r="A18" s="26" t="s">
        <v>30</v>
      </c>
      <c r="B18" s="129" t="s">
        <v>14</v>
      </c>
      <c r="C18" s="129">
        <v>51097617</v>
      </c>
      <c r="D18" s="130" t="s">
        <v>31</v>
      </c>
      <c r="E18" s="129">
        <v>18000</v>
      </c>
      <c r="F18" s="30">
        <v>751.66300000000001</v>
      </c>
      <c r="G18" s="30">
        <v>755.76599999999996</v>
      </c>
      <c r="H18" s="18">
        <f>(G18-F18)*E18</f>
        <v>73853.999999999127</v>
      </c>
      <c r="I18" s="19"/>
      <c r="J18" s="20"/>
    </row>
    <row r="19" spans="1:10" ht="15.75" x14ac:dyDescent="0.25">
      <c r="A19" s="26" t="s">
        <v>32</v>
      </c>
      <c r="B19" s="129" t="s">
        <v>14</v>
      </c>
      <c r="C19" s="129">
        <v>51097655</v>
      </c>
      <c r="D19" s="130" t="s">
        <v>31</v>
      </c>
      <c r="E19" s="129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29"/>
      <c r="D20" s="130"/>
      <c r="E20" s="129"/>
      <c r="F20" s="30"/>
      <c r="G20" s="30"/>
      <c r="H20" s="23">
        <f>H18+H19</f>
        <v>73853.999999999127</v>
      </c>
      <c r="I20" s="24">
        <f>H20-H35</f>
        <v>2474.3999999994849</v>
      </c>
      <c r="J20" s="25">
        <f>I20/H20</f>
        <v>3.3503940206346498E-2</v>
      </c>
    </row>
    <row r="21" spans="1:10" ht="15.75" x14ac:dyDescent="0.25">
      <c r="A21" s="15" t="s">
        <v>34</v>
      </c>
      <c r="B21" s="129" t="s">
        <v>14</v>
      </c>
      <c r="C21" s="129">
        <v>51217282</v>
      </c>
      <c r="D21" s="130" t="s">
        <v>35</v>
      </c>
      <c r="E21" s="129">
        <v>4800</v>
      </c>
      <c r="F21" s="21">
        <v>379.30700000000002</v>
      </c>
      <c r="G21" s="21">
        <v>379.34800000000001</v>
      </c>
      <c r="H21" s="18">
        <f t="shared" ref="H21:H34" si="1">(G21-F21)*E21</f>
        <v>196.79999999998472</v>
      </c>
      <c r="I21" s="19" t="s">
        <v>28</v>
      </c>
      <c r="J21" s="20"/>
    </row>
    <row r="22" spans="1:10" ht="15.75" x14ac:dyDescent="0.25">
      <c r="A22" s="15" t="s">
        <v>36</v>
      </c>
      <c r="B22" s="129" t="s">
        <v>14</v>
      </c>
      <c r="C22" s="129">
        <v>51217274</v>
      </c>
      <c r="D22" s="130" t="s">
        <v>35</v>
      </c>
      <c r="E22" s="129">
        <v>4800</v>
      </c>
      <c r="F22" s="21">
        <v>1185.4280000000001</v>
      </c>
      <c r="G22" s="21">
        <v>1191.4829999999999</v>
      </c>
      <c r="H22" s="18">
        <f t="shared" si="1"/>
        <v>29063.999999999214</v>
      </c>
      <c r="I22" s="19"/>
      <c r="J22" s="20"/>
    </row>
    <row r="23" spans="1:10" ht="15.75" x14ac:dyDescent="0.25">
      <c r="A23" s="15" t="s">
        <v>37</v>
      </c>
      <c r="B23" s="129" t="s">
        <v>14</v>
      </c>
      <c r="C23" s="129">
        <v>51097664</v>
      </c>
      <c r="D23" s="130" t="s">
        <v>38</v>
      </c>
      <c r="E23" s="129">
        <v>600</v>
      </c>
      <c r="F23" s="21">
        <v>4.33</v>
      </c>
      <c r="G23" s="21">
        <v>4.3470000000000004</v>
      </c>
      <c r="H23" s="18">
        <f t="shared" si="1"/>
        <v>10.200000000000209</v>
      </c>
      <c r="I23" s="19"/>
      <c r="J23" s="20"/>
    </row>
    <row r="24" spans="1:10" ht="15.75" x14ac:dyDescent="0.25">
      <c r="A24" s="15" t="s">
        <v>39</v>
      </c>
      <c r="B24" s="129" t="s">
        <v>14</v>
      </c>
      <c r="C24" s="129">
        <v>51097615</v>
      </c>
      <c r="D24" s="130" t="s">
        <v>38</v>
      </c>
      <c r="E24" s="129">
        <v>600</v>
      </c>
      <c r="F24" s="21">
        <v>34.680999999999997</v>
      </c>
      <c r="G24" s="21">
        <v>35.061999999999998</v>
      </c>
      <c r="H24" s="18">
        <f t="shared" si="1"/>
        <v>228.60000000000014</v>
      </c>
      <c r="I24" s="19"/>
      <c r="J24" s="20"/>
    </row>
    <row r="25" spans="1:10" ht="15.75" x14ac:dyDescent="0.25">
      <c r="A25" s="15" t="s">
        <v>40</v>
      </c>
      <c r="B25" s="129" t="s">
        <v>14</v>
      </c>
      <c r="C25" s="129">
        <v>51217264</v>
      </c>
      <c r="D25" s="130" t="s">
        <v>38</v>
      </c>
      <c r="E25" s="129">
        <v>600</v>
      </c>
      <c r="F25" s="21">
        <v>85.292000000000002</v>
      </c>
      <c r="G25" s="21">
        <v>85.897000000000006</v>
      </c>
      <c r="H25" s="18">
        <f t="shared" si="1"/>
        <v>363.00000000000239</v>
      </c>
      <c r="I25" s="19"/>
      <c r="J25" s="20"/>
    </row>
    <row r="26" spans="1:10" ht="15.75" x14ac:dyDescent="0.25">
      <c r="A26" s="15" t="s">
        <v>41</v>
      </c>
      <c r="B26" s="129" t="s">
        <v>14</v>
      </c>
      <c r="C26" s="129">
        <v>51217288</v>
      </c>
      <c r="D26" s="130" t="s">
        <v>38</v>
      </c>
      <c r="E26" s="129">
        <v>600</v>
      </c>
      <c r="F26" s="21">
        <v>19.623000000000001</v>
      </c>
      <c r="G26" s="21">
        <v>19.654</v>
      </c>
      <c r="H26" s="18">
        <f t="shared" si="1"/>
        <v>18.599999999999284</v>
      </c>
      <c r="I26" s="19" t="s">
        <v>28</v>
      </c>
      <c r="J26" s="20"/>
    </row>
    <row r="27" spans="1:10" ht="15.75" x14ac:dyDescent="0.25">
      <c r="A27" s="15" t="s">
        <v>42</v>
      </c>
      <c r="B27" s="129" t="s">
        <v>14</v>
      </c>
      <c r="C27" s="129">
        <v>51217279</v>
      </c>
      <c r="D27" s="130" t="s">
        <v>38</v>
      </c>
      <c r="E27" s="129">
        <v>600</v>
      </c>
      <c r="F27" s="21">
        <v>13.811</v>
      </c>
      <c r="G27" s="21">
        <v>13.866</v>
      </c>
      <c r="H27" s="18">
        <f t="shared" si="1"/>
        <v>32.999999999999829</v>
      </c>
      <c r="I27" s="19" t="s">
        <v>28</v>
      </c>
      <c r="J27" s="20"/>
    </row>
    <row r="28" spans="1:10" ht="15.75" x14ac:dyDescent="0.25">
      <c r="A28" s="15" t="s">
        <v>43</v>
      </c>
      <c r="B28" s="129" t="s">
        <v>14</v>
      </c>
      <c r="C28" s="129">
        <v>51217272</v>
      </c>
      <c r="D28" s="130" t="s">
        <v>38</v>
      </c>
      <c r="E28" s="129">
        <v>600</v>
      </c>
      <c r="F28" s="31">
        <v>13.548999999999999</v>
      </c>
      <c r="G28" s="31">
        <v>13.602</v>
      </c>
      <c r="H28" s="18">
        <f t="shared" si="1"/>
        <v>31.800000000000495</v>
      </c>
      <c r="I28" s="19"/>
      <c r="J28" s="20"/>
    </row>
    <row r="29" spans="1:10" ht="15.75" x14ac:dyDescent="0.25">
      <c r="A29" s="15" t="s">
        <v>44</v>
      </c>
      <c r="B29" s="129" t="s">
        <v>14</v>
      </c>
      <c r="C29" s="129">
        <v>51616744</v>
      </c>
      <c r="D29" s="130">
        <f>300/5</f>
        <v>60</v>
      </c>
      <c r="E29" s="129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29" t="s">
        <v>14</v>
      </c>
      <c r="C30" s="129">
        <v>51555226</v>
      </c>
      <c r="D30" s="130">
        <f>300/5</f>
        <v>60</v>
      </c>
      <c r="E30" s="129">
        <v>3600</v>
      </c>
      <c r="F30" s="31">
        <v>406.20299999999997</v>
      </c>
      <c r="G30" s="31">
        <v>410.19499999999999</v>
      </c>
      <c r="H30" s="18">
        <f>(G30-F30)*E30</f>
        <v>14371.200000000066</v>
      </c>
      <c r="I30" s="19"/>
      <c r="J30" s="20"/>
    </row>
    <row r="31" spans="1:10" ht="15.75" x14ac:dyDescent="0.25">
      <c r="A31" s="15" t="s">
        <v>46</v>
      </c>
      <c r="B31" s="129" t="s">
        <v>14</v>
      </c>
      <c r="C31" s="129">
        <v>51097658</v>
      </c>
      <c r="D31" s="130" t="s">
        <v>35</v>
      </c>
      <c r="E31" s="129">
        <v>4800</v>
      </c>
      <c r="F31" s="31">
        <v>574.82299999999998</v>
      </c>
      <c r="G31" s="31">
        <v>578.01700000000005</v>
      </c>
      <c r="H31" s="18">
        <f t="shared" si="1"/>
        <v>15331.200000000354</v>
      </c>
      <c r="I31" s="19"/>
      <c r="J31" s="20"/>
    </row>
    <row r="32" spans="1:10" ht="15.75" x14ac:dyDescent="0.25">
      <c r="A32" s="15" t="s">
        <v>47</v>
      </c>
      <c r="B32" s="129" t="s">
        <v>14</v>
      </c>
      <c r="C32" s="129">
        <v>51097635</v>
      </c>
      <c r="D32" s="130" t="s">
        <v>35</v>
      </c>
      <c r="E32" s="129">
        <v>4800</v>
      </c>
      <c r="F32" s="31">
        <v>48.442999999999998</v>
      </c>
      <c r="G32" s="31">
        <v>48.445</v>
      </c>
      <c r="H32" s="18">
        <f t="shared" si="1"/>
        <v>9.6000000000117325</v>
      </c>
      <c r="I32" s="19"/>
      <c r="J32" s="20"/>
    </row>
    <row r="33" spans="1:10" ht="15.75" x14ac:dyDescent="0.25">
      <c r="A33" s="15" t="s">
        <v>48</v>
      </c>
      <c r="B33" s="129" t="s">
        <v>14</v>
      </c>
      <c r="C33" s="32">
        <v>51097633</v>
      </c>
      <c r="D33" s="130" t="s">
        <v>35</v>
      </c>
      <c r="E33" s="129">
        <v>4800</v>
      </c>
      <c r="F33" s="31">
        <v>123.34099999999999</v>
      </c>
      <c r="G33" s="31">
        <v>125.73399999999999</v>
      </c>
      <c r="H33" s="33">
        <f t="shared" si="1"/>
        <v>11486.400000000003</v>
      </c>
      <c r="I33" s="34"/>
      <c r="J33" s="35"/>
    </row>
    <row r="34" spans="1:10" ht="15.75" x14ac:dyDescent="0.25">
      <c r="A34" s="15" t="s">
        <v>49</v>
      </c>
      <c r="B34" s="129" t="s">
        <v>14</v>
      </c>
      <c r="C34" s="32">
        <v>51097662</v>
      </c>
      <c r="D34" s="130" t="s">
        <v>35</v>
      </c>
      <c r="E34" s="129">
        <v>4800</v>
      </c>
      <c r="F34" s="31">
        <v>2.3370000000000002</v>
      </c>
      <c r="G34" s="31">
        <v>2.3860000000000001</v>
      </c>
      <c r="H34" s="33">
        <f t="shared" si="1"/>
        <v>235.19999999999968</v>
      </c>
      <c r="I34" s="34"/>
      <c r="J34" s="35"/>
    </row>
    <row r="35" spans="1:10" ht="15.75" x14ac:dyDescent="0.25">
      <c r="A35" s="207" t="s">
        <v>50</v>
      </c>
      <c r="B35" s="208"/>
      <c r="C35" s="129"/>
      <c r="D35" s="130"/>
      <c r="E35" s="129"/>
      <c r="F35" s="36"/>
      <c r="G35" s="36"/>
      <c r="H35" s="23">
        <f>H21+H22+H23+H24+H25+H26+H27+H28+H29+H30+H31+H32+H33+H34</f>
        <v>71379.599999999642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29" t="s">
        <v>53</v>
      </c>
      <c r="C37" s="129">
        <v>51555209</v>
      </c>
      <c r="D37" s="130" t="s">
        <v>54</v>
      </c>
      <c r="E37" s="129">
        <v>7000</v>
      </c>
      <c r="F37" s="17">
        <v>4.6500000000000004</v>
      </c>
      <c r="G37" s="17">
        <v>4.6900000000000004</v>
      </c>
      <c r="H37" s="41">
        <f>(G37-F37)*E37</f>
        <v>280.00000000000023</v>
      </c>
      <c r="I37" s="42"/>
      <c r="J37" s="14"/>
    </row>
    <row r="38" spans="1:10" ht="15.75" x14ac:dyDescent="0.25">
      <c r="A38" s="15" t="s">
        <v>55</v>
      </c>
      <c r="B38" s="129" t="s">
        <v>53</v>
      </c>
      <c r="C38" s="129">
        <v>51555209</v>
      </c>
      <c r="D38" s="130" t="s">
        <v>54</v>
      </c>
      <c r="E38" s="129">
        <v>7000</v>
      </c>
      <c r="F38" s="21">
        <v>9.3019999999999996</v>
      </c>
      <c r="G38" s="21">
        <v>9.3490000000000002</v>
      </c>
      <c r="H38" s="18">
        <f>(G38-F38)*E38</f>
        <v>329.00000000000421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29" t="s">
        <v>53</v>
      </c>
      <c r="C40" s="129">
        <v>51097674</v>
      </c>
      <c r="D40" s="129" t="s">
        <v>15</v>
      </c>
      <c r="E40" s="129">
        <v>7200</v>
      </c>
      <c r="F40" s="21">
        <v>534.55600000000004</v>
      </c>
      <c r="G40" s="21">
        <v>536.94000000000005</v>
      </c>
      <c r="H40" s="18">
        <f>(G40-F40)*E40</f>
        <v>17164.800000000105</v>
      </c>
      <c r="I40" s="47"/>
      <c r="J40" s="20"/>
    </row>
    <row r="41" spans="1:10" ht="15.75" x14ac:dyDescent="0.25">
      <c r="A41" s="27" t="s">
        <v>58</v>
      </c>
      <c r="B41" s="129" t="s">
        <v>53</v>
      </c>
      <c r="C41" s="129">
        <v>51259257</v>
      </c>
      <c r="D41" s="129" t="s">
        <v>15</v>
      </c>
      <c r="E41" s="129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29"/>
      <c r="C42" s="129"/>
      <c r="D42" s="129"/>
      <c r="E42" s="129"/>
      <c r="F42" s="21"/>
      <c r="G42" s="21"/>
      <c r="H42" s="48">
        <f>H40+H41</f>
        <v>17164.800000000105</v>
      </c>
      <c r="I42" s="24">
        <f>H42-H50</f>
        <v>-123.20000000004438</v>
      </c>
      <c r="J42" s="25">
        <f>I42/H42</f>
        <v>-7.1774794929182761E-3</v>
      </c>
    </row>
    <row r="43" spans="1:10" ht="15.75" x14ac:dyDescent="0.25">
      <c r="A43" s="15" t="s">
        <v>60</v>
      </c>
      <c r="B43" s="129"/>
      <c r="C43" s="129"/>
      <c r="D43" s="130"/>
      <c r="E43" s="129"/>
      <c r="H43" s="18"/>
      <c r="I43" s="43"/>
      <c r="J43" s="20"/>
    </row>
    <row r="44" spans="1:10" ht="15.75" x14ac:dyDescent="0.25">
      <c r="A44" s="27" t="s">
        <v>61</v>
      </c>
      <c r="B44" s="129" t="s">
        <v>53</v>
      </c>
      <c r="C44" s="32">
        <v>51097648</v>
      </c>
      <c r="D44" s="129" t="s">
        <v>54</v>
      </c>
      <c r="E44" s="129">
        <v>1200</v>
      </c>
      <c r="F44" s="21">
        <v>438.13600000000002</v>
      </c>
      <c r="G44" s="21">
        <v>440.19200000000001</v>
      </c>
      <c r="H44" s="33">
        <f>(G44-F44)*E44</f>
        <v>2467.1999999999798</v>
      </c>
      <c r="I44" s="43"/>
      <c r="J44" s="20"/>
    </row>
    <row r="45" spans="1:10" ht="15.75" x14ac:dyDescent="0.25">
      <c r="A45" s="27" t="s">
        <v>62</v>
      </c>
      <c r="B45" s="129" t="s">
        <v>53</v>
      </c>
      <c r="C45" s="32">
        <v>50555043</v>
      </c>
      <c r="D45" s="129" t="s">
        <v>54</v>
      </c>
      <c r="E45" s="129">
        <v>1200</v>
      </c>
      <c r="F45" s="21">
        <v>1832.817</v>
      </c>
      <c r="G45" s="21">
        <v>1840.7380000000001</v>
      </c>
      <c r="H45" s="33">
        <f>(G45-F45)*E45</f>
        <v>9505.2000000000589</v>
      </c>
      <c r="I45" s="43"/>
      <c r="J45" s="20"/>
    </row>
    <row r="46" spans="1:10" ht="15.75" x14ac:dyDescent="0.25">
      <c r="A46" s="27" t="s">
        <v>63</v>
      </c>
      <c r="B46" s="129" t="s">
        <v>53</v>
      </c>
      <c r="C46" s="32">
        <v>51259336</v>
      </c>
      <c r="D46" s="129" t="s">
        <v>64</v>
      </c>
      <c r="E46" s="129">
        <v>2400</v>
      </c>
      <c r="F46" s="21">
        <v>3.794</v>
      </c>
      <c r="G46" s="21">
        <v>3.8079999999999998</v>
      </c>
      <c r="H46" s="33">
        <f>(G46-F46)*E46</f>
        <v>33.599999999999497</v>
      </c>
      <c r="I46" s="43"/>
      <c r="J46" s="20"/>
    </row>
    <row r="47" spans="1:10" ht="15.75" x14ac:dyDescent="0.25">
      <c r="A47" s="27" t="s">
        <v>65</v>
      </c>
      <c r="B47" s="129" t="s">
        <v>53</v>
      </c>
      <c r="C47" s="32">
        <v>51259266</v>
      </c>
      <c r="D47" s="129" t="s">
        <v>54</v>
      </c>
      <c r="E47" s="129">
        <v>1200</v>
      </c>
      <c r="F47" s="21">
        <v>888.15599999999995</v>
      </c>
      <c r="G47" s="21">
        <v>892.15700000000004</v>
      </c>
      <c r="H47" s="33">
        <f>(G47-F47)*E47</f>
        <v>4801.200000000108</v>
      </c>
      <c r="I47" s="43"/>
      <c r="J47" s="20"/>
    </row>
    <row r="48" spans="1:10" ht="15.75" x14ac:dyDescent="0.25">
      <c r="A48" s="27" t="s">
        <v>66</v>
      </c>
      <c r="B48" s="129" t="s">
        <v>53</v>
      </c>
      <c r="C48" s="32">
        <v>51431336</v>
      </c>
      <c r="D48" s="129" t="s">
        <v>54</v>
      </c>
      <c r="E48" s="129">
        <v>1200</v>
      </c>
      <c r="F48" s="21">
        <v>49.543999999999997</v>
      </c>
      <c r="G48" s="21">
        <v>49.902999999999999</v>
      </c>
      <c r="H48" s="33">
        <f>(G48-F48)*E48</f>
        <v>430.80000000000211</v>
      </c>
      <c r="I48" s="43"/>
      <c r="J48" s="20"/>
    </row>
    <row r="49" spans="1:10" ht="15.75" x14ac:dyDescent="0.25">
      <c r="A49" s="15" t="s">
        <v>67</v>
      </c>
      <c r="B49" s="129" t="s">
        <v>68</v>
      </c>
      <c r="C49" s="129">
        <v>49174</v>
      </c>
      <c r="D49" s="130" t="s">
        <v>54</v>
      </c>
      <c r="E49" s="129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17288.000000000149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29" t="s">
        <v>53</v>
      </c>
      <c r="C52" s="129">
        <v>51097603</v>
      </c>
      <c r="D52" s="130" t="s">
        <v>54</v>
      </c>
      <c r="E52" s="129">
        <v>7000</v>
      </c>
      <c r="F52" s="17">
        <v>1767.47</v>
      </c>
      <c r="G52" s="17">
        <v>1774.335</v>
      </c>
      <c r="H52" s="18">
        <f>(G52-F52)*E52</f>
        <v>48055.000000000065</v>
      </c>
      <c r="I52" s="43"/>
      <c r="J52" s="20"/>
    </row>
    <row r="53" spans="1:10" ht="15.75" x14ac:dyDescent="0.25">
      <c r="A53" s="27" t="s">
        <v>73</v>
      </c>
      <c r="B53" s="129" t="s">
        <v>53</v>
      </c>
      <c r="C53" s="129">
        <v>51097590</v>
      </c>
      <c r="D53" s="130" t="s">
        <v>54</v>
      </c>
      <c r="E53" s="129">
        <v>7000</v>
      </c>
      <c r="F53" s="21">
        <v>10.907999999999999</v>
      </c>
      <c r="G53" s="21">
        <v>10.984</v>
      </c>
      <c r="H53" s="18">
        <f>(G53-F53)*E53</f>
        <v>532.00000000000364</v>
      </c>
      <c r="I53" s="43"/>
      <c r="J53" s="20"/>
    </row>
    <row r="54" spans="1:10" ht="15.75" x14ac:dyDescent="0.25">
      <c r="A54" s="15" t="s">
        <v>67</v>
      </c>
      <c r="B54" s="129" t="s">
        <v>68</v>
      </c>
      <c r="C54" s="129">
        <v>49174</v>
      </c>
      <c r="D54" s="130" t="s">
        <v>54</v>
      </c>
      <c r="E54" s="129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29"/>
      <c r="D55" s="130"/>
      <c r="E55" s="129"/>
      <c r="F55" s="21"/>
      <c r="G55" s="21"/>
      <c r="H55" s="48">
        <f>H52+H53+H54</f>
        <v>48687.000000000073</v>
      </c>
      <c r="I55" s="47"/>
      <c r="J55" s="59"/>
    </row>
    <row r="56" spans="1:10" ht="15.75" x14ac:dyDescent="0.25">
      <c r="A56" s="27" t="s">
        <v>75</v>
      </c>
      <c r="B56" s="129" t="s">
        <v>53</v>
      </c>
      <c r="C56" s="129">
        <v>51100980</v>
      </c>
      <c r="D56" s="129" t="s">
        <v>76</v>
      </c>
      <c r="E56" s="129">
        <v>12000</v>
      </c>
      <c r="F56" s="21">
        <v>1039.759</v>
      </c>
      <c r="G56" s="21">
        <v>1043.8050000000001</v>
      </c>
      <c r="H56" s="18">
        <f>(G56-F56)*E56</f>
        <v>48552.000000000589</v>
      </c>
      <c r="I56" s="47"/>
      <c r="J56" s="58"/>
    </row>
    <row r="57" spans="1:10" ht="15.75" x14ac:dyDescent="0.25">
      <c r="A57" s="27" t="s">
        <v>77</v>
      </c>
      <c r="B57" s="129" t="s">
        <v>53</v>
      </c>
      <c r="C57" s="129">
        <v>51097623</v>
      </c>
      <c r="D57" s="129" t="s">
        <v>76</v>
      </c>
      <c r="E57" s="129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29"/>
      <c r="C58" s="129"/>
      <c r="D58" s="129"/>
      <c r="E58" s="129"/>
      <c r="F58" s="21"/>
      <c r="G58" s="21"/>
      <c r="H58" s="48">
        <f>H56+H57</f>
        <v>48552.000000000589</v>
      </c>
      <c r="I58" s="61">
        <f>H55-H65-H54</f>
        <v>-65.800000000483124</v>
      </c>
      <c r="J58" s="25">
        <f>I58/H58</f>
        <v>-1.3552479815554935E-3</v>
      </c>
    </row>
    <row r="59" spans="1:10" ht="15.75" x14ac:dyDescent="0.25">
      <c r="A59" s="27" t="s">
        <v>79</v>
      </c>
      <c r="B59" s="129" t="s">
        <v>53</v>
      </c>
      <c r="C59" s="129">
        <v>51097675</v>
      </c>
      <c r="D59" s="129" t="s">
        <v>35</v>
      </c>
      <c r="E59" s="129">
        <v>4800</v>
      </c>
      <c r="F59" s="21">
        <v>434.608</v>
      </c>
      <c r="G59" s="21">
        <v>437.53300000000002</v>
      </c>
      <c r="H59" s="18">
        <f t="shared" ref="H59:H64" si="2">(G59-F59)*E59</f>
        <v>14040.000000000055</v>
      </c>
      <c r="I59" s="62"/>
      <c r="J59" s="59"/>
    </row>
    <row r="60" spans="1:10" ht="15.75" x14ac:dyDescent="0.25">
      <c r="A60" s="27" t="s">
        <v>80</v>
      </c>
      <c r="B60" s="129" t="s">
        <v>53</v>
      </c>
      <c r="C60" s="129">
        <v>51100997</v>
      </c>
      <c r="D60" s="129" t="s">
        <v>22</v>
      </c>
      <c r="E60" s="129">
        <v>3600</v>
      </c>
      <c r="F60" s="21">
        <v>1296.7619999999999</v>
      </c>
      <c r="G60" s="21">
        <v>1299.7560000000001</v>
      </c>
      <c r="H60" s="18">
        <f t="shared" si="2"/>
        <v>10778.400000000511</v>
      </c>
      <c r="I60" s="62"/>
      <c r="J60" s="59"/>
    </row>
    <row r="61" spans="1:10" ht="15.75" x14ac:dyDescent="0.25">
      <c r="A61" s="27" t="s">
        <v>81</v>
      </c>
      <c r="B61" s="129" t="s">
        <v>53</v>
      </c>
      <c r="C61" s="129">
        <v>51555218</v>
      </c>
      <c r="D61" s="129">
        <f>400/5</f>
        <v>80</v>
      </c>
      <c r="E61" s="129">
        <v>4800</v>
      </c>
      <c r="F61" s="21">
        <v>51.701000000000001</v>
      </c>
      <c r="G61" s="21">
        <v>52.192999999999998</v>
      </c>
      <c r="H61" s="18">
        <f t="shared" si="2"/>
        <v>2361.5999999999872</v>
      </c>
      <c r="I61" s="62"/>
      <c r="J61" s="59"/>
    </row>
    <row r="62" spans="1:10" ht="15.75" x14ac:dyDescent="0.25">
      <c r="A62" s="27" t="s">
        <v>82</v>
      </c>
      <c r="B62" s="129" t="s">
        <v>53</v>
      </c>
      <c r="C62" s="129">
        <v>51555151</v>
      </c>
      <c r="D62" s="129">
        <f>400/5</f>
        <v>80</v>
      </c>
      <c r="E62" s="129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29" t="s">
        <v>53</v>
      </c>
      <c r="C63" s="129">
        <v>51097599</v>
      </c>
      <c r="D63" s="129" t="s">
        <v>22</v>
      </c>
      <c r="E63" s="129">
        <v>3600</v>
      </c>
      <c r="F63" s="21">
        <v>907.00300000000004</v>
      </c>
      <c r="G63" s="21">
        <v>909.38900000000001</v>
      </c>
      <c r="H63" s="18">
        <f t="shared" si="2"/>
        <v>8589.5999999998821</v>
      </c>
      <c r="I63" s="62"/>
      <c r="J63" s="59"/>
    </row>
    <row r="64" spans="1:10" ht="15.75" x14ac:dyDescent="0.25">
      <c r="A64" s="27" t="s">
        <v>84</v>
      </c>
      <c r="B64" s="129" t="s">
        <v>53</v>
      </c>
      <c r="C64" s="129">
        <v>51097620</v>
      </c>
      <c r="D64" s="129" t="s">
        <v>35</v>
      </c>
      <c r="E64" s="129">
        <v>4800</v>
      </c>
      <c r="F64" s="21">
        <v>449.34899999999999</v>
      </c>
      <c r="G64" s="21">
        <v>452.03300000000002</v>
      </c>
      <c r="H64" s="18">
        <f t="shared" si="2"/>
        <v>12883.200000000124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48652.800000000556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29" t="s">
        <v>53</v>
      </c>
      <c r="C67" s="9">
        <v>51259238</v>
      </c>
      <c r="D67" s="74" t="s">
        <v>54</v>
      </c>
      <c r="E67" s="74">
        <v>7000</v>
      </c>
      <c r="F67" s="75">
        <v>491.84300000000002</v>
      </c>
      <c r="G67" s="75">
        <v>494.69400000000002</v>
      </c>
      <c r="H67" s="76">
        <f>(G67-F67)*E67</f>
        <v>19956.999999999993</v>
      </c>
      <c r="I67" s="77"/>
      <c r="J67" s="78"/>
    </row>
    <row r="68" spans="1:10" ht="15.75" x14ac:dyDescent="0.25">
      <c r="A68" s="27" t="s">
        <v>87</v>
      </c>
      <c r="B68" s="129" t="s">
        <v>53</v>
      </c>
      <c r="C68" s="129">
        <v>51259324</v>
      </c>
      <c r="D68" s="130" t="s">
        <v>54</v>
      </c>
      <c r="E68" s="130">
        <v>7000</v>
      </c>
      <c r="F68" s="21">
        <v>377.60199999999998</v>
      </c>
      <c r="G68" s="21">
        <v>379.584</v>
      </c>
      <c r="H68" s="18">
        <f>(G68-F68)*E68</f>
        <v>13874.000000000195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29">
        <v>51491618</v>
      </c>
      <c r="D69" s="130" t="s">
        <v>64</v>
      </c>
      <c r="E69" s="129">
        <v>40</v>
      </c>
      <c r="F69" s="28">
        <v>997.84900000000005</v>
      </c>
      <c r="G69" s="28">
        <v>1008.374</v>
      </c>
      <c r="H69" s="18">
        <f>(G69-F69)*E69</f>
        <v>420.99999999999909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29">
        <v>51491624</v>
      </c>
      <c r="D70" s="130" t="s">
        <v>64</v>
      </c>
      <c r="E70" s="129">
        <v>40</v>
      </c>
      <c r="F70" s="28">
        <v>133.76400000000001</v>
      </c>
      <c r="G70" s="28">
        <v>135.16399999999999</v>
      </c>
      <c r="H70" s="18">
        <f>(G70-F70)*E70</f>
        <v>55.999999999999091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33831.000000000189</v>
      </c>
      <c r="I71" s="85">
        <f>H71-H74-H69-H70</f>
        <v>-834.00000000036198</v>
      </c>
      <c r="J71" s="25">
        <f>I71/H71</f>
        <v>-2.4651946439666499E-2</v>
      </c>
    </row>
    <row r="72" spans="1:10" ht="15.75" x14ac:dyDescent="0.25">
      <c r="A72" s="27" t="s">
        <v>92</v>
      </c>
      <c r="B72" s="129" t="s">
        <v>53</v>
      </c>
      <c r="C72" s="86">
        <v>51097588</v>
      </c>
      <c r="D72" s="130" t="s">
        <v>76</v>
      </c>
      <c r="E72" s="129">
        <v>12000</v>
      </c>
      <c r="F72" s="21">
        <v>296.60199999999998</v>
      </c>
      <c r="G72" s="21">
        <v>298.245</v>
      </c>
      <c r="H72" s="18">
        <f>(G72-F72)*E72</f>
        <v>19716.000000000349</v>
      </c>
      <c r="I72" s="51"/>
      <c r="J72" s="58"/>
    </row>
    <row r="73" spans="1:10" ht="15.75" x14ac:dyDescent="0.25">
      <c r="A73" s="27" t="s">
        <v>93</v>
      </c>
      <c r="B73" s="129" t="s">
        <v>53</v>
      </c>
      <c r="C73" s="86">
        <v>51431335</v>
      </c>
      <c r="D73" s="130" t="s">
        <v>76</v>
      </c>
      <c r="E73" s="129">
        <v>12000</v>
      </c>
      <c r="F73" s="21">
        <v>231.66</v>
      </c>
      <c r="G73" s="21">
        <v>232.86600000000001</v>
      </c>
      <c r="H73" s="18">
        <f>(G73-F73)*E73</f>
        <v>14472.000000000207</v>
      </c>
      <c r="I73" s="51"/>
      <c r="J73" s="58"/>
    </row>
    <row r="74" spans="1:10" ht="15.75" x14ac:dyDescent="0.25">
      <c r="A74" s="87" t="s">
        <v>94</v>
      </c>
      <c r="B74" s="129" t="s">
        <v>28</v>
      </c>
      <c r="C74" s="129"/>
      <c r="D74" s="130"/>
      <c r="E74" s="129"/>
      <c r="F74" s="21"/>
      <c r="G74" s="21"/>
      <c r="H74" s="48">
        <f>H72+ H73</f>
        <v>34188.000000000553</v>
      </c>
      <c r="I74" s="85">
        <f>H74-H82</f>
        <v>-47.399999999463034</v>
      </c>
      <c r="J74" s="25">
        <f>I74/H74</f>
        <v>-1.3864513864356577E-3</v>
      </c>
    </row>
    <row r="75" spans="1:10" ht="15.75" x14ac:dyDescent="0.25">
      <c r="A75" s="27" t="s">
        <v>95</v>
      </c>
      <c r="B75" s="129" t="s">
        <v>53</v>
      </c>
      <c r="C75" s="86">
        <v>51097676</v>
      </c>
      <c r="D75" s="88" t="s">
        <v>64</v>
      </c>
      <c r="E75" s="129">
        <v>2400</v>
      </c>
      <c r="F75" s="21">
        <v>610.49699999999996</v>
      </c>
      <c r="G75" s="21">
        <v>614.21500000000003</v>
      </c>
      <c r="H75" s="18">
        <f>(G75-F75)*E75</f>
        <v>8923.200000000179</v>
      </c>
      <c r="I75" s="51"/>
      <c r="J75" s="58"/>
    </row>
    <row r="76" spans="1:10" ht="15.75" x14ac:dyDescent="0.25">
      <c r="A76" s="27" t="s">
        <v>96</v>
      </c>
      <c r="B76" s="129" t="s">
        <v>53</v>
      </c>
      <c r="C76" s="86">
        <v>51431355</v>
      </c>
      <c r="D76" s="130" t="s">
        <v>22</v>
      </c>
      <c r="E76" s="130">
        <v>3600</v>
      </c>
      <c r="F76" s="21">
        <v>331.35599999999999</v>
      </c>
      <c r="G76" s="21">
        <v>332.697</v>
      </c>
      <c r="H76" s="18">
        <f>(G76-F76)*E76</f>
        <v>4827.6000000000295</v>
      </c>
      <c r="I76" s="51"/>
      <c r="J76" s="52"/>
    </row>
    <row r="77" spans="1:10" ht="15.75" x14ac:dyDescent="0.25">
      <c r="A77" s="27" t="s">
        <v>97</v>
      </c>
      <c r="B77" s="129" t="s">
        <v>53</v>
      </c>
      <c r="C77" s="86">
        <v>51259331</v>
      </c>
      <c r="D77" s="88" t="s">
        <v>38</v>
      </c>
      <c r="E77" s="129">
        <v>600</v>
      </c>
      <c r="F77" s="21">
        <v>143.018</v>
      </c>
      <c r="G77" s="21">
        <v>143.87100000000001</v>
      </c>
      <c r="H77" s="18">
        <f>(G77-F77)*E77</f>
        <v>511.80000000000518</v>
      </c>
      <c r="I77" s="51"/>
      <c r="J77" s="52"/>
    </row>
    <row r="78" spans="1:10" ht="15.75" x14ac:dyDescent="0.25">
      <c r="A78" s="27" t="s">
        <v>98</v>
      </c>
      <c r="B78" s="129" t="s">
        <v>53</v>
      </c>
      <c r="C78" s="86">
        <v>51259326</v>
      </c>
      <c r="D78" s="88" t="s">
        <v>15</v>
      </c>
      <c r="E78" s="129">
        <v>7200</v>
      </c>
      <c r="F78" s="21">
        <v>295.43</v>
      </c>
      <c r="G78" s="21">
        <v>296.93599999999998</v>
      </c>
      <c r="H78" s="18">
        <f>(G78-F78)*E78</f>
        <v>10843.199999999797</v>
      </c>
      <c r="I78" s="51"/>
      <c r="J78" s="52"/>
    </row>
    <row r="79" spans="1:10" ht="15.75" x14ac:dyDescent="0.25">
      <c r="A79" s="27" t="s">
        <v>99</v>
      </c>
      <c r="B79" s="129" t="s">
        <v>53</v>
      </c>
      <c r="C79" s="86">
        <v>51431351</v>
      </c>
      <c r="D79" s="88" t="s">
        <v>15</v>
      </c>
      <c r="E79" s="129">
        <v>7200</v>
      </c>
      <c r="F79" s="21">
        <v>205.548</v>
      </c>
      <c r="G79" s="21">
        <v>206.816</v>
      </c>
      <c r="H79" s="18">
        <f>(G79-F79)*E79</f>
        <v>9129.6000000000058</v>
      </c>
      <c r="I79" s="51"/>
      <c r="J79" s="52"/>
    </row>
    <row r="80" spans="1:10" ht="15.75" x14ac:dyDescent="0.25">
      <c r="A80" s="89" t="s">
        <v>100</v>
      </c>
      <c r="B80" s="129" t="s">
        <v>53</v>
      </c>
      <c r="C80" s="90">
        <v>51097666</v>
      </c>
      <c r="D80" s="88" t="s">
        <v>64</v>
      </c>
      <c r="E80" s="129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29" t="s">
        <v>53</v>
      </c>
      <c r="C81" s="90">
        <v>51259323</v>
      </c>
      <c r="D81" s="88" t="s">
        <v>64</v>
      </c>
      <c r="E81" s="129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34235.400000000016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29" t="s">
        <v>53</v>
      </c>
      <c r="C84" s="106">
        <v>51431297</v>
      </c>
      <c r="D84" s="130" t="s">
        <v>54</v>
      </c>
      <c r="E84" s="100">
        <v>7000</v>
      </c>
      <c r="F84" s="17">
        <v>242.596</v>
      </c>
      <c r="G84" s="17">
        <v>243.364</v>
      </c>
      <c r="H84" s="18">
        <f>(G84-F84)*E84</f>
        <v>5376.0000000000045</v>
      </c>
      <c r="I84" s="107"/>
      <c r="J84" s="108"/>
    </row>
    <row r="85" spans="1:10" ht="15.75" x14ac:dyDescent="0.25">
      <c r="A85" s="105" t="s">
        <v>87</v>
      </c>
      <c r="B85" s="129" t="s">
        <v>53</v>
      </c>
      <c r="C85" s="106">
        <v>51431332</v>
      </c>
      <c r="D85" s="130" t="s">
        <v>54</v>
      </c>
      <c r="E85" s="100">
        <v>7000</v>
      </c>
      <c r="F85" s="21">
        <v>329.017</v>
      </c>
      <c r="G85" s="21">
        <v>330.74900000000002</v>
      </c>
      <c r="H85" s="18">
        <f>(G85-F85)*E85</f>
        <v>12124.000000000195</v>
      </c>
      <c r="I85" s="129"/>
      <c r="J85" s="58"/>
    </row>
    <row r="86" spans="1:10" ht="15.75" x14ac:dyDescent="0.25">
      <c r="A86" s="27" t="s">
        <v>88</v>
      </c>
      <c r="B86" s="129" t="s">
        <v>104</v>
      </c>
      <c r="C86" s="109">
        <v>150773</v>
      </c>
      <c r="D86" s="130" t="s">
        <v>54</v>
      </c>
      <c r="E86" s="109">
        <v>20</v>
      </c>
      <c r="F86" s="17">
        <v>15458</v>
      </c>
      <c r="G86" s="17">
        <v>15463.7</v>
      </c>
      <c r="H86" s="18">
        <f>(G86-F86)*E86</f>
        <v>114.00000000001455</v>
      </c>
      <c r="I86" s="51"/>
      <c r="J86" s="58"/>
    </row>
    <row r="87" spans="1:10" ht="15.75" x14ac:dyDescent="0.25">
      <c r="A87" s="27" t="s">
        <v>90</v>
      </c>
      <c r="B87" s="129" t="s">
        <v>104</v>
      </c>
      <c r="C87" s="109">
        <v>150791</v>
      </c>
      <c r="D87" s="130" t="s">
        <v>54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31"/>
      <c r="C88" s="32"/>
      <c r="D88" s="82"/>
      <c r="E88" s="82"/>
      <c r="F88" s="21"/>
      <c r="G88" s="21"/>
      <c r="H88" s="48">
        <f>H84+H85</f>
        <v>17500.0000000002</v>
      </c>
      <c r="I88" s="85">
        <f>H88-H91-H86-H87</f>
        <v>403.60000000013315</v>
      </c>
      <c r="J88" s="25">
        <f>I88/H88</f>
        <v>2.3062857142864487E-2</v>
      </c>
    </row>
    <row r="89" spans="1:10" ht="15.75" x14ac:dyDescent="0.25">
      <c r="A89" s="27" t="s">
        <v>105</v>
      </c>
      <c r="B89" s="129" t="s">
        <v>53</v>
      </c>
      <c r="C89" s="106">
        <v>51431342</v>
      </c>
      <c r="D89" s="88" t="s">
        <v>35</v>
      </c>
      <c r="E89" s="129">
        <v>4800</v>
      </c>
      <c r="F89" s="21">
        <v>343.65699999999998</v>
      </c>
      <c r="G89" s="21">
        <v>344.74599999999998</v>
      </c>
      <c r="H89" s="18">
        <f>(G89-F89)*E89</f>
        <v>5227.1999999999935</v>
      </c>
      <c r="I89" s="51"/>
      <c r="J89" s="52"/>
    </row>
    <row r="90" spans="1:10" ht="15.75" x14ac:dyDescent="0.25">
      <c r="A90" s="27" t="s">
        <v>106</v>
      </c>
      <c r="B90" s="129" t="s">
        <v>53</v>
      </c>
      <c r="C90" s="106">
        <v>51431343</v>
      </c>
      <c r="D90" s="88" t="s">
        <v>35</v>
      </c>
      <c r="E90" s="129">
        <v>4800</v>
      </c>
      <c r="F90" s="21">
        <v>465.70499999999998</v>
      </c>
      <c r="G90" s="21">
        <v>468.154</v>
      </c>
      <c r="H90" s="18">
        <f>(G90-F90)*E90</f>
        <v>11755.200000000059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16982.400000000052</v>
      </c>
      <c r="I91" s="85">
        <f>H91-H99</f>
        <v>-85.200000000124419</v>
      </c>
      <c r="J91" s="25">
        <f>I91/H91</f>
        <v>-5.0169587337551913E-3</v>
      </c>
    </row>
    <row r="92" spans="1:10" ht="15.75" x14ac:dyDescent="0.25">
      <c r="A92" s="27" t="s">
        <v>108</v>
      </c>
      <c r="B92" s="129" t="s">
        <v>53</v>
      </c>
      <c r="C92" s="106">
        <v>51431347</v>
      </c>
      <c r="D92" s="130" t="s">
        <v>54</v>
      </c>
      <c r="E92" s="129">
        <v>1200</v>
      </c>
      <c r="F92" s="21">
        <v>1065.6849999999999</v>
      </c>
      <c r="G92" s="21">
        <v>1074.1410000000001</v>
      </c>
      <c r="H92" s="18">
        <f t="shared" ref="H92:H100" si="4">(G92-F92)*E92</f>
        <v>10147.200000000157</v>
      </c>
      <c r="I92" s="51"/>
      <c r="J92" s="52"/>
    </row>
    <row r="93" spans="1:10" ht="15.75" x14ac:dyDescent="0.25">
      <c r="A93" s="27" t="s">
        <v>109</v>
      </c>
      <c r="B93" s="129" t="s">
        <v>53</v>
      </c>
      <c r="C93" s="106">
        <v>51431339</v>
      </c>
      <c r="D93" s="130" t="s">
        <v>54</v>
      </c>
      <c r="E93" s="129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29" t="s">
        <v>53</v>
      </c>
      <c r="C94" s="106">
        <v>51217244</v>
      </c>
      <c r="D94" s="129" t="s">
        <v>38</v>
      </c>
      <c r="E94" s="129">
        <v>600</v>
      </c>
      <c r="F94" s="30">
        <v>292.86200000000002</v>
      </c>
      <c r="G94" s="30">
        <v>295.42399999999998</v>
      </c>
      <c r="H94" s="18">
        <f t="shared" si="4"/>
        <v>1537.199999999973</v>
      </c>
      <c r="I94" s="51"/>
      <c r="J94" s="52"/>
    </row>
    <row r="95" spans="1:10" ht="15.75" x14ac:dyDescent="0.25">
      <c r="A95" s="27" t="s">
        <v>111</v>
      </c>
      <c r="B95" s="129" t="s">
        <v>53</v>
      </c>
      <c r="C95" s="106">
        <v>51217267</v>
      </c>
      <c r="D95" s="88" t="s">
        <v>64</v>
      </c>
      <c r="E95" s="129">
        <v>2400</v>
      </c>
      <c r="F95" s="30">
        <v>19.510999999999999</v>
      </c>
      <c r="G95" s="30">
        <v>19.542999999999999</v>
      </c>
      <c r="H95" s="18">
        <f t="shared" si="4"/>
        <v>76.800000000000068</v>
      </c>
      <c r="I95" s="51"/>
      <c r="J95" s="52"/>
    </row>
    <row r="96" spans="1:10" ht="15.75" x14ac:dyDescent="0.25">
      <c r="A96" s="27" t="s">
        <v>112</v>
      </c>
      <c r="B96" s="129" t="s">
        <v>53</v>
      </c>
      <c r="C96" s="129">
        <v>51555165</v>
      </c>
      <c r="D96" s="130" t="s">
        <v>54</v>
      </c>
      <c r="E96" s="129">
        <v>1200</v>
      </c>
      <c r="F96" s="30">
        <v>771.62699999999995</v>
      </c>
      <c r="G96" s="30">
        <v>771.62699999999995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29" t="s">
        <v>53</v>
      </c>
      <c r="C97" s="106">
        <v>51431346</v>
      </c>
      <c r="D97" s="114" t="s">
        <v>38</v>
      </c>
      <c r="E97" s="114">
        <v>600</v>
      </c>
      <c r="F97" s="30">
        <v>317.81099999999998</v>
      </c>
      <c r="G97" s="30">
        <v>318.16699999999997</v>
      </c>
      <c r="H97" s="115">
        <f t="shared" si="4"/>
        <v>213.59999999999673</v>
      </c>
      <c r="I97" s="116"/>
      <c r="J97" s="117"/>
    </row>
    <row r="98" spans="1:10" ht="15.75" x14ac:dyDescent="0.25">
      <c r="A98" s="27" t="s">
        <v>114</v>
      </c>
      <c r="B98" s="129" t="s">
        <v>53</v>
      </c>
      <c r="C98" s="106">
        <v>51431352</v>
      </c>
      <c r="D98" s="88" t="s">
        <v>22</v>
      </c>
      <c r="E98" s="129">
        <v>3600</v>
      </c>
      <c r="F98" s="21">
        <v>188.71299999999999</v>
      </c>
      <c r="G98" s="21">
        <v>190.096</v>
      </c>
      <c r="H98" s="18">
        <f t="shared" si="4"/>
        <v>4978.8000000000357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17067.600000000177</v>
      </c>
      <c r="I99" s="51"/>
      <c r="J99" s="52"/>
    </row>
    <row r="100" spans="1:10" ht="15.75" x14ac:dyDescent="0.25">
      <c r="A100" s="45" t="s">
        <v>115</v>
      </c>
      <c r="B100" s="129" t="s">
        <v>53</v>
      </c>
      <c r="C100" s="120">
        <v>51431357</v>
      </c>
      <c r="D100" s="130" t="s">
        <v>64</v>
      </c>
      <c r="E100" s="130">
        <v>14000</v>
      </c>
      <c r="F100" s="28">
        <v>749.28300000000002</v>
      </c>
      <c r="G100" s="28">
        <v>753.10799999999995</v>
      </c>
      <c r="H100" s="121">
        <f t="shared" si="4"/>
        <v>53549.999999999047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zoomScaleNormal="100"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120</v>
      </c>
      <c r="G3" s="4" t="s">
        <v>121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32" t="s">
        <v>14</v>
      </c>
      <c r="C5" s="132">
        <v>51555166</v>
      </c>
      <c r="D5" s="132" t="s">
        <v>15</v>
      </c>
      <c r="E5" s="132">
        <v>132000</v>
      </c>
      <c r="F5" s="17">
        <v>2.8769999999999998</v>
      </c>
      <c r="G5" s="17">
        <v>2.8879999999999999</v>
      </c>
      <c r="H5" s="18">
        <f>(G5-F5)*E5</f>
        <v>1452.0000000000159</v>
      </c>
      <c r="I5" s="19"/>
      <c r="J5" s="20"/>
    </row>
    <row r="6" spans="1:10" ht="15.75" x14ac:dyDescent="0.25">
      <c r="A6" s="15" t="s">
        <v>16</v>
      </c>
      <c r="B6" s="132" t="s">
        <v>14</v>
      </c>
      <c r="C6" s="132">
        <v>51555191</v>
      </c>
      <c r="D6" s="132" t="s">
        <v>15</v>
      </c>
      <c r="E6" s="132">
        <v>132000</v>
      </c>
      <c r="F6" s="21">
        <v>324.57400000000001</v>
      </c>
      <c r="G6" s="21">
        <v>326.577</v>
      </c>
      <c r="H6" s="18">
        <f>(G6-F6)*E6</f>
        <v>264395.99999999814</v>
      </c>
      <c r="I6" s="19"/>
      <c r="J6" s="20"/>
    </row>
    <row r="7" spans="1:10" ht="15.75" x14ac:dyDescent="0.25">
      <c r="A7" s="207" t="s">
        <v>17</v>
      </c>
      <c r="B7" s="208"/>
      <c r="C7" s="132"/>
      <c r="D7" s="133"/>
      <c r="E7" s="132"/>
      <c r="H7" s="23">
        <f>H5+H6</f>
        <v>265847.99999999814</v>
      </c>
      <c r="I7" s="24">
        <f>H7-H10-H20</f>
        <v>2435.9999999954453</v>
      </c>
      <c r="J7" s="25">
        <f>I7/H7</f>
        <v>9.1631308115745179E-3</v>
      </c>
    </row>
    <row r="8" spans="1:10" ht="15.75" x14ac:dyDescent="0.25">
      <c r="A8" s="26" t="s">
        <v>18</v>
      </c>
      <c r="B8" s="132" t="s">
        <v>14</v>
      </c>
      <c r="C8" s="132">
        <v>51097629</v>
      </c>
      <c r="D8" s="133" t="s">
        <v>15</v>
      </c>
      <c r="E8" s="132">
        <v>42000</v>
      </c>
      <c r="F8" s="21">
        <v>998.55899999999997</v>
      </c>
      <c r="G8" s="21">
        <v>1002.957</v>
      </c>
      <c r="H8" s="18">
        <f>(G8-F8)*E8</f>
        <v>184716.00000000102</v>
      </c>
      <c r="I8" s="19"/>
      <c r="J8" s="20"/>
    </row>
    <row r="9" spans="1:10" ht="15.75" x14ac:dyDescent="0.25">
      <c r="A9" s="26" t="s">
        <v>19</v>
      </c>
      <c r="B9" s="132" t="s">
        <v>14</v>
      </c>
      <c r="C9" s="132">
        <v>51616820</v>
      </c>
      <c r="D9" s="133" t="s">
        <v>15</v>
      </c>
      <c r="E9" s="132">
        <v>42000</v>
      </c>
      <c r="F9" s="21">
        <v>4.91</v>
      </c>
      <c r="G9" s="21">
        <v>4.931</v>
      </c>
      <c r="H9" s="18">
        <f>(G9-F9)*E9</f>
        <v>881.99999999999613</v>
      </c>
      <c r="I9" s="19"/>
      <c r="J9" s="20"/>
    </row>
    <row r="10" spans="1:10" ht="15.75" x14ac:dyDescent="0.25">
      <c r="A10" s="207" t="s">
        <v>20</v>
      </c>
      <c r="B10" s="208"/>
      <c r="C10" s="132"/>
      <c r="D10" s="133"/>
      <c r="E10" s="132"/>
      <c r="F10" s="21"/>
      <c r="G10" s="21"/>
      <c r="H10" s="23">
        <f>H8+H9</f>
        <v>185598.00000000102</v>
      </c>
      <c r="I10" s="24">
        <f>H10-H17</f>
        <v>-63.000000000407454</v>
      </c>
      <c r="J10" s="25">
        <f>I10/H10</f>
        <v>-3.3944331296892805E-4</v>
      </c>
    </row>
    <row r="11" spans="1:10" ht="15.75" x14ac:dyDescent="0.25">
      <c r="A11" s="27" t="s">
        <v>21</v>
      </c>
      <c r="B11" s="132" t="s">
        <v>14</v>
      </c>
      <c r="C11" s="132">
        <v>51217286</v>
      </c>
      <c r="D11" s="133" t="s">
        <v>22</v>
      </c>
      <c r="E11" s="132">
        <v>21000</v>
      </c>
      <c r="F11" s="21">
        <v>792.00300000000004</v>
      </c>
      <c r="G11" s="21">
        <v>795.28700000000003</v>
      </c>
      <c r="H11" s="18">
        <f t="shared" ref="H11:H16" si="0">(G11-F11)*E11</f>
        <v>68963.999999999825</v>
      </c>
      <c r="I11" s="19"/>
      <c r="J11" s="20"/>
    </row>
    <row r="12" spans="1:10" ht="15.75" x14ac:dyDescent="0.25">
      <c r="A12" s="27" t="s">
        <v>23</v>
      </c>
      <c r="B12" s="132" t="s">
        <v>14</v>
      </c>
      <c r="C12" s="132">
        <v>51217292</v>
      </c>
      <c r="D12" s="133" t="s">
        <v>22</v>
      </c>
      <c r="E12" s="132">
        <v>21000</v>
      </c>
      <c r="F12" s="28">
        <v>3.3370000000000002</v>
      </c>
      <c r="G12" s="28">
        <v>3.363</v>
      </c>
      <c r="H12" s="18">
        <f>(G12-F12)*E12</f>
        <v>545.99999999999579</v>
      </c>
      <c r="I12" s="19"/>
      <c r="J12" s="20"/>
    </row>
    <row r="13" spans="1:10" ht="15.75" x14ac:dyDescent="0.25">
      <c r="A13" s="27" t="s">
        <v>24</v>
      </c>
      <c r="B13" s="132" t="s">
        <v>14</v>
      </c>
      <c r="C13" s="132">
        <v>51217271</v>
      </c>
      <c r="D13" s="133" t="s">
        <v>22</v>
      </c>
      <c r="E13" s="132">
        <v>21000</v>
      </c>
      <c r="F13" s="21">
        <v>579.31799999999998</v>
      </c>
      <c r="G13" s="21">
        <v>581.86099999999999</v>
      </c>
      <c r="H13" s="18">
        <f t="shared" si="0"/>
        <v>53403.000000000131</v>
      </c>
      <c r="I13" s="19"/>
      <c r="J13" s="20"/>
    </row>
    <row r="14" spans="1:10" ht="15.75" x14ac:dyDescent="0.25">
      <c r="A14" s="27" t="s">
        <v>25</v>
      </c>
      <c r="B14" s="132" t="s">
        <v>14</v>
      </c>
      <c r="C14" s="132">
        <v>51217276</v>
      </c>
      <c r="D14" s="133" t="s">
        <v>22</v>
      </c>
      <c r="E14" s="132">
        <v>21000</v>
      </c>
      <c r="F14" s="28">
        <v>0.48899999999999999</v>
      </c>
      <c r="G14" s="28">
        <v>0.49099999999999999</v>
      </c>
      <c r="H14" s="18">
        <f>(G14-F14)*E14</f>
        <v>42.000000000000036</v>
      </c>
      <c r="I14" s="19"/>
      <c r="J14" s="20"/>
    </row>
    <row r="15" spans="1:10" ht="15.75" x14ac:dyDescent="0.25">
      <c r="A15" s="27" t="s">
        <v>26</v>
      </c>
      <c r="B15" s="132" t="s">
        <v>14</v>
      </c>
      <c r="C15" s="132">
        <v>51100990</v>
      </c>
      <c r="D15" s="133" t="s">
        <v>22</v>
      </c>
      <c r="E15" s="132">
        <v>21000</v>
      </c>
      <c r="F15" s="29">
        <v>631.54</v>
      </c>
      <c r="G15" s="29">
        <v>634.51300000000003</v>
      </c>
      <c r="H15" s="18">
        <f t="shared" si="0"/>
        <v>62433.00000000147</v>
      </c>
      <c r="I15" s="19"/>
      <c r="J15" s="20"/>
    </row>
    <row r="16" spans="1:10" ht="15.75" x14ac:dyDescent="0.25">
      <c r="A16" s="27" t="s">
        <v>27</v>
      </c>
      <c r="B16" s="132" t="s">
        <v>14</v>
      </c>
      <c r="C16" s="132">
        <v>51097622</v>
      </c>
      <c r="D16" s="133" t="s">
        <v>22</v>
      </c>
      <c r="E16" s="132">
        <v>21000</v>
      </c>
      <c r="F16" s="21">
        <v>2.7759999999999998</v>
      </c>
      <c r="G16" s="21">
        <v>2.7890000000000001</v>
      </c>
      <c r="H16" s="18">
        <f t="shared" si="0"/>
        <v>273.00000000000722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32"/>
      <c r="D17" s="133"/>
      <c r="E17" s="132"/>
      <c r="F17" s="21"/>
      <c r="G17" s="21"/>
      <c r="H17" s="23">
        <f>H11+H12+H13+H14+H15+H16</f>
        <v>185661.00000000143</v>
      </c>
      <c r="I17" s="19"/>
      <c r="J17" s="20"/>
    </row>
    <row r="18" spans="1:10" ht="15.75" x14ac:dyDescent="0.25">
      <c r="A18" s="26" t="s">
        <v>30</v>
      </c>
      <c r="B18" s="132" t="s">
        <v>14</v>
      </c>
      <c r="C18" s="132">
        <v>51097617</v>
      </c>
      <c r="D18" s="133" t="s">
        <v>31</v>
      </c>
      <c r="E18" s="132">
        <v>18000</v>
      </c>
      <c r="F18" s="30">
        <v>755.76599999999996</v>
      </c>
      <c r="G18" s="30">
        <v>760.08900000000006</v>
      </c>
      <c r="H18" s="18">
        <f>(G18-F18)*E18</f>
        <v>77814.000000001673</v>
      </c>
      <c r="I18" s="19"/>
      <c r="J18" s="20"/>
    </row>
    <row r="19" spans="1:10" ht="15.75" x14ac:dyDescent="0.25">
      <c r="A19" s="26" t="s">
        <v>32</v>
      </c>
      <c r="B19" s="132" t="s">
        <v>14</v>
      </c>
      <c r="C19" s="132">
        <v>51097655</v>
      </c>
      <c r="D19" s="133" t="s">
        <v>31</v>
      </c>
      <c r="E19" s="132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32"/>
      <c r="D20" s="133"/>
      <c r="E20" s="132"/>
      <c r="F20" s="30"/>
      <c r="G20" s="30"/>
      <c r="H20" s="23">
        <f>H18+H19</f>
        <v>77814.000000001673</v>
      </c>
      <c r="I20" s="24">
        <f>H20-H35</f>
        <v>3648.0000000014697</v>
      </c>
      <c r="J20" s="25">
        <f>I20/H20</f>
        <v>4.6881023980278498E-2</v>
      </c>
    </row>
    <row r="21" spans="1:10" ht="15.75" x14ac:dyDescent="0.25">
      <c r="A21" s="15" t="s">
        <v>34</v>
      </c>
      <c r="B21" s="132" t="s">
        <v>14</v>
      </c>
      <c r="C21" s="132">
        <v>51217282</v>
      </c>
      <c r="D21" s="133" t="s">
        <v>35</v>
      </c>
      <c r="E21" s="132">
        <v>4800</v>
      </c>
      <c r="F21" s="21">
        <v>379.34800000000001</v>
      </c>
      <c r="G21" s="21">
        <v>379.39499999999998</v>
      </c>
      <c r="H21" s="18">
        <f t="shared" ref="H21:H34" si="1">(G21-F21)*E21</f>
        <v>225.59999999984939</v>
      </c>
      <c r="I21" s="19" t="s">
        <v>28</v>
      </c>
      <c r="J21" s="20"/>
    </row>
    <row r="22" spans="1:10" ht="15.75" x14ac:dyDescent="0.25">
      <c r="A22" s="15" t="s">
        <v>36</v>
      </c>
      <c r="B22" s="132" t="s">
        <v>14</v>
      </c>
      <c r="C22" s="132">
        <v>51217274</v>
      </c>
      <c r="D22" s="133" t="s">
        <v>35</v>
      </c>
      <c r="E22" s="132">
        <v>4800</v>
      </c>
      <c r="F22" s="21">
        <v>1191.4829999999999</v>
      </c>
      <c r="G22" s="21">
        <v>1197.596</v>
      </c>
      <c r="H22" s="18">
        <f t="shared" si="1"/>
        <v>29342.400000000271</v>
      </c>
      <c r="I22" s="19"/>
      <c r="J22" s="20"/>
    </row>
    <row r="23" spans="1:10" ht="15.75" x14ac:dyDescent="0.25">
      <c r="A23" s="15" t="s">
        <v>37</v>
      </c>
      <c r="B23" s="132" t="s">
        <v>14</v>
      </c>
      <c r="C23" s="132">
        <v>51097664</v>
      </c>
      <c r="D23" s="133" t="s">
        <v>38</v>
      </c>
      <c r="E23" s="132">
        <v>600</v>
      </c>
      <c r="F23" s="21">
        <v>4.3470000000000004</v>
      </c>
      <c r="G23" s="21">
        <v>4.3680000000000003</v>
      </c>
      <c r="H23" s="18">
        <f t="shared" si="1"/>
        <v>12.599999999999945</v>
      </c>
      <c r="I23" s="19"/>
      <c r="J23" s="20"/>
    </row>
    <row r="24" spans="1:10" ht="15.75" x14ac:dyDescent="0.25">
      <c r="A24" s="15" t="s">
        <v>39</v>
      </c>
      <c r="B24" s="132" t="s">
        <v>14</v>
      </c>
      <c r="C24" s="132">
        <v>51097615</v>
      </c>
      <c r="D24" s="133" t="s">
        <v>38</v>
      </c>
      <c r="E24" s="132">
        <v>600</v>
      </c>
      <c r="F24" s="21">
        <v>35.061999999999998</v>
      </c>
      <c r="G24" s="21">
        <v>35.451999999999998</v>
      </c>
      <c r="H24" s="18">
        <f t="shared" si="1"/>
        <v>234.00000000000034</v>
      </c>
      <c r="I24" s="19"/>
      <c r="J24" s="20"/>
    </row>
    <row r="25" spans="1:10" ht="15.75" x14ac:dyDescent="0.25">
      <c r="A25" s="15" t="s">
        <v>40</v>
      </c>
      <c r="B25" s="132" t="s">
        <v>14</v>
      </c>
      <c r="C25" s="132">
        <v>51217264</v>
      </c>
      <c r="D25" s="133" t="s">
        <v>38</v>
      </c>
      <c r="E25" s="132">
        <v>600</v>
      </c>
      <c r="F25" s="21">
        <v>85.897000000000006</v>
      </c>
      <c r="G25" s="21">
        <v>86.591999999999999</v>
      </c>
      <c r="H25" s="18">
        <f t="shared" si="1"/>
        <v>416.99999999999591</v>
      </c>
      <c r="I25" s="19"/>
      <c r="J25" s="20"/>
    </row>
    <row r="26" spans="1:10" ht="15.75" x14ac:dyDescent="0.25">
      <c r="A26" s="15" t="s">
        <v>41</v>
      </c>
      <c r="B26" s="132" t="s">
        <v>14</v>
      </c>
      <c r="C26" s="132">
        <v>51217288</v>
      </c>
      <c r="D26" s="133" t="s">
        <v>38</v>
      </c>
      <c r="E26" s="132">
        <v>600</v>
      </c>
      <c r="F26" s="21">
        <v>19.654</v>
      </c>
      <c r="G26" s="21">
        <v>19.684999999999999</v>
      </c>
      <c r="H26" s="18">
        <f t="shared" si="1"/>
        <v>18.599999999999284</v>
      </c>
      <c r="I26" s="19" t="s">
        <v>28</v>
      </c>
      <c r="J26" s="20"/>
    </row>
    <row r="27" spans="1:10" ht="15.75" x14ac:dyDescent="0.25">
      <c r="A27" s="15" t="s">
        <v>42</v>
      </c>
      <c r="B27" s="132" t="s">
        <v>14</v>
      </c>
      <c r="C27" s="132">
        <v>51217279</v>
      </c>
      <c r="D27" s="133" t="s">
        <v>38</v>
      </c>
      <c r="E27" s="132">
        <v>600</v>
      </c>
      <c r="F27" s="21">
        <v>13.866</v>
      </c>
      <c r="G27" s="21">
        <v>13.92</v>
      </c>
      <c r="H27" s="18">
        <f t="shared" si="1"/>
        <v>32.400000000000162</v>
      </c>
      <c r="I27" s="19" t="s">
        <v>28</v>
      </c>
      <c r="J27" s="20"/>
    </row>
    <row r="28" spans="1:10" ht="15.75" x14ac:dyDescent="0.25">
      <c r="A28" s="15" t="s">
        <v>43</v>
      </c>
      <c r="B28" s="132" t="s">
        <v>14</v>
      </c>
      <c r="C28" s="132">
        <v>51217272</v>
      </c>
      <c r="D28" s="133" t="s">
        <v>38</v>
      </c>
      <c r="E28" s="132">
        <v>600</v>
      </c>
      <c r="F28" s="31">
        <v>13.602</v>
      </c>
      <c r="G28" s="31">
        <v>13.654999999999999</v>
      </c>
      <c r="H28" s="18">
        <f t="shared" si="1"/>
        <v>31.799999999999429</v>
      </c>
      <c r="I28" s="19"/>
      <c r="J28" s="20"/>
    </row>
    <row r="29" spans="1:10" ht="15.75" x14ac:dyDescent="0.25">
      <c r="A29" s="15" t="s">
        <v>44</v>
      </c>
      <c r="B29" s="132" t="s">
        <v>14</v>
      </c>
      <c r="C29" s="132">
        <v>51616744</v>
      </c>
      <c r="D29" s="133">
        <f>300/5</f>
        <v>60</v>
      </c>
      <c r="E29" s="132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32" t="s">
        <v>14</v>
      </c>
      <c r="C30" s="132">
        <v>51555226</v>
      </c>
      <c r="D30" s="133">
        <f>300/5</f>
        <v>60</v>
      </c>
      <c r="E30" s="132">
        <v>3600</v>
      </c>
      <c r="F30" s="31">
        <v>410.19499999999999</v>
      </c>
      <c r="G30" s="31">
        <v>414.45600000000002</v>
      </c>
      <c r="H30" s="18">
        <f>(G30-F30)*E30</f>
        <v>15339.600000000086</v>
      </c>
      <c r="I30" s="19"/>
      <c r="J30" s="20"/>
    </row>
    <row r="31" spans="1:10" ht="15.75" x14ac:dyDescent="0.25">
      <c r="A31" s="15" t="s">
        <v>46</v>
      </c>
      <c r="B31" s="132" t="s">
        <v>14</v>
      </c>
      <c r="C31" s="132">
        <v>51097658</v>
      </c>
      <c r="D31" s="133" t="s">
        <v>35</v>
      </c>
      <c r="E31" s="132">
        <v>4800</v>
      </c>
      <c r="F31" s="31">
        <v>578.01700000000005</v>
      </c>
      <c r="G31" s="31">
        <v>581.31500000000005</v>
      </c>
      <c r="H31" s="18">
        <f t="shared" si="1"/>
        <v>15830.400000000009</v>
      </c>
      <c r="I31" s="19"/>
      <c r="J31" s="20"/>
    </row>
    <row r="32" spans="1:10" ht="15.75" x14ac:dyDescent="0.25">
      <c r="A32" s="15" t="s">
        <v>47</v>
      </c>
      <c r="B32" s="132" t="s">
        <v>14</v>
      </c>
      <c r="C32" s="132">
        <v>51097635</v>
      </c>
      <c r="D32" s="133" t="s">
        <v>35</v>
      </c>
      <c r="E32" s="132">
        <v>4800</v>
      </c>
      <c r="F32" s="31">
        <v>48.445</v>
      </c>
      <c r="G32" s="31">
        <v>48.445</v>
      </c>
      <c r="H32" s="18">
        <f t="shared" si="1"/>
        <v>0</v>
      </c>
      <c r="I32" s="19"/>
      <c r="J32" s="20"/>
    </row>
    <row r="33" spans="1:10" ht="15.75" x14ac:dyDescent="0.25">
      <c r="A33" s="15" t="s">
        <v>48</v>
      </c>
      <c r="B33" s="132" t="s">
        <v>14</v>
      </c>
      <c r="C33" s="32">
        <v>51097633</v>
      </c>
      <c r="D33" s="133" t="s">
        <v>35</v>
      </c>
      <c r="E33" s="132">
        <v>4800</v>
      </c>
      <c r="F33" s="31">
        <v>125.73399999999999</v>
      </c>
      <c r="G33" s="31">
        <v>128.32599999999999</v>
      </c>
      <c r="H33" s="33">
        <f t="shared" si="1"/>
        <v>12441.599999999995</v>
      </c>
      <c r="I33" s="34"/>
      <c r="J33" s="35"/>
    </row>
    <row r="34" spans="1:10" ht="15.75" x14ac:dyDescent="0.25">
      <c r="A34" s="15" t="s">
        <v>49</v>
      </c>
      <c r="B34" s="132" t="s">
        <v>14</v>
      </c>
      <c r="C34" s="32">
        <v>51097662</v>
      </c>
      <c r="D34" s="133" t="s">
        <v>35</v>
      </c>
      <c r="E34" s="132">
        <v>4800</v>
      </c>
      <c r="F34" s="31">
        <v>2.3860000000000001</v>
      </c>
      <c r="G34" s="31">
        <v>2.4359999999999999</v>
      </c>
      <c r="H34" s="33">
        <f t="shared" si="1"/>
        <v>239.99999999999915</v>
      </c>
      <c r="I34" s="34"/>
      <c r="J34" s="35"/>
    </row>
    <row r="35" spans="1:10" ht="15.75" x14ac:dyDescent="0.25">
      <c r="A35" s="207" t="s">
        <v>50</v>
      </c>
      <c r="B35" s="208"/>
      <c r="C35" s="132"/>
      <c r="D35" s="133"/>
      <c r="E35" s="132"/>
      <c r="F35" s="36"/>
      <c r="G35" s="36"/>
      <c r="H35" s="23">
        <f>H21+H22+H23+H24+H25+H26+H27+H28+H29+H30+H31+H32+H33+H34</f>
        <v>74166.000000000204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32" t="s">
        <v>53</v>
      </c>
      <c r="C37" s="132">
        <v>51555209</v>
      </c>
      <c r="D37" s="133" t="s">
        <v>54</v>
      </c>
      <c r="E37" s="132">
        <v>7000</v>
      </c>
      <c r="F37" s="17">
        <v>4.6900000000000004</v>
      </c>
      <c r="G37" s="17">
        <v>4.7380000000000004</v>
      </c>
      <c r="H37" s="41">
        <f>(G37-F37)*E37</f>
        <v>336.00000000000028</v>
      </c>
      <c r="I37" s="42"/>
      <c r="J37" s="14"/>
    </row>
    <row r="38" spans="1:10" ht="15.75" x14ac:dyDescent="0.25">
      <c r="A38" s="15" t="s">
        <v>55</v>
      </c>
      <c r="B38" s="132" t="s">
        <v>53</v>
      </c>
      <c r="C38" s="132">
        <v>51555209</v>
      </c>
      <c r="D38" s="133" t="s">
        <v>54</v>
      </c>
      <c r="E38" s="132">
        <v>7000</v>
      </c>
      <c r="F38" s="21">
        <v>9.3490000000000002</v>
      </c>
      <c r="G38" s="21">
        <v>9.3889999999999993</v>
      </c>
      <c r="H38" s="18">
        <f>(G38-F38)*E38</f>
        <v>279.99999999999403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32" t="s">
        <v>53</v>
      </c>
      <c r="C40" s="132">
        <v>51097674</v>
      </c>
      <c r="D40" s="132" t="s">
        <v>15</v>
      </c>
      <c r="E40" s="132">
        <v>7200</v>
      </c>
      <c r="F40" s="21">
        <v>536.94000000000005</v>
      </c>
      <c r="G40" s="21">
        <v>539.34</v>
      </c>
      <c r="H40" s="18">
        <f>(G40-F40)*E40</f>
        <v>17279.999999999836</v>
      </c>
      <c r="I40" s="47"/>
      <c r="J40" s="20"/>
    </row>
    <row r="41" spans="1:10" ht="15.75" x14ac:dyDescent="0.25">
      <c r="A41" s="27" t="s">
        <v>58</v>
      </c>
      <c r="B41" s="132" t="s">
        <v>53</v>
      </c>
      <c r="C41" s="132">
        <v>51259257</v>
      </c>
      <c r="D41" s="132" t="s">
        <v>15</v>
      </c>
      <c r="E41" s="132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32"/>
      <c r="C42" s="132"/>
      <c r="D42" s="132"/>
      <c r="E42" s="132"/>
      <c r="F42" s="21"/>
      <c r="G42" s="21"/>
      <c r="H42" s="48">
        <f>H40+H41</f>
        <v>17279.999999999836</v>
      </c>
      <c r="I42" s="24">
        <f>H42-H50</f>
        <v>-144.80000000014115</v>
      </c>
      <c r="J42" s="25">
        <f>I42/H42</f>
        <v>-8.3796296296378778E-3</v>
      </c>
    </row>
    <row r="43" spans="1:10" ht="15.75" x14ac:dyDescent="0.25">
      <c r="A43" s="15" t="s">
        <v>60</v>
      </c>
      <c r="B43" s="132"/>
      <c r="C43" s="132"/>
      <c r="D43" s="133"/>
      <c r="E43" s="132"/>
      <c r="H43" s="18"/>
      <c r="I43" s="43"/>
      <c r="J43" s="20"/>
    </row>
    <row r="44" spans="1:10" ht="15.75" x14ac:dyDescent="0.25">
      <c r="A44" s="27" t="s">
        <v>61</v>
      </c>
      <c r="B44" s="132" t="s">
        <v>53</v>
      </c>
      <c r="C44" s="32">
        <v>51097648</v>
      </c>
      <c r="D44" s="132" t="s">
        <v>54</v>
      </c>
      <c r="E44" s="132">
        <v>1200</v>
      </c>
      <c r="F44" s="21">
        <v>440.19200000000001</v>
      </c>
      <c r="G44" s="21">
        <v>442.23099999999999</v>
      </c>
      <c r="H44" s="33">
        <f>(G44-F44)*E44</f>
        <v>2446.7999999999847</v>
      </c>
      <c r="I44" s="43"/>
      <c r="J44" s="20"/>
    </row>
    <row r="45" spans="1:10" ht="15.75" x14ac:dyDescent="0.25">
      <c r="A45" s="27" t="s">
        <v>62</v>
      </c>
      <c r="B45" s="132" t="s">
        <v>53</v>
      </c>
      <c r="C45" s="32">
        <v>50555043</v>
      </c>
      <c r="D45" s="132" t="s">
        <v>54</v>
      </c>
      <c r="E45" s="132">
        <v>1200</v>
      </c>
      <c r="F45" s="21">
        <v>1840.7380000000001</v>
      </c>
      <c r="G45" s="21">
        <v>1848.6590000000001</v>
      </c>
      <c r="H45" s="33">
        <f>(G45-F45)*E45</f>
        <v>9505.2000000000589</v>
      </c>
      <c r="I45" s="43"/>
      <c r="J45" s="20"/>
    </row>
    <row r="46" spans="1:10" ht="15.75" x14ac:dyDescent="0.25">
      <c r="A46" s="27" t="s">
        <v>63</v>
      </c>
      <c r="B46" s="132" t="s">
        <v>53</v>
      </c>
      <c r="C46" s="32">
        <v>51259336</v>
      </c>
      <c r="D46" s="132" t="s">
        <v>64</v>
      </c>
      <c r="E46" s="132">
        <v>2400</v>
      </c>
      <c r="F46" s="21">
        <v>3.8079999999999998</v>
      </c>
      <c r="G46" s="21">
        <v>3.8210000000000002</v>
      </c>
      <c r="H46" s="33">
        <f>(G46-F46)*E46</f>
        <v>31.200000000000827</v>
      </c>
      <c r="I46" s="43"/>
      <c r="J46" s="20"/>
    </row>
    <row r="47" spans="1:10" ht="15.75" x14ac:dyDescent="0.25">
      <c r="A47" s="27" t="s">
        <v>65</v>
      </c>
      <c r="B47" s="132" t="s">
        <v>53</v>
      </c>
      <c r="C47" s="32">
        <v>51259266</v>
      </c>
      <c r="D47" s="132" t="s">
        <v>54</v>
      </c>
      <c r="E47" s="132">
        <v>1200</v>
      </c>
      <c r="F47" s="21">
        <v>892.15700000000004</v>
      </c>
      <c r="G47" s="21">
        <v>896.26499999999999</v>
      </c>
      <c r="H47" s="33">
        <f>(G47-F47)*E47</f>
        <v>4929.5999999999367</v>
      </c>
      <c r="I47" s="43"/>
      <c r="J47" s="20"/>
    </row>
    <row r="48" spans="1:10" ht="15.75" x14ac:dyDescent="0.25">
      <c r="A48" s="27" t="s">
        <v>66</v>
      </c>
      <c r="B48" s="132" t="s">
        <v>53</v>
      </c>
      <c r="C48" s="32">
        <v>51431336</v>
      </c>
      <c r="D48" s="132" t="s">
        <v>54</v>
      </c>
      <c r="E48" s="132">
        <v>1200</v>
      </c>
      <c r="F48" s="21">
        <v>49.902999999999999</v>
      </c>
      <c r="G48" s="21">
        <v>50.287999999999997</v>
      </c>
      <c r="H48" s="33">
        <f>(G48-F48)*E48</f>
        <v>461.99999999999761</v>
      </c>
      <c r="I48" s="43"/>
      <c r="J48" s="20"/>
    </row>
    <row r="49" spans="1:10" ht="15.75" x14ac:dyDescent="0.25">
      <c r="A49" s="15" t="s">
        <v>67</v>
      </c>
      <c r="B49" s="132" t="s">
        <v>68</v>
      </c>
      <c r="C49" s="132">
        <v>49174</v>
      </c>
      <c r="D49" s="133" t="s">
        <v>54</v>
      </c>
      <c r="E49" s="132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17424.799999999977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32" t="s">
        <v>53</v>
      </c>
      <c r="C52" s="132">
        <v>51097603</v>
      </c>
      <c r="D52" s="133" t="s">
        <v>54</v>
      </c>
      <c r="E52" s="132">
        <v>7000</v>
      </c>
      <c r="F52" s="17">
        <v>1774.335</v>
      </c>
      <c r="G52" s="17">
        <v>1781.5150000000001</v>
      </c>
      <c r="H52" s="18">
        <f>(G52-F52)*E52</f>
        <v>50260.000000000444</v>
      </c>
      <c r="I52" s="43"/>
      <c r="J52" s="20"/>
    </row>
    <row r="53" spans="1:10" ht="15.75" x14ac:dyDescent="0.25">
      <c r="A53" s="27" t="s">
        <v>73</v>
      </c>
      <c r="B53" s="132" t="s">
        <v>53</v>
      </c>
      <c r="C53" s="132">
        <v>51097590</v>
      </c>
      <c r="D53" s="133" t="s">
        <v>54</v>
      </c>
      <c r="E53" s="132">
        <v>7000</v>
      </c>
      <c r="F53" s="21">
        <v>10.984</v>
      </c>
      <c r="G53" s="21">
        <v>11.061</v>
      </c>
      <c r="H53" s="18">
        <f>(G53-F53)*E53</f>
        <v>538.99999999999966</v>
      </c>
      <c r="I53" s="43"/>
      <c r="J53" s="20"/>
    </row>
    <row r="54" spans="1:10" ht="15.75" x14ac:dyDescent="0.25">
      <c r="A54" s="15" t="s">
        <v>67</v>
      </c>
      <c r="B54" s="132" t="s">
        <v>68</v>
      </c>
      <c r="C54" s="132">
        <v>49174</v>
      </c>
      <c r="D54" s="133" t="s">
        <v>54</v>
      </c>
      <c r="E54" s="132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32"/>
      <c r="D55" s="133"/>
      <c r="E55" s="132"/>
      <c r="F55" s="21"/>
      <c r="G55" s="21"/>
      <c r="H55" s="48">
        <f>H52+H53+H54</f>
        <v>50899.000000000444</v>
      </c>
      <c r="I55" s="47"/>
      <c r="J55" s="59"/>
    </row>
    <row r="56" spans="1:10" ht="15.75" x14ac:dyDescent="0.25">
      <c r="A56" s="27" t="s">
        <v>75</v>
      </c>
      <c r="B56" s="132" t="s">
        <v>53</v>
      </c>
      <c r="C56" s="132">
        <v>51100980</v>
      </c>
      <c r="D56" s="132" t="s">
        <v>76</v>
      </c>
      <c r="E56" s="132">
        <v>12000</v>
      </c>
      <c r="F56" s="21">
        <v>1043.8050000000001</v>
      </c>
      <c r="G56" s="21">
        <v>1048.0419999999999</v>
      </c>
      <c r="H56" s="18">
        <f>(G56-F56)*E56</f>
        <v>50843.999999998232</v>
      </c>
      <c r="I56" s="47"/>
      <c r="J56" s="58"/>
    </row>
    <row r="57" spans="1:10" ht="15.75" x14ac:dyDescent="0.25">
      <c r="A57" s="27" t="s">
        <v>77</v>
      </c>
      <c r="B57" s="132" t="s">
        <v>53</v>
      </c>
      <c r="C57" s="132">
        <v>51097623</v>
      </c>
      <c r="D57" s="132" t="s">
        <v>76</v>
      </c>
      <c r="E57" s="132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32"/>
      <c r="C58" s="132"/>
      <c r="D58" s="132"/>
      <c r="E58" s="132"/>
      <c r="F58" s="21"/>
      <c r="G58" s="21"/>
      <c r="H58" s="48">
        <f>H56+H57</f>
        <v>50843.999999998232</v>
      </c>
      <c r="I58" s="61">
        <f>H55-H65-H54</f>
        <v>-118.1999999987529</v>
      </c>
      <c r="J58" s="25">
        <f>I58/H58</f>
        <v>-2.3247580835252342E-3</v>
      </c>
    </row>
    <row r="59" spans="1:10" ht="15.75" x14ac:dyDescent="0.25">
      <c r="A59" s="27" t="s">
        <v>79</v>
      </c>
      <c r="B59" s="132" t="s">
        <v>53</v>
      </c>
      <c r="C59" s="132">
        <v>51097675</v>
      </c>
      <c r="D59" s="132" t="s">
        <v>35</v>
      </c>
      <c r="E59" s="132">
        <v>4800</v>
      </c>
      <c r="F59" s="21">
        <v>437.53300000000002</v>
      </c>
      <c r="G59" s="21">
        <v>440.83199999999999</v>
      </c>
      <c r="H59" s="18">
        <f t="shared" ref="H59:H64" si="2">(G59-F59)*E59</f>
        <v>15835.199999999895</v>
      </c>
      <c r="I59" s="62"/>
      <c r="J59" s="59"/>
    </row>
    <row r="60" spans="1:10" ht="15.75" x14ac:dyDescent="0.25">
      <c r="A60" s="27" t="s">
        <v>80</v>
      </c>
      <c r="B60" s="132" t="s">
        <v>53</v>
      </c>
      <c r="C60" s="132">
        <v>51100997</v>
      </c>
      <c r="D60" s="132" t="s">
        <v>22</v>
      </c>
      <c r="E60" s="132">
        <v>3600</v>
      </c>
      <c r="F60" s="21">
        <v>1299.7560000000001</v>
      </c>
      <c r="G60" s="21">
        <v>1302.742</v>
      </c>
      <c r="H60" s="18">
        <f t="shared" si="2"/>
        <v>10749.599999999555</v>
      </c>
      <c r="I60" s="62"/>
      <c r="J60" s="59"/>
    </row>
    <row r="61" spans="1:10" ht="15.75" x14ac:dyDescent="0.25">
      <c r="A61" s="27" t="s">
        <v>81</v>
      </c>
      <c r="B61" s="132" t="s">
        <v>53</v>
      </c>
      <c r="C61" s="132">
        <v>51555218</v>
      </c>
      <c r="D61" s="132">
        <f>400/5</f>
        <v>80</v>
      </c>
      <c r="E61" s="132">
        <v>4800</v>
      </c>
      <c r="F61" s="21">
        <v>52.192999999999998</v>
      </c>
      <c r="G61" s="21">
        <v>52.761000000000003</v>
      </c>
      <c r="H61" s="18">
        <f t="shared" si="2"/>
        <v>2726.4000000000237</v>
      </c>
      <c r="I61" s="62"/>
      <c r="J61" s="59"/>
    </row>
    <row r="62" spans="1:10" ht="15.75" x14ac:dyDescent="0.25">
      <c r="A62" s="27" t="s">
        <v>82</v>
      </c>
      <c r="B62" s="132" t="s">
        <v>53</v>
      </c>
      <c r="C62" s="132">
        <v>51555151</v>
      </c>
      <c r="D62" s="132">
        <f>400/5</f>
        <v>80</v>
      </c>
      <c r="E62" s="132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32" t="s">
        <v>53</v>
      </c>
      <c r="C63" s="132">
        <v>51097599</v>
      </c>
      <c r="D63" s="132" t="s">
        <v>22</v>
      </c>
      <c r="E63" s="132">
        <v>3600</v>
      </c>
      <c r="F63" s="21">
        <v>909.38900000000001</v>
      </c>
      <c r="G63" s="21">
        <v>911.8</v>
      </c>
      <c r="H63" s="18">
        <f t="shared" si="2"/>
        <v>8679.5999999998003</v>
      </c>
      <c r="I63" s="62"/>
      <c r="J63" s="59"/>
    </row>
    <row r="64" spans="1:10" ht="15.75" x14ac:dyDescent="0.25">
      <c r="A64" s="27" t="s">
        <v>84</v>
      </c>
      <c r="B64" s="132" t="s">
        <v>53</v>
      </c>
      <c r="C64" s="132">
        <v>51097620</v>
      </c>
      <c r="D64" s="132" t="s">
        <v>35</v>
      </c>
      <c r="E64" s="132">
        <v>4800</v>
      </c>
      <c r="F64" s="21">
        <v>452.03300000000002</v>
      </c>
      <c r="G64" s="21">
        <v>454.726</v>
      </c>
      <c r="H64" s="18">
        <f t="shared" si="2"/>
        <v>12926.399999999921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50917.199999999197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32" t="s">
        <v>53</v>
      </c>
      <c r="C67" s="9">
        <v>51259238</v>
      </c>
      <c r="D67" s="74" t="s">
        <v>54</v>
      </c>
      <c r="E67" s="74">
        <v>7000</v>
      </c>
      <c r="F67" s="75">
        <v>494.69400000000002</v>
      </c>
      <c r="G67" s="75">
        <v>497.69600000000003</v>
      </c>
      <c r="H67" s="76">
        <f>(G67-F67)*E67</f>
        <v>21014.000000000065</v>
      </c>
      <c r="I67" s="77"/>
      <c r="J67" s="78"/>
    </row>
    <row r="68" spans="1:10" ht="15.75" x14ac:dyDescent="0.25">
      <c r="A68" s="27" t="s">
        <v>87</v>
      </c>
      <c r="B68" s="132" t="s">
        <v>53</v>
      </c>
      <c r="C68" s="132">
        <v>51259324</v>
      </c>
      <c r="D68" s="133" t="s">
        <v>54</v>
      </c>
      <c r="E68" s="133">
        <v>7000</v>
      </c>
      <c r="F68" s="21">
        <v>379.584</v>
      </c>
      <c r="G68" s="21">
        <v>381.85399999999998</v>
      </c>
      <c r="H68" s="18">
        <f>(G68-F68)*E68</f>
        <v>15889.999999999873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32">
        <v>51491618</v>
      </c>
      <c r="D69" s="133" t="s">
        <v>64</v>
      </c>
      <c r="E69" s="132">
        <v>40</v>
      </c>
      <c r="F69" s="28">
        <v>1008.374</v>
      </c>
      <c r="G69" s="28">
        <v>1018.206</v>
      </c>
      <c r="H69" s="18">
        <f>(G69-F69)*E69</f>
        <v>393.27999999999975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32">
        <v>51491624</v>
      </c>
      <c r="D70" s="133" t="s">
        <v>64</v>
      </c>
      <c r="E70" s="132">
        <v>40</v>
      </c>
      <c r="F70" s="28">
        <v>135.16399999999999</v>
      </c>
      <c r="G70" s="28">
        <v>136.83000000000001</v>
      </c>
      <c r="H70" s="18">
        <f>(G70-F70)*E70</f>
        <v>66.64000000000101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36903.999999999942</v>
      </c>
      <c r="I71" s="85">
        <f>H71-H74-H69-H70</f>
        <v>-791.91999999947689</v>
      </c>
      <c r="J71" s="25">
        <f>I71/H71</f>
        <v>-2.1458920442214344E-2</v>
      </c>
    </row>
    <row r="72" spans="1:10" ht="15.75" x14ac:dyDescent="0.25">
      <c r="A72" s="27" t="s">
        <v>92</v>
      </c>
      <c r="B72" s="132" t="s">
        <v>53</v>
      </c>
      <c r="C72" s="86">
        <v>51097588</v>
      </c>
      <c r="D72" s="133" t="s">
        <v>76</v>
      </c>
      <c r="E72" s="132">
        <v>12000</v>
      </c>
      <c r="F72" s="21">
        <v>298.245</v>
      </c>
      <c r="G72" s="21">
        <v>299.97199999999998</v>
      </c>
      <c r="H72" s="18">
        <f>(G72-F72)*E72</f>
        <v>20723.999999999705</v>
      </c>
      <c r="I72" s="51"/>
      <c r="J72" s="58"/>
    </row>
    <row r="73" spans="1:10" ht="15.75" x14ac:dyDescent="0.25">
      <c r="A73" s="27" t="s">
        <v>93</v>
      </c>
      <c r="B73" s="132" t="s">
        <v>53</v>
      </c>
      <c r="C73" s="86">
        <v>51431335</v>
      </c>
      <c r="D73" s="133" t="s">
        <v>76</v>
      </c>
      <c r="E73" s="132">
        <v>12000</v>
      </c>
      <c r="F73" s="21">
        <v>232.86600000000001</v>
      </c>
      <c r="G73" s="21">
        <v>234.24199999999999</v>
      </c>
      <c r="H73" s="18">
        <f>(G73-F73)*E73</f>
        <v>16511.999999999716</v>
      </c>
      <c r="I73" s="51"/>
      <c r="J73" s="58"/>
    </row>
    <row r="74" spans="1:10" ht="15.75" x14ac:dyDescent="0.25">
      <c r="A74" s="87" t="s">
        <v>94</v>
      </c>
      <c r="B74" s="132" t="s">
        <v>28</v>
      </c>
      <c r="C74" s="132"/>
      <c r="D74" s="133"/>
      <c r="E74" s="132"/>
      <c r="F74" s="21"/>
      <c r="G74" s="21"/>
      <c r="H74" s="48">
        <f>H72+ H73</f>
        <v>37235.999999999418</v>
      </c>
      <c r="I74" s="85">
        <f>H74-H82</f>
        <v>-87.000000000487489</v>
      </c>
      <c r="J74" s="25">
        <f>I74/H74</f>
        <v>-2.3364485981439693E-3</v>
      </c>
    </row>
    <row r="75" spans="1:10" ht="15.75" x14ac:dyDescent="0.25">
      <c r="A75" s="27" t="s">
        <v>95</v>
      </c>
      <c r="B75" s="132" t="s">
        <v>53</v>
      </c>
      <c r="C75" s="86">
        <v>51097676</v>
      </c>
      <c r="D75" s="88" t="s">
        <v>64</v>
      </c>
      <c r="E75" s="132">
        <v>2400</v>
      </c>
      <c r="F75" s="21">
        <v>614.21500000000003</v>
      </c>
      <c r="G75" s="21">
        <v>618.29499999999996</v>
      </c>
      <c r="H75" s="18">
        <f>(G75-F75)*E75</f>
        <v>9791.9999999998254</v>
      </c>
      <c r="I75" s="51"/>
      <c r="J75" s="58"/>
    </row>
    <row r="76" spans="1:10" ht="15.75" x14ac:dyDescent="0.25">
      <c r="A76" s="27" t="s">
        <v>96</v>
      </c>
      <c r="B76" s="132" t="s">
        <v>53</v>
      </c>
      <c r="C76" s="86">
        <v>51431355</v>
      </c>
      <c r="D76" s="133" t="s">
        <v>22</v>
      </c>
      <c r="E76" s="133">
        <v>3600</v>
      </c>
      <c r="F76" s="21">
        <v>332.697</v>
      </c>
      <c r="G76" s="21">
        <v>334.23200000000003</v>
      </c>
      <c r="H76" s="18">
        <f>(G76-F76)*E76</f>
        <v>5526.00000000009</v>
      </c>
      <c r="I76" s="51"/>
      <c r="J76" s="52"/>
    </row>
    <row r="77" spans="1:10" ht="15.75" x14ac:dyDescent="0.25">
      <c r="A77" s="27" t="s">
        <v>97</v>
      </c>
      <c r="B77" s="132" t="s">
        <v>53</v>
      </c>
      <c r="C77" s="86">
        <v>51259331</v>
      </c>
      <c r="D77" s="88" t="s">
        <v>38</v>
      </c>
      <c r="E77" s="132">
        <v>600</v>
      </c>
      <c r="F77" s="21">
        <v>143.87100000000001</v>
      </c>
      <c r="G77" s="21">
        <v>144.834</v>
      </c>
      <c r="H77" s="18">
        <f>(G77-F77)*E77</f>
        <v>577.79999999999632</v>
      </c>
      <c r="I77" s="51"/>
      <c r="J77" s="52"/>
    </row>
    <row r="78" spans="1:10" ht="15.75" x14ac:dyDescent="0.25">
      <c r="A78" s="27" t="s">
        <v>98</v>
      </c>
      <c r="B78" s="132" t="s">
        <v>53</v>
      </c>
      <c r="C78" s="86">
        <v>51259326</v>
      </c>
      <c r="D78" s="88" t="s">
        <v>15</v>
      </c>
      <c r="E78" s="132">
        <v>7200</v>
      </c>
      <c r="F78" s="21">
        <v>296.93599999999998</v>
      </c>
      <c r="G78" s="21">
        <v>298.46499999999997</v>
      </c>
      <c r="H78" s="18">
        <f>(G78-F78)*E78</f>
        <v>11008.799999999974</v>
      </c>
      <c r="I78" s="51"/>
      <c r="J78" s="52"/>
    </row>
    <row r="79" spans="1:10" ht="15.75" x14ac:dyDescent="0.25">
      <c r="A79" s="27" t="s">
        <v>99</v>
      </c>
      <c r="B79" s="132" t="s">
        <v>53</v>
      </c>
      <c r="C79" s="86">
        <v>51431351</v>
      </c>
      <c r="D79" s="88" t="s">
        <v>15</v>
      </c>
      <c r="E79" s="132">
        <v>7200</v>
      </c>
      <c r="F79" s="21">
        <v>206.816</v>
      </c>
      <c r="G79" s="21">
        <v>208.26300000000001</v>
      </c>
      <c r="H79" s="18">
        <f>(G79-F79)*E79</f>
        <v>10418.40000000002</v>
      </c>
      <c r="I79" s="51"/>
      <c r="J79" s="52"/>
    </row>
    <row r="80" spans="1:10" ht="15.75" x14ac:dyDescent="0.25">
      <c r="A80" s="89" t="s">
        <v>100</v>
      </c>
      <c r="B80" s="132" t="s">
        <v>53</v>
      </c>
      <c r="C80" s="90">
        <v>51097666</v>
      </c>
      <c r="D80" s="88" t="s">
        <v>64</v>
      </c>
      <c r="E80" s="132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32" t="s">
        <v>53</v>
      </c>
      <c r="C81" s="90">
        <v>51259323</v>
      </c>
      <c r="D81" s="88" t="s">
        <v>64</v>
      </c>
      <c r="E81" s="132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37322.999999999905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32" t="s">
        <v>53</v>
      </c>
      <c r="C84" s="106">
        <v>51431297</v>
      </c>
      <c r="D84" s="133" t="s">
        <v>54</v>
      </c>
      <c r="E84" s="100">
        <v>7000</v>
      </c>
      <c r="F84" s="17">
        <v>243.364</v>
      </c>
      <c r="G84" s="17">
        <v>244.16499999999999</v>
      </c>
      <c r="H84" s="18">
        <f>(G84-F84)*E84</f>
        <v>5606.9999999999145</v>
      </c>
      <c r="I84" s="107"/>
      <c r="J84" s="108"/>
    </row>
    <row r="85" spans="1:10" ht="15.75" x14ac:dyDescent="0.25">
      <c r="A85" s="105" t="s">
        <v>87</v>
      </c>
      <c r="B85" s="132" t="s">
        <v>53</v>
      </c>
      <c r="C85" s="106">
        <v>51431332</v>
      </c>
      <c r="D85" s="133" t="s">
        <v>54</v>
      </c>
      <c r="E85" s="100">
        <v>7000</v>
      </c>
      <c r="F85" s="21">
        <v>330.74900000000002</v>
      </c>
      <c r="G85" s="21">
        <v>332.50400000000002</v>
      </c>
      <c r="H85" s="18">
        <f>(G85-F85)*E85</f>
        <v>12284.999999999967</v>
      </c>
      <c r="I85" s="132"/>
      <c r="J85" s="58"/>
    </row>
    <row r="86" spans="1:10" ht="15.75" x14ac:dyDescent="0.25">
      <c r="A86" s="27" t="s">
        <v>88</v>
      </c>
      <c r="B86" s="132" t="s">
        <v>104</v>
      </c>
      <c r="C86" s="109">
        <v>150773</v>
      </c>
      <c r="D86" s="133" t="s">
        <v>54</v>
      </c>
      <c r="E86" s="109">
        <v>20</v>
      </c>
      <c r="F86" s="17">
        <v>15463.7</v>
      </c>
      <c r="G86" s="17">
        <v>15472.4</v>
      </c>
      <c r="H86" s="18">
        <f>(G86-F86)*E86</f>
        <v>173.99999999997817</v>
      </c>
      <c r="I86" s="51"/>
      <c r="J86" s="58"/>
    </row>
    <row r="87" spans="1:10" ht="15.75" x14ac:dyDescent="0.25">
      <c r="A87" s="27" t="s">
        <v>90</v>
      </c>
      <c r="B87" s="132" t="s">
        <v>104</v>
      </c>
      <c r="C87" s="109">
        <v>150791</v>
      </c>
      <c r="D87" s="133" t="s">
        <v>54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34"/>
      <c r="C88" s="32"/>
      <c r="D88" s="82"/>
      <c r="E88" s="82"/>
      <c r="F88" s="21"/>
      <c r="G88" s="21"/>
      <c r="H88" s="48">
        <f>H84+H85</f>
        <v>17891.999999999884</v>
      </c>
      <c r="I88" s="85">
        <f>H88-H91-H86-H87</f>
        <v>433.19999999963693</v>
      </c>
      <c r="J88" s="25">
        <f>I88/H88</f>
        <v>2.4211938296425203E-2</v>
      </c>
    </row>
    <row r="89" spans="1:10" ht="15.75" x14ac:dyDescent="0.25">
      <c r="A89" s="27" t="s">
        <v>105</v>
      </c>
      <c r="B89" s="132" t="s">
        <v>53</v>
      </c>
      <c r="C89" s="106">
        <v>51431342</v>
      </c>
      <c r="D89" s="88" t="s">
        <v>35</v>
      </c>
      <c r="E89" s="132">
        <v>4800</v>
      </c>
      <c r="F89" s="21">
        <v>344.74599999999998</v>
      </c>
      <c r="G89" s="21">
        <v>345.88400000000001</v>
      </c>
      <c r="H89" s="18">
        <f>(G89-F89)*E89</f>
        <v>5462.4000000001615</v>
      </c>
      <c r="I89" s="51"/>
      <c r="J89" s="52"/>
    </row>
    <row r="90" spans="1:10" ht="15.75" x14ac:dyDescent="0.25">
      <c r="A90" s="27" t="s">
        <v>106</v>
      </c>
      <c r="B90" s="132" t="s">
        <v>53</v>
      </c>
      <c r="C90" s="106">
        <v>51431343</v>
      </c>
      <c r="D90" s="88" t="s">
        <v>35</v>
      </c>
      <c r="E90" s="132">
        <v>4800</v>
      </c>
      <c r="F90" s="21">
        <v>468.154</v>
      </c>
      <c r="G90" s="21">
        <v>470.61700000000002</v>
      </c>
      <c r="H90" s="18">
        <f>(G90-F90)*E90</f>
        <v>11822.400000000107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17284.800000000268</v>
      </c>
      <c r="I91" s="85">
        <f>H91-H99</f>
        <v>-151.199999999586</v>
      </c>
      <c r="J91" s="25">
        <f>I91/H91</f>
        <v>-8.7475701193871873E-3</v>
      </c>
    </row>
    <row r="92" spans="1:10" ht="15.75" x14ac:dyDescent="0.25">
      <c r="A92" s="27" t="s">
        <v>108</v>
      </c>
      <c r="B92" s="132" t="s">
        <v>53</v>
      </c>
      <c r="C92" s="106">
        <v>51431347</v>
      </c>
      <c r="D92" s="133" t="s">
        <v>54</v>
      </c>
      <c r="E92" s="132">
        <v>1200</v>
      </c>
      <c r="F92" s="21">
        <v>1074.1410000000001</v>
      </c>
      <c r="G92" s="21">
        <v>1082.597</v>
      </c>
      <c r="H92" s="18">
        <f t="shared" ref="H92:H100" si="4">(G92-F92)*E92</f>
        <v>10147.199999999884</v>
      </c>
      <c r="I92" s="51"/>
      <c r="J92" s="52"/>
    </row>
    <row r="93" spans="1:10" ht="15.75" x14ac:dyDescent="0.25">
      <c r="A93" s="27" t="s">
        <v>109</v>
      </c>
      <c r="B93" s="132" t="s">
        <v>53</v>
      </c>
      <c r="C93" s="106">
        <v>51431339</v>
      </c>
      <c r="D93" s="133" t="s">
        <v>54</v>
      </c>
      <c r="E93" s="132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32" t="s">
        <v>53</v>
      </c>
      <c r="C94" s="106">
        <v>51217244</v>
      </c>
      <c r="D94" s="132" t="s">
        <v>38</v>
      </c>
      <c r="E94" s="132">
        <v>600</v>
      </c>
      <c r="F94" s="30">
        <v>295.42399999999998</v>
      </c>
      <c r="G94" s="30">
        <v>298.10399999999998</v>
      </c>
      <c r="H94" s="18">
        <f t="shared" si="4"/>
        <v>1608.0000000000041</v>
      </c>
      <c r="I94" s="51"/>
      <c r="J94" s="52"/>
    </row>
    <row r="95" spans="1:10" ht="15.75" x14ac:dyDescent="0.25">
      <c r="A95" s="27" t="s">
        <v>111</v>
      </c>
      <c r="B95" s="132" t="s">
        <v>53</v>
      </c>
      <c r="C95" s="106">
        <v>51217267</v>
      </c>
      <c r="D95" s="88" t="s">
        <v>64</v>
      </c>
      <c r="E95" s="132">
        <v>2400</v>
      </c>
      <c r="F95" s="30">
        <v>19.542999999999999</v>
      </c>
      <c r="G95" s="30">
        <v>19.574000000000002</v>
      </c>
      <c r="H95" s="18">
        <f t="shared" si="4"/>
        <v>74.400000000005662</v>
      </c>
      <c r="I95" s="51"/>
      <c r="J95" s="52"/>
    </row>
    <row r="96" spans="1:10" ht="15.75" x14ac:dyDescent="0.25">
      <c r="A96" s="27" t="s">
        <v>112</v>
      </c>
      <c r="B96" s="132" t="s">
        <v>53</v>
      </c>
      <c r="C96" s="132">
        <v>51555165</v>
      </c>
      <c r="D96" s="133" t="s">
        <v>54</v>
      </c>
      <c r="E96" s="132">
        <v>1200</v>
      </c>
      <c r="F96" s="30">
        <v>771.62699999999995</v>
      </c>
      <c r="G96" s="30">
        <v>771.62699999999995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32" t="s">
        <v>53</v>
      </c>
      <c r="C97" s="106">
        <v>51431346</v>
      </c>
      <c r="D97" s="114" t="s">
        <v>38</v>
      </c>
      <c r="E97" s="114">
        <v>600</v>
      </c>
      <c r="F97" s="30">
        <v>318.16699999999997</v>
      </c>
      <c r="G97" s="30">
        <v>318.58699999999999</v>
      </c>
      <c r="H97" s="115">
        <f t="shared" si="4"/>
        <v>252.00000000000955</v>
      </c>
      <c r="I97" s="116"/>
      <c r="J97" s="117"/>
    </row>
    <row r="98" spans="1:10" ht="15.75" x14ac:dyDescent="0.25">
      <c r="A98" s="27" t="s">
        <v>114</v>
      </c>
      <c r="B98" s="132" t="s">
        <v>53</v>
      </c>
      <c r="C98" s="106">
        <v>51431352</v>
      </c>
      <c r="D98" s="88" t="s">
        <v>22</v>
      </c>
      <c r="E98" s="132">
        <v>3600</v>
      </c>
      <c r="F98" s="21">
        <v>190.096</v>
      </c>
      <c r="G98" s="21">
        <v>191.535</v>
      </c>
      <c r="H98" s="18">
        <f t="shared" si="4"/>
        <v>5180.3999999999742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17435.999999999854</v>
      </c>
      <c r="I99" s="51"/>
      <c r="J99" s="52"/>
    </row>
    <row r="100" spans="1:10" ht="15.75" x14ac:dyDescent="0.25">
      <c r="A100" s="45" t="s">
        <v>115</v>
      </c>
      <c r="B100" s="132" t="s">
        <v>53</v>
      </c>
      <c r="C100" s="120">
        <v>51431357</v>
      </c>
      <c r="D100" s="133" t="s">
        <v>64</v>
      </c>
      <c r="E100" s="133">
        <v>14000</v>
      </c>
      <c r="F100" s="28">
        <v>753.10799999999995</v>
      </c>
      <c r="G100" s="28">
        <v>757.08</v>
      </c>
      <c r="H100" s="121">
        <f t="shared" si="4"/>
        <v>55608.00000000131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zoomScale="85" zoomScaleNormal="85"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121</v>
      </c>
      <c r="G3" s="4" t="s">
        <v>122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35" t="s">
        <v>14</v>
      </c>
      <c r="C5" s="135">
        <v>51555166</v>
      </c>
      <c r="D5" s="135" t="s">
        <v>15</v>
      </c>
      <c r="E5" s="135">
        <v>132000</v>
      </c>
      <c r="F5" s="17">
        <v>2.8879999999999999</v>
      </c>
      <c r="G5" s="17">
        <v>2.899</v>
      </c>
      <c r="H5" s="18">
        <f>(G5-F5)*E5</f>
        <v>1452.0000000000159</v>
      </c>
      <c r="I5" s="19"/>
      <c r="J5" s="20"/>
    </row>
    <row r="6" spans="1:10" ht="15.75" x14ac:dyDescent="0.25">
      <c r="A6" s="15" t="s">
        <v>16</v>
      </c>
      <c r="B6" s="135" t="s">
        <v>14</v>
      </c>
      <c r="C6" s="135">
        <v>51555191</v>
      </c>
      <c r="D6" s="135" t="s">
        <v>15</v>
      </c>
      <c r="E6" s="135">
        <v>132000</v>
      </c>
      <c r="F6" s="21">
        <v>326.577</v>
      </c>
      <c r="G6" s="21">
        <v>328.58600000000001</v>
      </c>
      <c r="H6" s="18">
        <f>(G6-F6)*E6</f>
        <v>265188.00000000192</v>
      </c>
      <c r="I6" s="19"/>
      <c r="J6" s="20"/>
    </row>
    <row r="7" spans="1:10" ht="15.75" x14ac:dyDescent="0.25">
      <c r="A7" s="207" t="s">
        <v>17</v>
      </c>
      <c r="B7" s="208"/>
      <c r="C7" s="135"/>
      <c r="D7" s="136"/>
      <c r="E7" s="135"/>
      <c r="H7" s="23">
        <f>H5+H6</f>
        <v>266640.00000000192</v>
      </c>
      <c r="I7" s="24">
        <f>H7-H10-H20</f>
        <v>2586.0000000007567</v>
      </c>
      <c r="J7" s="25">
        <f>I7/H7</f>
        <v>9.6984698469874658E-3</v>
      </c>
    </row>
    <row r="8" spans="1:10" ht="15.75" x14ac:dyDescent="0.25">
      <c r="A8" s="26" t="s">
        <v>18</v>
      </c>
      <c r="B8" s="135" t="s">
        <v>14</v>
      </c>
      <c r="C8" s="135">
        <v>51097629</v>
      </c>
      <c r="D8" s="136" t="s">
        <v>15</v>
      </c>
      <c r="E8" s="135">
        <v>42000</v>
      </c>
      <c r="F8" s="21">
        <v>1002.957</v>
      </c>
      <c r="G8" s="21">
        <v>1007.393</v>
      </c>
      <c r="H8" s="18">
        <f>(G8-F8)*E8</f>
        <v>186312.00000000148</v>
      </c>
      <c r="I8" s="19"/>
      <c r="J8" s="20"/>
    </row>
    <row r="9" spans="1:10" ht="15.75" x14ac:dyDescent="0.25">
      <c r="A9" s="26" t="s">
        <v>19</v>
      </c>
      <c r="B9" s="135" t="s">
        <v>14</v>
      </c>
      <c r="C9" s="135">
        <v>51616820</v>
      </c>
      <c r="D9" s="136" t="s">
        <v>15</v>
      </c>
      <c r="E9" s="135">
        <v>42000</v>
      </c>
      <c r="F9" s="21">
        <v>4.931</v>
      </c>
      <c r="G9" s="21">
        <v>4.952</v>
      </c>
      <c r="H9" s="18">
        <f>(G9-F9)*E9</f>
        <v>881.99999999999613</v>
      </c>
      <c r="I9" s="19"/>
      <c r="J9" s="20"/>
    </row>
    <row r="10" spans="1:10" ht="15.75" x14ac:dyDescent="0.25">
      <c r="A10" s="207" t="s">
        <v>20</v>
      </c>
      <c r="B10" s="208"/>
      <c r="C10" s="135"/>
      <c r="D10" s="136"/>
      <c r="E10" s="135"/>
      <c r="F10" s="21"/>
      <c r="G10" s="21"/>
      <c r="H10" s="23">
        <f>H8+H9</f>
        <v>187194.00000000148</v>
      </c>
      <c r="I10" s="24">
        <f>H10-H17</f>
        <v>-20.999999998515705</v>
      </c>
      <c r="J10" s="25">
        <f>I10/H10</f>
        <v>-1.1218308278318503E-4</v>
      </c>
    </row>
    <row r="11" spans="1:10" ht="15.75" x14ac:dyDescent="0.25">
      <c r="A11" s="27" t="s">
        <v>21</v>
      </c>
      <c r="B11" s="135" t="s">
        <v>14</v>
      </c>
      <c r="C11" s="135">
        <v>51217286</v>
      </c>
      <c r="D11" s="136" t="s">
        <v>22</v>
      </c>
      <c r="E11" s="135">
        <v>21000</v>
      </c>
      <c r="F11" s="21">
        <v>795.28700000000003</v>
      </c>
      <c r="G11" s="21">
        <v>798.60900000000004</v>
      </c>
      <c r="H11" s="18">
        <f t="shared" ref="H11:H16" si="0">(G11-F11)*E11</f>
        <v>69762.000000000058</v>
      </c>
      <c r="I11" s="19"/>
      <c r="J11" s="20"/>
    </row>
    <row r="12" spans="1:10" ht="15.75" x14ac:dyDescent="0.25">
      <c r="A12" s="27" t="s">
        <v>23</v>
      </c>
      <c r="B12" s="135" t="s">
        <v>14</v>
      </c>
      <c r="C12" s="135">
        <v>51217292</v>
      </c>
      <c r="D12" s="136" t="s">
        <v>22</v>
      </c>
      <c r="E12" s="135">
        <v>21000</v>
      </c>
      <c r="F12" s="28">
        <v>3.363</v>
      </c>
      <c r="G12" s="28">
        <v>3.3860000000000001</v>
      </c>
      <c r="H12" s="18">
        <f>(G12-F12)*E12</f>
        <v>483.00000000000279</v>
      </c>
      <c r="I12" s="19"/>
      <c r="J12" s="20"/>
    </row>
    <row r="13" spans="1:10" ht="15.75" x14ac:dyDescent="0.25">
      <c r="A13" s="27" t="s">
        <v>24</v>
      </c>
      <c r="B13" s="135" t="s">
        <v>14</v>
      </c>
      <c r="C13" s="135">
        <v>51217271</v>
      </c>
      <c r="D13" s="136" t="s">
        <v>22</v>
      </c>
      <c r="E13" s="135">
        <v>21000</v>
      </c>
      <c r="F13" s="21">
        <v>581.86099999999999</v>
      </c>
      <c r="G13" s="21">
        <v>584.41399999999999</v>
      </c>
      <c r="H13" s="18">
        <f t="shared" si="0"/>
        <v>53612.999999999942</v>
      </c>
      <c r="I13" s="19"/>
      <c r="J13" s="20"/>
    </row>
    <row r="14" spans="1:10" ht="15.75" x14ac:dyDescent="0.25">
      <c r="A14" s="27" t="s">
        <v>25</v>
      </c>
      <c r="B14" s="135" t="s">
        <v>14</v>
      </c>
      <c r="C14" s="135">
        <v>51217276</v>
      </c>
      <c r="D14" s="136" t="s">
        <v>22</v>
      </c>
      <c r="E14" s="135">
        <v>21000</v>
      </c>
      <c r="F14" s="28">
        <v>0.49099999999999999</v>
      </c>
      <c r="G14" s="28">
        <v>0.49399999999999999</v>
      </c>
      <c r="H14" s="18">
        <f>(G14-F14)*E14</f>
        <v>63.000000000000057</v>
      </c>
      <c r="I14" s="19"/>
      <c r="J14" s="20"/>
    </row>
    <row r="15" spans="1:10" ht="15.75" x14ac:dyDescent="0.25">
      <c r="A15" s="27" t="s">
        <v>26</v>
      </c>
      <c r="B15" s="135" t="s">
        <v>14</v>
      </c>
      <c r="C15" s="135">
        <v>51100990</v>
      </c>
      <c r="D15" s="136" t="s">
        <v>22</v>
      </c>
      <c r="E15" s="135">
        <v>21000</v>
      </c>
      <c r="F15" s="29">
        <v>634.51300000000003</v>
      </c>
      <c r="G15" s="29">
        <v>637.51300000000003</v>
      </c>
      <c r="H15" s="18">
        <f t="shared" si="0"/>
        <v>63000</v>
      </c>
      <c r="I15" s="19"/>
      <c r="J15" s="20"/>
    </row>
    <row r="16" spans="1:10" ht="15.75" x14ac:dyDescent="0.25">
      <c r="A16" s="27" t="s">
        <v>27</v>
      </c>
      <c r="B16" s="135" t="s">
        <v>14</v>
      </c>
      <c r="C16" s="135">
        <v>51097622</v>
      </c>
      <c r="D16" s="136" t="s">
        <v>22</v>
      </c>
      <c r="E16" s="135">
        <v>21000</v>
      </c>
      <c r="F16" s="21">
        <v>2.7890000000000001</v>
      </c>
      <c r="G16" s="21">
        <v>2.8029999999999999</v>
      </c>
      <c r="H16" s="18">
        <f t="shared" si="0"/>
        <v>293.99999999999562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35"/>
      <c r="D17" s="136"/>
      <c r="E17" s="135"/>
      <c r="F17" s="21"/>
      <c r="G17" s="21"/>
      <c r="H17" s="23">
        <f>H11+H12+H13+H14+H15+H16</f>
        <v>187215</v>
      </c>
      <c r="I17" s="19"/>
      <c r="J17" s="20"/>
    </row>
    <row r="18" spans="1:10" ht="15.75" x14ac:dyDescent="0.25">
      <c r="A18" s="26" t="s">
        <v>30</v>
      </c>
      <c r="B18" s="135" t="s">
        <v>14</v>
      </c>
      <c r="C18" s="135">
        <v>51097617</v>
      </c>
      <c r="D18" s="136" t="s">
        <v>31</v>
      </c>
      <c r="E18" s="135">
        <v>18000</v>
      </c>
      <c r="F18" s="30">
        <v>760.08900000000006</v>
      </c>
      <c r="G18" s="30">
        <v>764.35900000000004</v>
      </c>
      <c r="H18" s="18">
        <f>(G18-F18)*E18</f>
        <v>76859.99999999968</v>
      </c>
      <c r="I18" s="19"/>
      <c r="J18" s="20"/>
    </row>
    <row r="19" spans="1:10" ht="15.75" x14ac:dyDescent="0.25">
      <c r="A19" s="26" t="s">
        <v>32</v>
      </c>
      <c r="B19" s="135" t="s">
        <v>14</v>
      </c>
      <c r="C19" s="135">
        <v>51097655</v>
      </c>
      <c r="D19" s="136" t="s">
        <v>31</v>
      </c>
      <c r="E19" s="135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35"/>
      <c r="D20" s="136"/>
      <c r="E20" s="135"/>
      <c r="F20" s="30"/>
      <c r="G20" s="30"/>
      <c r="H20" s="23">
        <f>H18+H19</f>
        <v>76859.99999999968</v>
      </c>
      <c r="I20" s="24">
        <f>H20-H35</f>
        <v>3496.2000000002445</v>
      </c>
      <c r="J20" s="25">
        <f>I20/H20</f>
        <v>4.5487900078067384E-2</v>
      </c>
    </row>
    <row r="21" spans="1:10" ht="15.75" x14ac:dyDescent="0.25">
      <c r="A21" s="15" t="s">
        <v>34</v>
      </c>
      <c r="B21" s="135" t="s">
        <v>14</v>
      </c>
      <c r="C21" s="135">
        <v>51217282</v>
      </c>
      <c r="D21" s="136" t="s">
        <v>35</v>
      </c>
      <c r="E21" s="135">
        <v>4800</v>
      </c>
      <c r="F21" s="21">
        <v>379.39499999999998</v>
      </c>
      <c r="G21" s="21">
        <v>379.44099999999997</v>
      </c>
      <c r="H21" s="18">
        <f t="shared" ref="H21:H34" si="1">(G21-F21)*E21</f>
        <v>220.79999999996289</v>
      </c>
      <c r="I21" s="19" t="s">
        <v>28</v>
      </c>
      <c r="J21" s="20"/>
    </row>
    <row r="22" spans="1:10" ht="15.75" x14ac:dyDescent="0.25">
      <c r="A22" s="15" t="s">
        <v>36</v>
      </c>
      <c r="B22" s="135" t="s">
        <v>14</v>
      </c>
      <c r="C22" s="135">
        <v>51217274</v>
      </c>
      <c r="D22" s="136" t="s">
        <v>35</v>
      </c>
      <c r="E22" s="135">
        <v>4800</v>
      </c>
      <c r="F22" s="21">
        <v>1197.596</v>
      </c>
      <c r="G22" s="21">
        <v>1203.56</v>
      </c>
      <c r="H22" s="18">
        <f t="shared" si="1"/>
        <v>28627.199999999721</v>
      </c>
      <c r="I22" s="19"/>
      <c r="J22" s="20"/>
    </row>
    <row r="23" spans="1:10" ht="15.75" x14ac:dyDescent="0.25">
      <c r="A23" s="15" t="s">
        <v>37</v>
      </c>
      <c r="B23" s="135" t="s">
        <v>14</v>
      </c>
      <c r="C23" s="135">
        <v>51097664</v>
      </c>
      <c r="D23" s="136" t="s">
        <v>38</v>
      </c>
      <c r="E23" s="135">
        <v>600</v>
      </c>
      <c r="F23" s="21">
        <v>4.3680000000000003</v>
      </c>
      <c r="G23" s="21">
        <v>4.3879999999999999</v>
      </c>
      <c r="H23" s="18">
        <f t="shared" si="1"/>
        <v>11.999999999999744</v>
      </c>
      <c r="I23" s="19"/>
      <c r="J23" s="20"/>
    </row>
    <row r="24" spans="1:10" ht="15.75" x14ac:dyDescent="0.25">
      <c r="A24" s="15" t="s">
        <v>39</v>
      </c>
      <c r="B24" s="135" t="s">
        <v>14</v>
      </c>
      <c r="C24" s="135">
        <v>51097615</v>
      </c>
      <c r="D24" s="136" t="s">
        <v>38</v>
      </c>
      <c r="E24" s="135">
        <v>600</v>
      </c>
      <c r="F24" s="21">
        <v>35.451999999999998</v>
      </c>
      <c r="G24" s="21">
        <v>35.845999999999997</v>
      </c>
      <c r="H24" s="18">
        <f t="shared" si="1"/>
        <v>236.39999999999901</v>
      </c>
      <c r="I24" s="19"/>
      <c r="J24" s="20"/>
    </row>
    <row r="25" spans="1:10" ht="15.75" x14ac:dyDescent="0.25">
      <c r="A25" s="15" t="s">
        <v>40</v>
      </c>
      <c r="B25" s="135" t="s">
        <v>14</v>
      </c>
      <c r="C25" s="135">
        <v>51217264</v>
      </c>
      <c r="D25" s="136" t="s">
        <v>38</v>
      </c>
      <c r="E25" s="135">
        <v>600</v>
      </c>
      <c r="F25" s="21">
        <v>86.591999999999999</v>
      </c>
      <c r="G25" s="21">
        <v>87.316999999999993</v>
      </c>
      <c r="H25" s="18">
        <f t="shared" si="1"/>
        <v>434.99999999999659</v>
      </c>
      <c r="I25" s="19"/>
      <c r="J25" s="20"/>
    </row>
    <row r="26" spans="1:10" ht="15.75" x14ac:dyDescent="0.25">
      <c r="A26" s="15" t="s">
        <v>41</v>
      </c>
      <c r="B26" s="135" t="s">
        <v>14</v>
      </c>
      <c r="C26" s="135">
        <v>51217288</v>
      </c>
      <c r="D26" s="136" t="s">
        <v>38</v>
      </c>
      <c r="E26" s="135">
        <v>600</v>
      </c>
      <c r="F26" s="21">
        <v>19.684999999999999</v>
      </c>
      <c r="G26" s="21">
        <v>19.716000000000001</v>
      </c>
      <c r="H26" s="18">
        <f t="shared" si="1"/>
        <v>18.600000000001415</v>
      </c>
      <c r="I26" s="19" t="s">
        <v>28</v>
      </c>
      <c r="J26" s="20"/>
    </row>
    <row r="27" spans="1:10" ht="15.75" x14ac:dyDescent="0.25">
      <c r="A27" s="15" t="s">
        <v>42</v>
      </c>
      <c r="B27" s="135" t="s">
        <v>14</v>
      </c>
      <c r="C27" s="135">
        <v>51217279</v>
      </c>
      <c r="D27" s="136" t="s">
        <v>38</v>
      </c>
      <c r="E27" s="135">
        <v>600</v>
      </c>
      <c r="F27" s="21">
        <v>13.92</v>
      </c>
      <c r="G27" s="21">
        <v>13.974</v>
      </c>
      <c r="H27" s="18">
        <f t="shared" si="1"/>
        <v>32.400000000000162</v>
      </c>
      <c r="I27" s="19" t="s">
        <v>28</v>
      </c>
      <c r="J27" s="20"/>
    </row>
    <row r="28" spans="1:10" ht="15.75" x14ac:dyDescent="0.25">
      <c r="A28" s="15" t="s">
        <v>43</v>
      </c>
      <c r="B28" s="135" t="s">
        <v>14</v>
      </c>
      <c r="C28" s="135">
        <v>51217272</v>
      </c>
      <c r="D28" s="136" t="s">
        <v>38</v>
      </c>
      <c r="E28" s="135">
        <v>600</v>
      </c>
      <c r="F28" s="31">
        <v>13.654999999999999</v>
      </c>
      <c r="G28" s="31">
        <v>13.708</v>
      </c>
      <c r="H28" s="18">
        <f t="shared" si="1"/>
        <v>31.800000000000495</v>
      </c>
      <c r="I28" s="19"/>
      <c r="J28" s="20"/>
    </row>
    <row r="29" spans="1:10" ht="15.75" x14ac:dyDescent="0.25">
      <c r="A29" s="15" t="s">
        <v>44</v>
      </c>
      <c r="B29" s="135" t="s">
        <v>14</v>
      </c>
      <c r="C29" s="135">
        <v>51616744</v>
      </c>
      <c r="D29" s="136">
        <f>300/5</f>
        <v>60</v>
      </c>
      <c r="E29" s="135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35" t="s">
        <v>14</v>
      </c>
      <c r="C30" s="135">
        <v>51555226</v>
      </c>
      <c r="D30" s="136">
        <f>300/5</f>
        <v>60</v>
      </c>
      <c r="E30" s="135">
        <v>3600</v>
      </c>
      <c r="F30" s="31">
        <v>414.45600000000002</v>
      </c>
      <c r="G30" s="31">
        <v>418.702</v>
      </c>
      <c r="H30" s="18">
        <f>(G30-F30)*E30</f>
        <v>15285.599999999931</v>
      </c>
      <c r="I30" s="19"/>
      <c r="J30" s="20"/>
    </row>
    <row r="31" spans="1:10" ht="15.75" x14ac:dyDescent="0.25">
      <c r="A31" s="15" t="s">
        <v>46</v>
      </c>
      <c r="B31" s="135" t="s">
        <v>14</v>
      </c>
      <c r="C31" s="135">
        <v>51097658</v>
      </c>
      <c r="D31" s="136" t="s">
        <v>35</v>
      </c>
      <c r="E31" s="135">
        <v>4800</v>
      </c>
      <c r="F31" s="31">
        <v>581.31500000000005</v>
      </c>
      <c r="G31" s="31">
        <v>584.62400000000002</v>
      </c>
      <c r="H31" s="18">
        <f t="shared" si="1"/>
        <v>15883.199999999852</v>
      </c>
      <c r="I31" s="19"/>
      <c r="J31" s="20"/>
    </row>
    <row r="32" spans="1:10" ht="15.75" x14ac:dyDescent="0.25">
      <c r="A32" s="15" t="s">
        <v>47</v>
      </c>
      <c r="B32" s="135" t="s">
        <v>14</v>
      </c>
      <c r="C32" s="135">
        <v>51097635</v>
      </c>
      <c r="D32" s="136" t="s">
        <v>35</v>
      </c>
      <c r="E32" s="135">
        <v>4800</v>
      </c>
      <c r="F32" s="31">
        <v>48.445</v>
      </c>
      <c r="G32" s="31">
        <v>48.445</v>
      </c>
      <c r="H32" s="18">
        <f t="shared" si="1"/>
        <v>0</v>
      </c>
      <c r="I32" s="19"/>
      <c r="J32" s="20"/>
    </row>
    <row r="33" spans="1:10" ht="15.75" x14ac:dyDescent="0.25">
      <c r="A33" s="15" t="s">
        <v>48</v>
      </c>
      <c r="B33" s="135" t="s">
        <v>14</v>
      </c>
      <c r="C33" s="32">
        <v>51097633</v>
      </c>
      <c r="D33" s="136" t="s">
        <v>35</v>
      </c>
      <c r="E33" s="135">
        <v>4800</v>
      </c>
      <c r="F33" s="31">
        <v>128.32599999999999</v>
      </c>
      <c r="G33" s="31">
        <v>130.89599999999999</v>
      </c>
      <c r="H33" s="33">
        <f t="shared" si="1"/>
        <v>12335.999999999967</v>
      </c>
      <c r="I33" s="34"/>
      <c r="J33" s="35"/>
    </row>
    <row r="34" spans="1:10" ht="15.75" x14ac:dyDescent="0.25">
      <c r="A34" s="15" t="s">
        <v>49</v>
      </c>
      <c r="B34" s="135" t="s">
        <v>14</v>
      </c>
      <c r="C34" s="32">
        <v>51097662</v>
      </c>
      <c r="D34" s="136" t="s">
        <v>35</v>
      </c>
      <c r="E34" s="135">
        <v>4800</v>
      </c>
      <c r="F34" s="31">
        <v>2.4359999999999999</v>
      </c>
      <c r="G34" s="31">
        <v>2.4870000000000001</v>
      </c>
      <c r="H34" s="33">
        <f t="shared" si="1"/>
        <v>244.80000000000075</v>
      </c>
      <c r="I34" s="34"/>
      <c r="J34" s="35"/>
    </row>
    <row r="35" spans="1:10" ht="15.75" x14ac:dyDescent="0.25">
      <c r="A35" s="207" t="s">
        <v>50</v>
      </c>
      <c r="B35" s="208"/>
      <c r="C35" s="135"/>
      <c r="D35" s="136"/>
      <c r="E35" s="135"/>
      <c r="F35" s="36"/>
      <c r="G35" s="36"/>
      <c r="H35" s="23">
        <f>H21+H22+H23+H24+H25+H26+H27+H28+H29+H30+H31+H32+H33+H34</f>
        <v>73363.799999999435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35" t="s">
        <v>53</v>
      </c>
      <c r="C37" s="135">
        <v>51555209</v>
      </c>
      <c r="D37" s="136" t="s">
        <v>54</v>
      </c>
      <c r="E37" s="135">
        <v>7000</v>
      </c>
      <c r="F37" s="17">
        <v>4.7380000000000004</v>
      </c>
      <c r="G37" s="17">
        <v>4.7919999999999998</v>
      </c>
      <c r="H37" s="41">
        <f>(G37-F37)*E37</f>
        <v>377.99999999999568</v>
      </c>
      <c r="I37" s="42"/>
      <c r="J37" s="14"/>
    </row>
    <row r="38" spans="1:10" ht="15.75" x14ac:dyDescent="0.25">
      <c r="A38" s="15" t="s">
        <v>55</v>
      </c>
      <c r="B38" s="135" t="s">
        <v>53</v>
      </c>
      <c r="C38" s="135">
        <v>51555209</v>
      </c>
      <c r="D38" s="136" t="s">
        <v>54</v>
      </c>
      <c r="E38" s="135">
        <v>7000</v>
      </c>
      <c r="F38" s="21">
        <v>9.3889999999999993</v>
      </c>
      <c r="G38" s="21">
        <v>9.4239999999999995</v>
      </c>
      <c r="H38" s="18">
        <f>(G38-F38)*E38</f>
        <v>245.00000000000099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35" t="s">
        <v>53</v>
      </c>
      <c r="C40" s="135">
        <v>51097674</v>
      </c>
      <c r="D40" s="135" t="s">
        <v>15</v>
      </c>
      <c r="E40" s="135">
        <v>7200</v>
      </c>
      <c r="F40" s="21">
        <v>539.34</v>
      </c>
      <c r="G40" s="21">
        <v>541.73699999999997</v>
      </c>
      <c r="H40" s="18">
        <f>(G40-F40)*E40</f>
        <v>17258.399999999529</v>
      </c>
      <c r="I40" s="47"/>
      <c r="J40" s="20"/>
    </row>
    <row r="41" spans="1:10" ht="15.75" x14ac:dyDescent="0.25">
      <c r="A41" s="27" t="s">
        <v>58</v>
      </c>
      <c r="B41" s="135" t="s">
        <v>53</v>
      </c>
      <c r="C41" s="135">
        <v>51259257</v>
      </c>
      <c r="D41" s="135" t="s">
        <v>15</v>
      </c>
      <c r="E41" s="135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35"/>
      <c r="C42" s="135"/>
      <c r="D42" s="135"/>
      <c r="E42" s="135"/>
      <c r="F42" s="21"/>
      <c r="G42" s="21"/>
      <c r="H42" s="48">
        <f>H40+H41</f>
        <v>17258.399999999529</v>
      </c>
      <c r="I42" s="24">
        <f>H42-H50</f>
        <v>-84.800000000406726</v>
      </c>
      <c r="J42" s="25">
        <f>I42/H42</f>
        <v>-4.9135493441112175E-3</v>
      </c>
    </row>
    <row r="43" spans="1:10" ht="15.75" x14ac:dyDescent="0.25">
      <c r="A43" s="15" t="s">
        <v>60</v>
      </c>
      <c r="B43" s="135"/>
      <c r="C43" s="135"/>
      <c r="D43" s="136"/>
      <c r="E43" s="135"/>
      <c r="H43" s="18"/>
      <c r="I43" s="43"/>
      <c r="J43" s="20"/>
    </row>
    <row r="44" spans="1:10" ht="15.75" x14ac:dyDescent="0.25">
      <c r="A44" s="27" t="s">
        <v>61</v>
      </c>
      <c r="B44" s="135" t="s">
        <v>53</v>
      </c>
      <c r="C44" s="32">
        <v>51097648</v>
      </c>
      <c r="D44" s="135" t="s">
        <v>54</v>
      </c>
      <c r="E44" s="135">
        <v>1200</v>
      </c>
      <c r="F44" s="21">
        <v>442.23099999999999</v>
      </c>
      <c r="G44" s="21">
        <v>444.22500000000002</v>
      </c>
      <c r="H44" s="33">
        <f>(G44-F44)*E44</f>
        <v>2392.8000000000338</v>
      </c>
      <c r="I44" s="43"/>
      <c r="J44" s="20"/>
    </row>
    <row r="45" spans="1:10" ht="15.75" x14ac:dyDescent="0.25">
      <c r="A45" s="27" t="s">
        <v>62</v>
      </c>
      <c r="B45" s="135" t="s">
        <v>53</v>
      </c>
      <c r="C45" s="32">
        <v>50555043</v>
      </c>
      <c r="D45" s="135" t="s">
        <v>54</v>
      </c>
      <c r="E45" s="135">
        <v>1200</v>
      </c>
      <c r="F45" s="21">
        <v>1848.6590000000001</v>
      </c>
      <c r="G45" s="21">
        <v>1856.8</v>
      </c>
      <c r="H45" s="33">
        <f>(G45-F45)*E45</f>
        <v>9769.1999999998188</v>
      </c>
      <c r="I45" s="43"/>
      <c r="J45" s="20"/>
    </row>
    <row r="46" spans="1:10" ht="15.75" x14ac:dyDescent="0.25">
      <c r="A46" s="27" t="s">
        <v>63</v>
      </c>
      <c r="B46" s="135" t="s">
        <v>53</v>
      </c>
      <c r="C46" s="32">
        <v>51259336</v>
      </c>
      <c r="D46" s="135" t="s">
        <v>64</v>
      </c>
      <c r="E46" s="135">
        <v>2400</v>
      </c>
      <c r="F46" s="21">
        <v>3.8210000000000002</v>
      </c>
      <c r="G46" s="21">
        <v>3.835</v>
      </c>
      <c r="H46" s="33">
        <f>(G46-F46)*E46</f>
        <v>33.599999999999497</v>
      </c>
      <c r="I46" s="43"/>
      <c r="J46" s="20"/>
    </row>
    <row r="47" spans="1:10" ht="15.75" x14ac:dyDescent="0.25">
      <c r="A47" s="27" t="s">
        <v>65</v>
      </c>
      <c r="B47" s="135" t="s">
        <v>53</v>
      </c>
      <c r="C47" s="32">
        <v>51259266</v>
      </c>
      <c r="D47" s="135" t="s">
        <v>54</v>
      </c>
      <c r="E47" s="135">
        <v>1200</v>
      </c>
      <c r="F47" s="21">
        <v>896.26499999999999</v>
      </c>
      <c r="G47" s="21">
        <v>900.19</v>
      </c>
      <c r="H47" s="33">
        <f>(G47-F47)*E47</f>
        <v>4710.0000000000819</v>
      </c>
      <c r="I47" s="43"/>
      <c r="J47" s="20"/>
    </row>
    <row r="48" spans="1:10" ht="15.75" x14ac:dyDescent="0.25">
      <c r="A48" s="27" t="s">
        <v>66</v>
      </c>
      <c r="B48" s="135" t="s">
        <v>53</v>
      </c>
      <c r="C48" s="32">
        <v>51431336</v>
      </c>
      <c r="D48" s="135" t="s">
        <v>54</v>
      </c>
      <c r="E48" s="135">
        <v>1200</v>
      </c>
      <c r="F48" s="21">
        <v>50.287999999999997</v>
      </c>
      <c r="G48" s="21">
        <v>50.610999999999997</v>
      </c>
      <c r="H48" s="33">
        <f>(G48-F48)*E48</f>
        <v>387.60000000000048</v>
      </c>
      <c r="I48" s="43"/>
      <c r="J48" s="20"/>
    </row>
    <row r="49" spans="1:10" ht="15.75" x14ac:dyDescent="0.25">
      <c r="A49" s="15" t="s">
        <v>67</v>
      </c>
      <c r="B49" s="135" t="s">
        <v>68</v>
      </c>
      <c r="C49" s="135">
        <v>49174</v>
      </c>
      <c r="D49" s="136" t="s">
        <v>54</v>
      </c>
      <c r="E49" s="135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17343.199999999935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35" t="s">
        <v>53</v>
      </c>
      <c r="C52" s="135">
        <v>51097603</v>
      </c>
      <c r="D52" s="136" t="s">
        <v>54</v>
      </c>
      <c r="E52" s="135">
        <v>7000</v>
      </c>
      <c r="F52" s="17">
        <v>1781.5150000000001</v>
      </c>
      <c r="G52" s="17">
        <v>1788.818</v>
      </c>
      <c r="H52" s="18">
        <f>(G52-F52)*E52</f>
        <v>51120.999999999185</v>
      </c>
      <c r="I52" s="43"/>
      <c r="J52" s="20"/>
    </row>
    <row r="53" spans="1:10" ht="15.75" x14ac:dyDescent="0.25">
      <c r="A53" s="27" t="s">
        <v>73</v>
      </c>
      <c r="B53" s="135" t="s">
        <v>53</v>
      </c>
      <c r="C53" s="135">
        <v>51097590</v>
      </c>
      <c r="D53" s="136" t="s">
        <v>54</v>
      </c>
      <c r="E53" s="135">
        <v>7000</v>
      </c>
      <c r="F53" s="21">
        <v>11.061</v>
      </c>
      <c r="G53" s="21">
        <v>11.135999999999999</v>
      </c>
      <c r="H53" s="18">
        <f>(G53-F53)*E53</f>
        <v>524.999999999995</v>
      </c>
      <c r="I53" s="43"/>
      <c r="J53" s="20"/>
    </row>
    <row r="54" spans="1:10" ht="15.75" x14ac:dyDescent="0.25">
      <c r="A54" s="15" t="s">
        <v>67</v>
      </c>
      <c r="B54" s="135" t="s">
        <v>68</v>
      </c>
      <c r="C54" s="135">
        <v>49174</v>
      </c>
      <c r="D54" s="136" t="s">
        <v>54</v>
      </c>
      <c r="E54" s="135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35"/>
      <c r="D55" s="136"/>
      <c r="E55" s="135"/>
      <c r="F55" s="21"/>
      <c r="G55" s="21"/>
      <c r="H55" s="48">
        <f>H52+H53+H54</f>
        <v>51745.999999999178</v>
      </c>
      <c r="I55" s="47"/>
      <c r="J55" s="59"/>
    </row>
    <row r="56" spans="1:10" ht="15.75" x14ac:dyDescent="0.25">
      <c r="A56" s="27" t="s">
        <v>75</v>
      </c>
      <c r="B56" s="135" t="s">
        <v>53</v>
      </c>
      <c r="C56" s="135">
        <v>51100980</v>
      </c>
      <c r="D56" s="135" t="s">
        <v>76</v>
      </c>
      <c r="E56" s="135">
        <v>12000</v>
      </c>
      <c r="F56" s="21">
        <v>1048.0419999999999</v>
      </c>
      <c r="G56" s="21">
        <v>1052.354</v>
      </c>
      <c r="H56" s="18">
        <f>(G56-F56)*E56</f>
        <v>51744.000000001506</v>
      </c>
      <c r="I56" s="47"/>
      <c r="J56" s="58"/>
    </row>
    <row r="57" spans="1:10" ht="15.75" x14ac:dyDescent="0.25">
      <c r="A57" s="27" t="s">
        <v>77</v>
      </c>
      <c r="B57" s="135" t="s">
        <v>53</v>
      </c>
      <c r="C57" s="135">
        <v>51097623</v>
      </c>
      <c r="D57" s="135" t="s">
        <v>76</v>
      </c>
      <c r="E57" s="135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35"/>
      <c r="C58" s="135"/>
      <c r="D58" s="135"/>
      <c r="E58" s="135"/>
      <c r="F58" s="21"/>
      <c r="G58" s="21"/>
      <c r="H58" s="48">
        <f>H56+H57</f>
        <v>51744.000000001506</v>
      </c>
      <c r="I58" s="61">
        <f>H55-H65-H54</f>
        <v>-171.2000000013868</v>
      </c>
      <c r="J58" s="25">
        <f>I58/H58</f>
        <v>-3.3085961657657276E-3</v>
      </c>
    </row>
    <row r="59" spans="1:10" ht="15.75" x14ac:dyDescent="0.25">
      <c r="A59" s="27" t="s">
        <v>79</v>
      </c>
      <c r="B59" s="135" t="s">
        <v>53</v>
      </c>
      <c r="C59" s="135">
        <v>51097675</v>
      </c>
      <c r="D59" s="135" t="s">
        <v>35</v>
      </c>
      <c r="E59" s="135">
        <v>4800</v>
      </c>
      <c r="F59" s="21">
        <v>440.83199999999999</v>
      </c>
      <c r="G59" s="21">
        <v>444.34100000000001</v>
      </c>
      <c r="H59" s="18">
        <f t="shared" ref="H59:H64" si="2">(G59-F59)*E59</f>
        <v>16843.20000000007</v>
      </c>
      <c r="I59" s="62"/>
      <c r="J59" s="59"/>
    </row>
    <row r="60" spans="1:10" ht="15.75" x14ac:dyDescent="0.25">
      <c r="A60" s="27" t="s">
        <v>80</v>
      </c>
      <c r="B60" s="135" t="s">
        <v>53</v>
      </c>
      <c r="C60" s="135">
        <v>51100997</v>
      </c>
      <c r="D60" s="135" t="s">
        <v>22</v>
      </c>
      <c r="E60" s="135">
        <v>3600</v>
      </c>
      <c r="F60" s="21">
        <v>1302.742</v>
      </c>
      <c r="G60" s="21">
        <v>1305.73</v>
      </c>
      <c r="H60" s="18">
        <f t="shared" si="2"/>
        <v>10756.800000000203</v>
      </c>
      <c r="I60" s="62"/>
      <c r="J60" s="59"/>
    </row>
    <row r="61" spans="1:10" ht="15.75" x14ac:dyDescent="0.25">
      <c r="A61" s="27" t="s">
        <v>81</v>
      </c>
      <c r="B61" s="135" t="s">
        <v>53</v>
      </c>
      <c r="C61" s="135">
        <v>51555218</v>
      </c>
      <c r="D61" s="135">
        <f>400/5</f>
        <v>80</v>
      </c>
      <c r="E61" s="135">
        <v>4800</v>
      </c>
      <c r="F61" s="21">
        <v>52.761000000000003</v>
      </c>
      <c r="G61" s="21">
        <v>53.332999999999998</v>
      </c>
      <c r="H61" s="18">
        <f t="shared" si="2"/>
        <v>2745.599999999979</v>
      </c>
      <c r="I61" s="62"/>
      <c r="J61" s="59"/>
    </row>
    <row r="62" spans="1:10" ht="15.75" x14ac:dyDescent="0.25">
      <c r="A62" s="27" t="s">
        <v>82</v>
      </c>
      <c r="B62" s="135" t="s">
        <v>53</v>
      </c>
      <c r="C62" s="135">
        <v>51555151</v>
      </c>
      <c r="D62" s="135">
        <f>400/5</f>
        <v>80</v>
      </c>
      <c r="E62" s="135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35" t="s">
        <v>53</v>
      </c>
      <c r="C63" s="135">
        <v>51097599</v>
      </c>
      <c r="D63" s="135" t="s">
        <v>22</v>
      </c>
      <c r="E63" s="135">
        <v>3600</v>
      </c>
      <c r="F63" s="21">
        <v>911.8</v>
      </c>
      <c r="G63" s="21">
        <v>914.21100000000001</v>
      </c>
      <c r="H63" s="18">
        <f t="shared" si="2"/>
        <v>8679.6000000002095</v>
      </c>
      <c r="I63" s="62"/>
      <c r="J63" s="59"/>
    </row>
    <row r="64" spans="1:10" ht="15.75" x14ac:dyDescent="0.25">
      <c r="A64" s="27" t="s">
        <v>84</v>
      </c>
      <c r="B64" s="135" t="s">
        <v>53</v>
      </c>
      <c r="C64" s="135">
        <v>51097620</v>
      </c>
      <c r="D64" s="135" t="s">
        <v>35</v>
      </c>
      <c r="E64" s="135">
        <v>4800</v>
      </c>
      <c r="F64" s="21">
        <v>454.726</v>
      </c>
      <c r="G64" s="21">
        <v>457.39100000000002</v>
      </c>
      <c r="H64" s="18">
        <f t="shared" si="2"/>
        <v>12792.000000000098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51817.200000000565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35" t="s">
        <v>53</v>
      </c>
      <c r="C67" s="9">
        <v>51259238</v>
      </c>
      <c r="D67" s="74" t="s">
        <v>54</v>
      </c>
      <c r="E67" s="74">
        <v>7000</v>
      </c>
      <c r="F67" s="75">
        <v>497.69600000000003</v>
      </c>
      <c r="G67" s="75">
        <v>500.70800000000003</v>
      </c>
      <c r="H67" s="76">
        <f>(G67-F67)*E67</f>
        <v>21084.000000000004</v>
      </c>
      <c r="I67" s="77"/>
      <c r="J67" s="78"/>
    </row>
    <row r="68" spans="1:10" ht="15.75" x14ac:dyDescent="0.25">
      <c r="A68" s="27" t="s">
        <v>87</v>
      </c>
      <c r="B68" s="135" t="s">
        <v>53</v>
      </c>
      <c r="C68" s="135">
        <v>51259324</v>
      </c>
      <c r="D68" s="136" t="s">
        <v>54</v>
      </c>
      <c r="E68" s="136">
        <v>7000</v>
      </c>
      <c r="F68" s="21">
        <v>381.85399999999998</v>
      </c>
      <c r="G68" s="21">
        <v>384.13299999999998</v>
      </c>
      <c r="H68" s="18">
        <f>(G68-F68)*E68</f>
        <v>15952.999999999975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35">
        <v>51491618</v>
      </c>
      <c r="D69" s="136" t="s">
        <v>64</v>
      </c>
      <c r="E69" s="135">
        <v>40</v>
      </c>
      <c r="F69" s="28">
        <v>1018.206</v>
      </c>
      <c r="G69" s="28">
        <v>1029.7260000000001</v>
      </c>
      <c r="H69" s="18">
        <f>(G69-F69)*E69</f>
        <v>460.80000000000382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35">
        <v>51491624</v>
      </c>
      <c r="D70" s="136" t="s">
        <v>64</v>
      </c>
      <c r="E70" s="135">
        <v>40</v>
      </c>
      <c r="F70" s="28">
        <v>136.83000000000001</v>
      </c>
      <c r="G70" s="28">
        <v>138.261</v>
      </c>
      <c r="H70" s="18">
        <f>(G70-F70)*E70</f>
        <v>57.239999999999327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37036.999999999978</v>
      </c>
      <c r="I71" s="85">
        <f>H71-H74-H69-H70</f>
        <v>-729.04000000018505</v>
      </c>
      <c r="J71" s="25">
        <f>I71/H71</f>
        <v>-1.9684099684104693E-2</v>
      </c>
    </row>
    <row r="72" spans="1:10" ht="15.75" x14ac:dyDescent="0.25">
      <c r="A72" s="27" t="s">
        <v>92</v>
      </c>
      <c r="B72" s="135" t="s">
        <v>53</v>
      </c>
      <c r="C72" s="86">
        <v>51097588</v>
      </c>
      <c r="D72" s="136" t="s">
        <v>76</v>
      </c>
      <c r="E72" s="135">
        <v>12000</v>
      </c>
      <c r="F72" s="21">
        <v>299.97199999999998</v>
      </c>
      <c r="G72" s="21">
        <v>301.69299999999998</v>
      </c>
      <c r="H72" s="18">
        <f>(G72-F72)*E72</f>
        <v>20652.000000000044</v>
      </c>
      <c r="I72" s="51"/>
      <c r="J72" s="58"/>
    </row>
    <row r="73" spans="1:10" ht="15.75" x14ac:dyDescent="0.25">
      <c r="A73" s="27" t="s">
        <v>93</v>
      </c>
      <c r="B73" s="135" t="s">
        <v>53</v>
      </c>
      <c r="C73" s="86">
        <v>51431335</v>
      </c>
      <c r="D73" s="136" t="s">
        <v>76</v>
      </c>
      <c r="E73" s="135">
        <v>12000</v>
      </c>
      <c r="F73" s="21">
        <v>234.24199999999999</v>
      </c>
      <c r="G73" s="21">
        <v>235.625</v>
      </c>
      <c r="H73" s="18">
        <f>(G73-F73)*E73</f>
        <v>16596.000000000116</v>
      </c>
      <c r="I73" s="51"/>
      <c r="J73" s="58"/>
    </row>
    <row r="74" spans="1:10" ht="15.75" x14ac:dyDescent="0.25">
      <c r="A74" s="87" t="s">
        <v>94</v>
      </c>
      <c r="B74" s="135" t="s">
        <v>28</v>
      </c>
      <c r="C74" s="135"/>
      <c r="D74" s="136"/>
      <c r="E74" s="135"/>
      <c r="F74" s="21"/>
      <c r="G74" s="21"/>
      <c r="H74" s="48">
        <f>H72+ H73</f>
        <v>37248.00000000016</v>
      </c>
      <c r="I74" s="85">
        <f>H74-H82</f>
        <v>-107.99999999989814</v>
      </c>
      <c r="J74" s="25">
        <f>I74/H74</f>
        <v>-2.899484536079727E-3</v>
      </c>
    </row>
    <row r="75" spans="1:10" ht="15.75" x14ac:dyDescent="0.25">
      <c r="A75" s="27" t="s">
        <v>95</v>
      </c>
      <c r="B75" s="135" t="s">
        <v>53</v>
      </c>
      <c r="C75" s="86">
        <v>51097676</v>
      </c>
      <c r="D75" s="88" t="s">
        <v>64</v>
      </c>
      <c r="E75" s="135">
        <v>2400</v>
      </c>
      <c r="F75" s="21">
        <v>618.29499999999996</v>
      </c>
      <c r="G75" s="21">
        <v>622.33299999999997</v>
      </c>
      <c r="H75" s="18">
        <f>(G75-F75)*E75</f>
        <v>9691.2000000000262</v>
      </c>
      <c r="I75" s="51"/>
      <c r="J75" s="58"/>
    </row>
    <row r="76" spans="1:10" ht="15.75" x14ac:dyDescent="0.25">
      <c r="A76" s="27" t="s">
        <v>96</v>
      </c>
      <c r="B76" s="135" t="s">
        <v>53</v>
      </c>
      <c r="C76" s="86">
        <v>51431355</v>
      </c>
      <c r="D76" s="136" t="s">
        <v>22</v>
      </c>
      <c r="E76" s="136">
        <v>3600</v>
      </c>
      <c r="F76" s="21">
        <v>334.23200000000003</v>
      </c>
      <c r="G76" s="21">
        <v>335.8</v>
      </c>
      <c r="H76" s="18">
        <f>(G76-F76)*E76</f>
        <v>5644.7999999999411</v>
      </c>
      <c r="I76" s="51"/>
      <c r="J76" s="52"/>
    </row>
    <row r="77" spans="1:10" ht="15.75" x14ac:dyDescent="0.25">
      <c r="A77" s="27" t="s">
        <v>97</v>
      </c>
      <c r="B77" s="135" t="s">
        <v>53</v>
      </c>
      <c r="C77" s="86">
        <v>51259331</v>
      </c>
      <c r="D77" s="88" t="s">
        <v>38</v>
      </c>
      <c r="E77" s="135">
        <v>600</v>
      </c>
      <c r="F77" s="21">
        <v>144.834</v>
      </c>
      <c r="G77" s="21">
        <v>145.786</v>
      </c>
      <c r="H77" s="18">
        <f>(G77-F77)*E77</f>
        <v>571.19999999999891</v>
      </c>
      <c r="I77" s="51"/>
      <c r="J77" s="52"/>
    </row>
    <row r="78" spans="1:10" ht="15.75" x14ac:dyDescent="0.25">
      <c r="A78" s="27" t="s">
        <v>98</v>
      </c>
      <c r="B78" s="135" t="s">
        <v>53</v>
      </c>
      <c r="C78" s="86">
        <v>51259326</v>
      </c>
      <c r="D78" s="88" t="s">
        <v>15</v>
      </c>
      <c r="E78" s="135">
        <v>7200</v>
      </c>
      <c r="F78" s="21">
        <v>298.46499999999997</v>
      </c>
      <c r="G78" s="21">
        <v>300</v>
      </c>
      <c r="H78" s="18">
        <f>(G78-F78)*E78</f>
        <v>11052.00000000018</v>
      </c>
      <c r="I78" s="51"/>
      <c r="J78" s="52"/>
    </row>
    <row r="79" spans="1:10" ht="15.75" x14ac:dyDescent="0.25">
      <c r="A79" s="27" t="s">
        <v>99</v>
      </c>
      <c r="B79" s="135" t="s">
        <v>53</v>
      </c>
      <c r="C79" s="86">
        <v>51431351</v>
      </c>
      <c r="D79" s="88" t="s">
        <v>15</v>
      </c>
      <c r="E79" s="135">
        <v>7200</v>
      </c>
      <c r="F79" s="21">
        <v>208.26300000000001</v>
      </c>
      <c r="G79" s="21">
        <v>209.70699999999999</v>
      </c>
      <c r="H79" s="18">
        <f>(G79-F79)*E79</f>
        <v>10396.799999999916</v>
      </c>
      <c r="I79" s="51"/>
      <c r="J79" s="52"/>
    </row>
    <row r="80" spans="1:10" ht="15.75" x14ac:dyDescent="0.25">
      <c r="A80" s="89" t="s">
        <v>100</v>
      </c>
      <c r="B80" s="135" t="s">
        <v>53</v>
      </c>
      <c r="C80" s="90">
        <v>51097666</v>
      </c>
      <c r="D80" s="88" t="s">
        <v>64</v>
      </c>
      <c r="E80" s="135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35" t="s">
        <v>53</v>
      </c>
      <c r="C81" s="90">
        <v>51259323</v>
      </c>
      <c r="D81" s="88" t="s">
        <v>64</v>
      </c>
      <c r="E81" s="135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37356.000000000058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35" t="s">
        <v>53</v>
      </c>
      <c r="C84" s="106">
        <v>51431297</v>
      </c>
      <c r="D84" s="136" t="s">
        <v>54</v>
      </c>
      <c r="E84" s="100">
        <v>7000</v>
      </c>
      <c r="F84" s="17">
        <v>244.16499999999999</v>
      </c>
      <c r="G84" s="17">
        <v>244.99600000000001</v>
      </c>
      <c r="H84" s="18">
        <f>(G84-F84)*E84</f>
        <v>5817.000000000121</v>
      </c>
      <c r="I84" s="107"/>
      <c r="J84" s="108"/>
    </row>
    <row r="85" spans="1:10" ht="15.75" x14ac:dyDescent="0.25">
      <c r="A85" s="105" t="s">
        <v>87</v>
      </c>
      <c r="B85" s="135" t="s">
        <v>53</v>
      </c>
      <c r="C85" s="106">
        <v>51431332</v>
      </c>
      <c r="D85" s="136" t="s">
        <v>54</v>
      </c>
      <c r="E85" s="100">
        <v>7000</v>
      </c>
      <c r="F85" s="21">
        <v>332.50400000000002</v>
      </c>
      <c r="G85" s="21">
        <v>334.26100000000002</v>
      </c>
      <c r="H85" s="18">
        <f>(G85-F85)*E85</f>
        <v>12299.000000000035</v>
      </c>
      <c r="I85" s="135"/>
      <c r="J85" s="58"/>
    </row>
    <row r="86" spans="1:10" ht="15.75" x14ac:dyDescent="0.25">
      <c r="A86" s="27" t="s">
        <v>88</v>
      </c>
      <c r="B86" s="135" t="s">
        <v>104</v>
      </c>
      <c r="C86" s="109">
        <v>150773</v>
      </c>
      <c r="D86" s="136" t="s">
        <v>54</v>
      </c>
      <c r="E86" s="109">
        <v>20</v>
      </c>
      <c r="F86" s="17">
        <v>15472.4</v>
      </c>
      <c r="G86" s="17">
        <v>15481.4</v>
      </c>
      <c r="H86" s="18">
        <f>(G86-F86)*E86</f>
        <v>180</v>
      </c>
      <c r="I86" s="51"/>
      <c r="J86" s="58"/>
    </row>
    <row r="87" spans="1:10" ht="15.75" x14ac:dyDescent="0.25">
      <c r="A87" s="27" t="s">
        <v>90</v>
      </c>
      <c r="B87" s="135" t="s">
        <v>104</v>
      </c>
      <c r="C87" s="109">
        <v>150791</v>
      </c>
      <c r="D87" s="136" t="s">
        <v>54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37"/>
      <c r="C88" s="32"/>
      <c r="D88" s="82"/>
      <c r="E88" s="82"/>
      <c r="F88" s="21"/>
      <c r="G88" s="21"/>
      <c r="H88" s="48">
        <f>H84+H85</f>
        <v>18116.000000000156</v>
      </c>
      <c r="I88" s="85">
        <f>H88-H91-H86-H87</f>
        <v>425.60000000031141</v>
      </c>
      <c r="J88" s="25">
        <f>I88/H88</f>
        <v>2.3493044822273556E-2</v>
      </c>
    </row>
    <row r="89" spans="1:10" ht="15.75" x14ac:dyDescent="0.25">
      <c r="A89" s="27" t="s">
        <v>105</v>
      </c>
      <c r="B89" s="135" t="s">
        <v>53</v>
      </c>
      <c r="C89" s="106">
        <v>51431342</v>
      </c>
      <c r="D89" s="88" t="s">
        <v>35</v>
      </c>
      <c r="E89" s="135">
        <v>4800</v>
      </c>
      <c r="F89" s="21">
        <v>345.88400000000001</v>
      </c>
      <c r="G89" s="21">
        <v>347.06599999999997</v>
      </c>
      <c r="H89" s="18">
        <f>(G89-F89)*E89</f>
        <v>5673.5999999998057</v>
      </c>
      <c r="I89" s="51"/>
      <c r="J89" s="52"/>
    </row>
    <row r="90" spans="1:10" ht="15.75" x14ac:dyDescent="0.25">
      <c r="A90" s="27" t="s">
        <v>106</v>
      </c>
      <c r="B90" s="135" t="s">
        <v>53</v>
      </c>
      <c r="C90" s="106">
        <v>51431343</v>
      </c>
      <c r="D90" s="88" t="s">
        <v>35</v>
      </c>
      <c r="E90" s="135">
        <v>4800</v>
      </c>
      <c r="F90" s="21">
        <v>470.61700000000002</v>
      </c>
      <c r="G90" s="21">
        <v>473.08300000000003</v>
      </c>
      <c r="H90" s="18">
        <f>(G90-F90)*E90</f>
        <v>11836.800000000039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17510.399999999845</v>
      </c>
      <c r="I91" s="85">
        <f>H91-H99</f>
        <v>-146.40000000009604</v>
      </c>
      <c r="J91" s="25">
        <f>I91/H91</f>
        <v>-8.3607456140406457E-3</v>
      </c>
    </row>
    <row r="92" spans="1:10" ht="15.75" x14ac:dyDescent="0.25">
      <c r="A92" s="27" t="s">
        <v>108</v>
      </c>
      <c r="B92" s="135" t="s">
        <v>53</v>
      </c>
      <c r="C92" s="106">
        <v>51431347</v>
      </c>
      <c r="D92" s="136" t="s">
        <v>54</v>
      </c>
      <c r="E92" s="135">
        <v>1200</v>
      </c>
      <c r="F92" s="21">
        <v>1082.597</v>
      </c>
      <c r="G92" s="21">
        <v>1091.0519999999999</v>
      </c>
      <c r="H92" s="18">
        <f t="shared" ref="H92:H100" si="4">(G92-F92)*E92</f>
        <v>10145.999999999913</v>
      </c>
      <c r="I92" s="51"/>
      <c r="J92" s="52"/>
    </row>
    <row r="93" spans="1:10" ht="15.75" x14ac:dyDescent="0.25">
      <c r="A93" s="27" t="s">
        <v>109</v>
      </c>
      <c r="B93" s="135" t="s">
        <v>53</v>
      </c>
      <c r="C93" s="106">
        <v>51431339</v>
      </c>
      <c r="D93" s="136" t="s">
        <v>54</v>
      </c>
      <c r="E93" s="135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35" t="s">
        <v>53</v>
      </c>
      <c r="C94" s="106">
        <v>51217244</v>
      </c>
      <c r="D94" s="135" t="s">
        <v>38</v>
      </c>
      <c r="E94" s="135">
        <v>600</v>
      </c>
      <c r="F94" s="30">
        <v>298.10399999999998</v>
      </c>
      <c r="G94" s="30">
        <v>300.80799999999999</v>
      </c>
      <c r="H94" s="18">
        <f t="shared" si="4"/>
        <v>1622.4000000000046</v>
      </c>
      <c r="I94" s="51"/>
      <c r="J94" s="52"/>
    </row>
    <row r="95" spans="1:10" ht="15.75" x14ac:dyDescent="0.25">
      <c r="A95" s="27" t="s">
        <v>111</v>
      </c>
      <c r="B95" s="135" t="s">
        <v>53</v>
      </c>
      <c r="C95" s="106">
        <v>51217267</v>
      </c>
      <c r="D95" s="88" t="s">
        <v>64</v>
      </c>
      <c r="E95" s="135">
        <v>2400</v>
      </c>
      <c r="F95" s="30">
        <v>19.574000000000002</v>
      </c>
      <c r="G95" s="30">
        <v>19.605</v>
      </c>
      <c r="H95" s="18">
        <f t="shared" si="4"/>
        <v>74.399999999997135</v>
      </c>
      <c r="I95" s="51"/>
      <c r="J95" s="52"/>
    </row>
    <row r="96" spans="1:10" ht="15.75" x14ac:dyDescent="0.25">
      <c r="A96" s="27" t="s">
        <v>112</v>
      </c>
      <c r="B96" s="135" t="s">
        <v>53</v>
      </c>
      <c r="C96" s="135">
        <v>51555165</v>
      </c>
      <c r="D96" s="136" t="s">
        <v>54</v>
      </c>
      <c r="E96" s="135">
        <v>1200</v>
      </c>
      <c r="F96" s="30">
        <v>771.62699999999995</v>
      </c>
      <c r="G96" s="30">
        <v>771.62699999999995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35" t="s">
        <v>53</v>
      </c>
      <c r="C97" s="106">
        <v>51431346</v>
      </c>
      <c r="D97" s="114" t="s">
        <v>38</v>
      </c>
      <c r="E97" s="114">
        <v>600</v>
      </c>
      <c r="F97" s="30">
        <v>318.58699999999999</v>
      </c>
      <c r="G97" s="30">
        <v>319.00099999999998</v>
      </c>
      <c r="H97" s="115">
        <f t="shared" si="4"/>
        <v>248.39999999999236</v>
      </c>
      <c r="I97" s="116"/>
      <c r="J97" s="117"/>
    </row>
    <row r="98" spans="1:10" ht="15.75" x14ac:dyDescent="0.25">
      <c r="A98" s="27" t="s">
        <v>114</v>
      </c>
      <c r="B98" s="135" t="s">
        <v>53</v>
      </c>
      <c r="C98" s="106">
        <v>51431352</v>
      </c>
      <c r="D98" s="88" t="s">
        <v>22</v>
      </c>
      <c r="E98" s="135">
        <v>3600</v>
      </c>
      <c r="F98" s="21">
        <v>191.535</v>
      </c>
      <c r="G98" s="21">
        <v>193.03100000000001</v>
      </c>
      <c r="H98" s="18">
        <f t="shared" si="4"/>
        <v>5385.6000000000331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17656.799999999941</v>
      </c>
      <c r="I99" s="51"/>
      <c r="J99" s="52"/>
    </row>
    <row r="100" spans="1:10" ht="15.75" x14ac:dyDescent="0.25">
      <c r="A100" s="45" t="s">
        <v>115</v>
      </c>
      <c r="B100" s="135" t="s">
        <v>53</v>
      </c>
      <c r="C100" s="120">
        <v>51431357</v>
      </c>
      <c r="D100" s="136" t="s">
        <v>64</v>
      </c>
      <c r="E100" s="136">
        <v>14000</v>
      </c>
      <c r="F100" s="28">
        <v>757.08</v>
      </c>
      <c r="G100" s="28">
        <v>761.05499999999995</v>
      </c>
      <c r="H100" s="121">
        <f t="shared" si="4"/>
        <v>55649.999999998727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zoomScale="85" zoomScaleNormal="85"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122</v>
      </c>
      <c r="G3" s="4" t="s">
        <v>123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38" t="s">
        <v>14</v>
      </c>
      <c r="C5" s="138">
        <v>51555166</v>
      </c>
      <c r="D5" s="138" t="s">
        <v>15</v>
      </c>
      <c r="E5" s="138">
        <v>132000</v>
      </c>
      <c r="F5" s="17">
        <v>2.899</v>
      </c>
      <c r="G5" s="17">
        <v>2.911</v>
      </c>
      <c r="H5" s="18">
        <f>(G5-F5)*E5</f>
        <v>1584.0000000000014</v>
      </c>
      <c r="I5" s="19"/>
      <c r="J5" s="20"/>
    </row>
    <row r="6" spans="1:10" ht="15.75" x14ac:dyDescent="0.25">
      <c r="A6" s="15" t="s">
        <v>16</v>
      </c>
      <c r="B6" s="138" t="s">
        <v>14</v>
      </c>
      <c r="C6" s="138">
        <v>51555191</v>
      </c>
      <c r="D6" s="138" t="s">
        <v>15</v>
      </c>
      <c r="E6" s="138">
        <v>132000</v>
      </c>
      <c r="F6" s="21">
        <v>328.58600000000001</v>
      </c>
      <c r="G6" s="21">
        <v>330.58699999999999</v>
      </c>
      <c r="H6" s="18">
        <f>(G6-F6)*E6</f>
        <v>264131.99999999686</v>
      </c>
      <c r="I6" s="19"/>
      <c r="J6" s="20"/>
    </row>
    <row r="7" spans="1:10" ht="15.75" x14ac:dyDescent="0.25">
      <c r="A7" s="207" t="s">
        <v>17</v>
      </c>
      <c r="B7" s="208"/>
      <c r="C7" s="138"/>
      <c r="D7" s="139"/>
      <c r="E7" s="138"/>
      <c r="H7" s="23">
        <f>H5+H6</f>
        <v>265715.99999999686</v>
      </c>
      <c r="I7" s="24">
        <f>H7-H10-H20</f>
        <v>2423.9999999971333</v>
      </c>
      <c r="J7" s="25">
        <f>I7/H7</f>
        <v>9.1225217901713188E-3</v>
      </c>
    </row>
    <row r="8" spans="1:10" ht="15.75" x14ac:dyDescent="0.25">
      <c r="A8" s="26" t="s">
        <v>18</v>
      </c>
      <c r="B8" s="138" t="s">
        <v>14</v>
      </c>
      <c r="C8" s="138">
        <v>51097629</v>
      </c>
      <c r="D8" s="139" t="s">
        <v>15</v>
      </c>
      <c r="E8" s="138">
        <v>42000</v>
      </c>
      <c r="F8" s="21">
        <v>1007.393</v>
      </c>
      <c r="G8" s="21">
        <v>1011.8150000000001</v>
      </c>
      <c r="H8" s="18">
        <f>(G8-F8)*E8</f>
        <v>185724.00000000108</v>
      </c>
      <c r="I8" s="19"/>
      <c r="J8" s="20"/>
    </row>
    <row r="9" spans="1:10" ht="15.75" x14ac:dyDescent="0.25">
      <c r="A9" s="26" t="s">
        <v>19</v>
      </c>
      <c r="B9" s="138" t="s">
        <v>14</v>
      </c>
      <c r="C9" s="138">
        <v>51616820</v>
      </c>
      <c r="D9" s="139" t="s">
        <v>15</v>
      </c>
      <c r="E9" s="138">
        <v>42000</v>
      </c>
      <c r="F9" s="21">
        <v>4.952</v>
      </c>
      <c r="G9" s="21">
        <v>4.9740000000000002</v>
      </c>
      <c r="H9" s="18">
        <f>(G9-F9)*E9</f>
        <v>924.00000000001012</v>
      </c>
      <c r="I9" s="19"/>
      <c r="J9" s="20"/>
    </row>
    <row r="10" spans="1:10" ht="15.75" x14ac:dyDescent="0.25">
      <c r="A10" s="207" t="s">
        <v>20</v>
      </c>
      <c r="B10" s="208"/>
      <c r="C10" s="138"/>
      <c r="D10" s="139"/>
      <c r="E10" s="138"/>
      <c r="F10" s="21"/>
      <c r="G10" s="21"/>
      <c r="H10" s="23">
        <f>H8+H9</f>
        <v>186648.00000000108</v>
      </c>
      <c r="I10" s="24">
        <f>H10-H17</f>
        <v>42.000000002008164</v>
      </c>
      <c r="J10" s="25">
        <f>I10/H10</f>
        <v>2.2502250226098282E-4</v>
      </c>
    </row>
    <row r="11" spans="1:10" ht="15.75" x14ac:dyDescent="0.25">
      <c r="A11" s="27" t="s">
        <v>21</v>
      </c>
      <c r="B11" s="138" t="s">
        <v>14</v>
      </c>
      <c r="C11" s="138">
        <v>51217286</v>
      </c>
      <c r="D11" s="139" t="s">
        <v>22</v>
      </c>
      <c r="E11" s="138">
        <v>21000</v>
      </c>
      <c r="F11" s="21">
        <v>798.60900000000004</v>
      </c>
      <c r="G11" s="21">
        <v>801.94</v>
      </c>
      <c r="H11" s="18">
        <f t="shared" ref="H11:H16" si="0">(G11-F11)*E11</f>
        <v>69951.000000000364</v>
      </c>
      <c r="I11" s="19"/>
      <c r="J11" s="20"/>
    </row>
    <row r="12" spans="1:10" ht="15.75" x14ac:dyDescent="0.25">
      <c r="A12" s="27" t="s">
        <v>23</v>
      </c>
      <c r="B12" s="138" t="s">
        <v>14</v>
      </c>
      <c r="C12" s="138">
        <v>51217292</v>
      </c>
      <c r="D12" s="139" t="s">
        <v>22</v>
      </c>
      <c r="E12" s="138">
        <v>21000</v>
      </c>
      <c r="F12" s="28">
        <v>3.3860000000000001</v>
      </c>
      <c r="G12" s="28">
        <v>3.411</v>
      </c>
      <c r="H12" s="18">
        <f>(G12-F12)*E12</f>
        <v>524.99999999999818</v>
      </c>
      <c r="I12" s="19"/>
      <c r="J12" s="20"/>
    </row>
    <row r="13" spans="1:10" ht="15.75" x14ac:dyDescent="0.25">
      <c r="A13" s="27" t="s">
        <v>24</v>
      </c>
      <c r="B13" s="138" t="s">
        <v>14</v>
      </c>
      <c r="C13" s="138">
        <v>51217271</v>
      </c>
      <c r="D13" s="139" t="s">
        <v>22</v>
      </c>
      <c r="E13" s="138">
        <v>21000</v>
      </c>
      <c r="F13" s="21">
        <v>584.41399999999999</v>
      </c>
      <c r="G13" s="21">
        <v>586.97799999999995</v>
      </c>
      <c r="H13" s="18">
        <f t="shared" si="0"/>
        <v>53843.999999999258</v>
      </c>
      <c r="I13" s="19"/>
      <c r="J13" s="20"/>
    </row>
    <row r="14" spans="1:10" ht="15.75" x14ac:dyDescent="0.25">
      <c r="A14" s="27" t="s">
        <v>25</v>
      </c>
      <c r="B14" s="138" t="s">
        <v>14</v>
      </c>
      <c r="C14" s="138">
        <v>51217276</v>
      </c>
      <c r="D14" s="139" t="s">
        <v>22</v>
      </c>
      <c r="E14" s="138">
        <v>21000</v>
      </c>
      <c r="F14" s="28">
        <v>0.49399999999999999</v>
      </c>
      <c r="G14" s="28">
        <v>0.497</v>
      </c>
      <c r="H14" s="18">
        <f>(G14-F14)*E14</f>
        <v>63.000000000000057</v>
      </c>
      <c r="I14" s="19"/>
      <c r="J14" s="20"/>
    </row>
    <row r="15" spans="1:10" ht="15.75" x14ac:dyDescent="0.25">
      <c r="A15" s="27" t="s">
        <v>26</v>
      </c>
      <c r="B15" s="138" t="s">
        <v>14</v>
      </c>
      <c r="C15" s="138">
        <v>51100990</v>
      </c>
      <c r="D15" s="139" t="s">
        <v>22</v>
      </c>
      <c r="E15" s="138">
        <v>21000</v>
      </c>
      <c r="F15" s="29">
        <v>637.51300000000003</v>
      </c>
      <c r="G15" s="29">
        <v>640.46600000000001</v>
      </c>
      <c r="H15" s="18">
        <f t="shared" si="0"/>
        <v>62012.999999999462</v>
      </c>
      <c r="I15" s="19"/>
      <c r="J15" s="20"/>
    </row>
    <row r="16" spans="1:10" ht="15.75" x14ac:dyDescent="0.25">
      <c r="A16" s="27" t="s">
        <v>27</v>
      </c>
      <c r="B16" s="138" t="s">
        <v>14</v>
      </c>
      <c r="C16" s="138">
        <v>51097622</v>
      </c>
      <c r="D16" s="139" t="s">
        <v>22</v>
      </c>
      <c r="E16" s="138">
        <v>21000</v>
      </c>
      <c r="F16" s="21">
        <v>2.8029999999999999</v>
      </c>
      <c r="G16" s="21">
        <v>2.8130000000000002</v>
      </c>
      <c r="H16" s="18">
        <f t="shared" si="0"/>
        <v>210.00000000000486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38"/>
      <c r="D17" s="139"/>
      <c r="E17" s="138"/>
      <c r="F17" s="21"/>
      <c r="G17" s="21"/>
      <c r="H17" s="23">
        <f>H11+H12+H13+H14+H15+H16</f>
        <v>186605.99999999907</v>
      </c>
      <c r="I17" s="19"/>
      <c r="J17" s="20"/>
    </row>
    <row r="18" spans="1:10" ht="15.75" x14ac:dyDescent="0.25">
      <c r="A18" s="26" t="s">
        <v>30</v>
      </c>
      <c r="B18" s="138" t="s">
        <v>14</v>
      </c>
      <c r="C18" s="138">
        <v>51097617</v>
      </c>
      <c r="D18" s="139" t="s">
        <v>31</v>
      </c>
      <c r="E18" s="138">
        <v>18000</v>
      </c>
      <c r="F18" s="30">
        <v>764.35900000000004</v>
      </c>
      <c r="G18" s="30">
        <v>768.61699999999996</v>
      </c>
      <c r="H18" s="18">
        <f>(G18-F18)*E18</f>
        <v>76643.999999998647</v>
      </c>
      <c r="I18" s="19"/>
      <c r="J18" s="20"/>
    </row>
    <row r="19" spans="1:10" ht="15.75" x14ac:dyDescent="0.25">
      <c r="A19" s="26" t="s">
        <v>32</v>
      </c>
      <c r="B19" s="138" t="s">
        <v>14</v>
      </c>
      <c r="C19" s="138">
        <v>51097655</v>
      </c>
      <c r="D19" s="139" t="s">
        <v>31</v>
      </c>
      <c r="E19" s="138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38"/>
      <c r="D20" s="139"/>
      <c r="E20" s="138"/>
      <c r="F20" s="30"/>
      <c r="G20" s="30"/>
      <c r="H20" s="23">
        <f>H18+H19</f>
        <v>76643.999999998647</v>
      </c>
      <c r="I20" s="24">
        <f>H20-H35</f>
        <v>3364.1999999986438</v>
      </c>
      <c r="J20" s="25">
        <f>I20/H20</f>
        <v>4.3893846876450905E-2</v>
      </c>
    </row>
    <row r="21" spans="1:10" ht="15.75" x14ac:dyDescent="0.25">
      <c r="A21" s="15" t="s">
        <v>34</v>
      </c>
      <c r="B21" s="138" t="s">
        <v>14</v>
      </c>
      <c r="C21" s="138">
        <v>51217282</v>
      </c>
      <c r="D21" s="139" t="s">
        <v>35</v>
      </c>
      <c r="E21" s="138">
        <v>4800</v>
      </c>
      <c r="F21" s="21">
        <v>379.44099999999997</v>
      </c>
      <c r="G21" s="21">
        <v>379.48599999999999</v>
      </c>
      <c r="H21" s="18">
        <f t="shared" ref="H21:H34" si="1">(G21-F21)*E21</f>
        <v>216.0000000000764</v>
      </c>
      <c r="I21" s="19" t="s">
        <v>28</v>
      </c>
      <c r="J21" s="20"/>
    </row>
    <row r="22" spans="1:10" ht="15.75" x14ac:dyDescent="0.25">
      <c r="A22" s="15" t="s">
        <v>36</v>
      </c>
      <c r="B22" s="138" t="s">
        <v>14</v>
      </c>
      <c r="C22" s="138">
        <v>51217274</v>
      </c>
      <c r="D22" s="139" t="s">
        <v>35</v>
      </c>
      <c r="E22" s="138">
        <v>4800</v>
      </c>
      <c r="F22" s="21">
        <v>1203.56</v>
      </c>
      <c r="G22" s="21">
        <v>1209.6099999999999</v>
      </c>
      <c r="H22" s="18">
        <f t="shared" si="1"/>
        <v>29039.999999999782</v>
      </c>
      <c r="I22" s="19"/>
      <c r="J22" s="20"/>
    </row>
    <row r="23" spans="1:10" ht="15.75" x14ac:dyDescent="0.25">
      <c r="A23" s="15" t="s">
        <v>37</v>
      </c>
      <c r="B23" s="138" t="s">
        <v>14</v>
      </c>
      <c r="C23" s="138">
        <v>51097664</v>
      </c>
      <c r="D23" s="139" t="s">
        <v>38</v>
      </c>
      <c r="E23" s="138">
        <v>600</v>
      </c>
      <c r="F23" s="21">
        <v>4.3879999999999999</v>
      </c>
      <c r="G23" s="21">
        <v>4.4089999999999998</v>
      </c>
      <c r="H23" s="18">
        <f t="shared" si="1"/>
        <v>12.599999999999945</v>
      </c>
      <c r="I23" s="19"/>
      <c r="J23" s="20"/>
    </row>
    <row r="24" spans="1:10" ht="15.75" x14ac:dyDescent="0.25">
      <c r="A24" s="15" t="s">
        <v>39</v>
      </c>
      <c r="B24" s="138" t="s">
        <v>14</v>
      </c>
      <c r="C24" s="138">
        <v>51097615</v>
      </c>
      <c r="D24" s="139" t="s">
        <v>38</v>
      </c>
      <c r="E24" s="138">
        <v>600</v>
      </c>
      <c r="F24" s="21">
        <v>35.845999999999997</v>
      </c>
      <c r="G24" s="21">
        <v>36.338999999999999</v>
      </c>
      <c r="H24" s="18">
        <f t="shared" si="1"/>
        <v>295.80000000000126</v>
      </c>
      <c r="I24" s="19"/>
      <c r="J24" s="20"/>
    </row>
    <row r="25" spans="1:10" ht="15.75" x14ac:dyDescent="0.25">
      <c r="A25" s="15" t="s">
        <v>40</v>
      </c>
      <c r="B25" s="138" t="s">
        <v>14</v>
      </c>
      <c r="C25" s="138">
        <v>51217264</v>
      </c>
      <c r="D25" s="139" t="s">
        <v>38</v>
      </c>
      <c r="E25" s="138">
        <v>600</v>
      </c>
      <c r="F25" s="21">
        <v>87.316999999999993</v>
      </c>
      <c r="G25" s="21">
        <v>88.03</v>
      </c>
      <c r="H25" s="18">
        <f t="shared" si="1"/>
        <v>427.80000000000484</v>
      </c>
      <c r="I25" s="19"/>
      <c r="J25" s="20"/>
    </row>
    <row r="26" spans="1:10" ht="15.75" x14ac:dyDescent="0.25">
      <c r="A26" s="15" t="s">
        <v>41</v>
      </c>
      <c r="B26" s="138" t="s">
        <v>14</v>
      </c>
      <c r="C26" s="138">
        <v>51217288</v>
      </c>
      <c r="D26" s="139" t="s">
        <v>38</v>
      </c>
      <c r="E26" s="138">
        <v>600</v>
      </c>
      <c r="F26" s="21">
        <v>19.716000000000001</v>
      </c>
      <c r="G26" s="21">
        <v>19.747</v>
      </c>
      <c r="H26" s="18">
        <f t="shared" si="1"/>
        <v>18.599999999999284</v>
      </c>
      <c r="I26" s="19" t="s">
        <v>28</v>
      </c>
      <c r="J26" s="20"/>
    </row>
    <row r="27" spans="1:10" ht="15.75" x14ac:dyDescent="0.25">
      <c r="A27" s="15" t="s">
        <v>42</v>
      </c>
      <c r="B27" s="138" t="s">
        <v>14</v>
      </c>
      <c r="C27" s="138">
        <v>51217279</v>
      </c>
      <c r="D27" s="139" t="s">
        <v>38</v>
      </c>
      <c r="E27" s="138">
        <v>600</v>
      </c>
      <c r="F27" s="21">
        <v>13.974</v>
      </c>
      <c r="G27" s="21">
        <v>14.028</v>
      </c>
      <c r="H27" s="18">
        <f t="shared" si="1"/>
        <v>32.400000000000162</v>
      </c>
      <c r="I27" s="19" t="s">
        <v>28</v>
      </c>
      <c r="J27" s="20"/>
    </row>
    <row r="28" spans="1:10" ht="15.75" x14ac:dyDescent="0.25">
      <c r="A28" s="15" t="s">
        <v>43</v>
      </c>
      <c r="B28" s="138" t="s">
        <v>14</v>
      </c>
      <c r="C28" s="138">
        <v>51217272</v>
      </c>
      <c r="D28" s="139" t="s">
        <v>38</v>
      </c>
      <c r="E28" s="138">
        <v>600</v>
      </c>
      <c r="F28" s="31">
        <v>13.708</v>
      </c>
      <c r="G28" s="31">
        <v>13.760999999999999</v>
      </c>
      <c r="H28" s="18">
        <f t="shared" si="1"/>
        <v>31.799999999999429</v>
      </c>
      <c r="I28" s="19"/>
      <c r="J28" s="20"/>
    </row>
    <row r="29" spans="1:10" ht="15.75" x14ac:dyDescent="0.25">
      <c r="A29" s="15" t="s">
        <v>44</v>
      </c>
      <c r="B29" s="138" t="s">
        <v>14</v>
      </c>
      <c r="C29" s="138">
        <v>51616744</v>
      </c>
      <c r="D29" s="139">
        <f>300/5</f>
        <v>60</v>
      </c>
      <c r="E29" s="138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38" t="s">
        <v>14</v>
      </c>
      <c r="C30" s="138">
        <v>51555226</v>
      </c>
      <c r="D30" s="139">
        <f>300/5</f>
        <v>60</v>
      </c>
      <c r="E30" s="138">
        <v>3600</v>
      </c>
      <c r="F30" s="31">
        <v>418.702</v>
      </c>
      <c r="G30" s="31">
        <v>422.83800000000002</v>
      </c>
      <c r="H30" s="18">
        <f>(G30-F30)*E30</f>
        <v>14889.600000000086</v>
      </c>
      <c r="I30" s="19"/>
      <c r="J30" s="20"/>
    </row>
    <row r="31" spans="1:10" ht="15.75" x14ac:dyDescent="0.25">
      <c r="A31" s="15" t="s">
        <v>46</v>
      </c>
      <c r="B31" s="138" t="s">
        <v>14</v>
      </c>
      <c r="C31" s="138">
        <v>51097658</v>
      </c>
      <c r="D31" s="139" t="s">
        <v>35</v>
      </c>
      <c r="E31" s="138">
        <v>4800</v>
      </c>
      <c r="F31" s="31">
        <v>584.62400000000002</v>
      </c>
      <c r="G31" s="31">
        <v>587.92700000000002</v>
      </c>
      <c r="H31" s="18">
        <f t="shared" si="1"/>
        <v>15854.399999999987</v>
      </c>
      <c r="I31" s="19"/>
      <c r="J31" s="20"/>
    </row>
    <row r="32" spans="1:10" ht="15.75" x14ac:dyDescent="0.25">
      <c r="A32" s="15" t="s">
        <v>47</v>
      </c>
      <c r="B32" s="138" t="s">
        <v>14</v>
      </c>
      <c r="C32" s="138">
        <v>51097635</v>
      </c>
      <c r="D32" s="139" t="s">
        <v>35</v>
      </c>
      <c r="E32" s="138">
        <v>4800</v>
      </c>
      <c r="F32" s="31">
        <v>48.445</v>
      </c>
      <c r="G32" s="31">
        <v>48.445999999999998</v>
      </c>
      <c r="H32" s="18">
        <f t="shared" si="1"/>
        <v>4.7999999999888132</v>
      </c>
      <c r="I32" s="19"/>
      <c r="J32" s="20"/>
    </row>
    <row r="33" spans="1:10" ht="15.75" x14ac:dyDescent="0.25">
      <c r="A33" s="15" t="s">
        <v>48</v>
      </c>
      <c r="B33" s="138" t="s">
        <v>14</v>
      </c>
      <c r="C33" s="32">
        <v>51097633</v>
      </c>
      <c r="D33" s="139" t="s">
        <v>35</v>
      </c>
      <c r="E33" s="138">
        <v>4800</v>
      </c>
      <c r="F33" s="31">
        <v>130.89599999999999</v>
      </c>
      <c r="G33" s="31">
        <v>133.441</v>
      </c>
      <c r="H33" s="33">
        <f t="shared" si="1"/>
        <v>12216.000000000076</v>
      </c>
      <c r="I33" s="34"/>
      <c r="J33" s="35"/>
    </row>
    <row r="34" spans="1:10" ht="15.75" x14ac:dyDescent="0.25">
      <c r="A34" s="15" t="s">
        <v>49</v>
      </c>
      <c r="B34" s="138" t="s">
        <v>14</v>
      </c>
      <c r="C34" s="32">
        <v>51097662</v>
      </c>
      <c r="D34" s="139" t="s">
        <v>35</v>
      </c>
      <c r="E34" s="138">
        <v>4800</v>
      </c>
      <c r="F34" s="31">
        <v>2.4870000000000001</v>
      </c>
      <c r="G34" s="31">
        <v>2.5369999999999999</v>
      </c>
      <c r="H34" s="33">
        <f t="shared" si="1"/>
        <v>239.99999999999915</v>
      </c>
      <c r="I34" s="34"/>
      <c r="J34" s="35"/>
    </row>
    <row r="35" spans="1:10" ht="15.75" x14ac:dyDescent="0.25">
      <c r="A35" s="207" t="s">
        <v>50</v>
      </c>
      <c r="B35" s="208"/>
      <c r="C35" s="138"/>
      <c r="D35" s="139"/>
      <c r="E35" s="138"/>
      <c r="F35" s="36"/>
      <c r="G35" s="36"/>
      <c r="H35" s="23">
        <f>H21+H22+H23+H24+H25+H26+H27+H28+H29+H30+H31+H32+H33+H34</f>
        <v>73279.8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38" t="s">
        <v>53</v>
      </c>
      <c r="C37" s="138">
        <v>51555209</v>
      </c>
      <c r="D37" s="139" t="s">
        <v>54</v>
      </c>
      <c r="E37" s="138">
        <v>7000</v>
      </c>
      <c r="F37" s="17">
        <v>4.7919999999999998</v>
      </c>
      <c r="G37" s="17">
        <v>4.8460000000000001</v>
      </c>
      <c r="H37" s="41">
        <f>(G37-F37)*E37</f>
        <v>378.00000000000188</v>
      </c>
      <c r="I37" s="42"/>
      <c r="J37" s="14"/>
    </row>
    <row r="38" spans="1:10" ht="15.75" x14ac:dyDescent="0.25">
      <c r="A38" s="15" t="s">
        <v>55</v>
      </c>
      <c r="B38" s="138" t="s">
        <v>53</v>
      </c>
      <c r="C38" s="138">
        <v>51555209</v>
      </c>
      <c r="D38" s="139" t="s">
        <v>54</v>
      </c>
      <c r="E38" s="138">
        <v>7000</v>
      </c>
      <c r="F38" s="21">
        <v>9.4239999999999995</v>
      </c>
      <c r="G38" s="21">
        <v>9.4949999999999992</v>
      </c>
      <c r="H38" s="18">
        <f>(G38-F38)*E38</f>
        <v>496.99999999999812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38" t="s">
        <v>53</v>
      </c>
      <c r="C40" s="138">
        <v>51097674</v>
      </c>
      <c r="D40" s="138" t="s">
        <v>15</v>
      </c>
      <c r="E40" s="138">
        <v>7200</v>
      </c>
      <c r="F40" s="21">
        <v>541.73699999999997</v>
      </c>
      <c r="G40" s="21">
        <v>544.22199999999998</v>
      </c>
      <c r="H40" s="18">
        <f>(G40-F40)*E40</f>
        <v>17892.000000000098</v>
      </c>
      <c r="I40" s="47"/>
      <c r="J40" s="20"/>
    </row>
    <row r="41" spans="1:10" ht="15.75" x14ac:dyDescent="0.25">
      <c r="A41" s="27" t="s">
        <v>58</v>
      </c>
      <c r="B41" s="138" t="s">
        <v>53</v>
      </c>
      <c r="C41" s="138">
        <v>51259257</v>
      </c>
      <c r="D41" s="138" t="s">
        <v>15</v>
      </c>
      <c r="E41" s="138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38"/>
      <c r="C42" s="138"/>
      <c r="D42" s="138"/>
      <c r="E42" s="138"/>
      <c r="F42" s="21"/>
      <c r="G42" s="21"/>
      <c r="H42" s="48">
        <f>H40+H41</f>
        <v>17892.000000000098</v>
      </c>
      <c r="I42" s="24">
        <f>H42-H50</f>
        <v>-117.19999999996799</v>
      </c>
      <c r="J42" s="25">
        <f>I42/H42</f>
        <v>-6.550413592665289E-3</v>
      </c>
    </row>
    <row r="43" spans="1:10" ht="15.75" x14ac:dyDescent="0.25">
      <c r="A43" s="15" t="s">
        <v>60</v>
      </c>
      <c r="B43" s="138"/>
      <c r="C43" s="138"/>
      <c r="D43" s="139"/>
      <c r="E43" s="138"/>
      <c r="H43" s="18"/>
      <c r="I43" s="43"/>
      <c r="J43" s="20"/>
    </row>
    <row r="44" spans="1:10" ht="15.75" x14ac:dyDescent="0.25">
      <c r="A44" s="27" t="s">
        <v>61</v>
      </c>
      <c r="B44" s="138" t="s">
        <v>53</v>
      </c>
      <c r="C44" s="32">
        <v>51097648</v>
      </c>
      <c r="D44" s="138" t="s">
        <v>54</v>
      </c>
      <c r="E44" s="138">
        <v>1200</v>
      </c>
      <c r="F44" s="21">
        <v>444.22500000000002</v>
      </c>
      <c r="G44" s="21">
        <v>446.28199999999998</v>
      </c>
      <c r="H44" s="33">
        <f>(G44-F44)*E44</f>
        <v>2468.3999999999514</v>
      </c>
      <c r="I44" s="43"/>
      <c r="J44" s="20"/>
    </row>
    <row r="45" spans="1:10" ht="15.75" x14ac:dyDescent="0.25">
      <c r="A45" s="27" t="s">
        <v>62</v>
      </c>
      <c r="B45" s="138" t="s">
        <v>53</v>
      </c>
      <c r="C45" s="32">
        <v>50555043</v>
      </c>
      <c r="D45" s="138" t="s">
        <v>54</v>
      </c>
      <c r="E45" s="138">
        <v>1200</v>
      </c>
      <c r="F45" s="21">
        <v>1856.8</v>
      </c>
      <c r="G45" s="21">
        <v>1865.1420000000001</v>
      </c>
      <c r="H45" s="33">
        <f>(G45-F45)*E45</f>
        <v>10010.400000000118</v>
      </c>
      <c r="I45" s="43"/>
      <c r="J45" s="20"/>
    </row>
    <row r="46" spans="1:10" ht="15.75" x14ac:dyDescent="0.25">
      <c r="A46" s="27" t="s">
        <v>63</v>
      </c>
      <c r="B46" s="138" t="s">
        <v>53</v>
      </c>
      <c r="C46" s="32">
        <v>51259336</v>
      </c>
      <c r="D46" s="138" t="s">
        <v>64</v>
      </c>
      <c r="E46" s="138">
        <v>2400</v>
      </c>
      <c r="F46" s="21">
        <v>3.835</v>
      </c>
      <c r="G46" s="21">
        <v>3.8479999999999999</v>
      </c>
      <c r="H46" s="33">
        <f>(G46-F46)*E46</f>
        <v>31.199999999999761</v>
      </c>
      <c r="I46" s="43"/>
      <c r="J46" s="20"/>
    </row>
    <row r="47" spans="1:10" ht="15.75" x14ac:dyDescent="0.25">
      <c r="A47" s="27" t="s">
        <v>65</v>
      </c>
      <c r="B47" s="138" t="s">
        <v>53</v>
      </c>
      <c r="C47" s="32">
        <v>51259266</v>
      </c>
      <c r="D47" s="138" t="s">
        <v>54</v>
      </c>
      <c r="E47" s="138">
        <v>1200</v>
      </c>
      <c r="F47" s="21">
        <v>900.19</v>
      </c>
      <c r="G47" s="21">
        <v>904.42100000000005</v>
      </c>
      <c r="H47" s="33">
        <f>(G47-F47)*E47</f>
        <v>5077.1999999999935</v>
      </c>
      <c r="I47" s="43"/>
      <c r="J47" s="20"/>
    </row>
    <row r="48" spans="1:10" ht="15.75" x14ac:dyDescent="0.25">
      <c r="A48" s="27" t="s">
        <v>66</v>
      </c>
      <c r="B48" s="138" t="s">
        <v>53</v>
      </c>
      <c r="C48" s="32">
        <v>51431336</v>
      </c>
      <c r="D48" s="138" t="s">
        <v>54</v>
      </c>
      <c r="E48" s="138">
        <v>1200</v>
      </c>
      <c r="F48" s="21">
        <v>50.610999999999997</v>
      </c>
      <c r="G48" s="21">
        <v>50.920999999999999</v>
      </c>
      <c r="H48" s="33">
        <f>(G48-F48)*E48</f>
        <v>372.00000000000273</v>
      </c>
      <c r="I48" s="43"/>
      <c r="J48" s="20"/>
    </row>
    <row r="49" spans="1:10" ht="15.75" x14ac:dyDescent="0.25">
      <c r="A49" s="15" t="s">
        <v>67</v>
      </c>
      <c r="B49" s="138" t="s">
        <v>68</v>
      </c>
      <c r="C49" s="138">
        <v>49174</v>
      </c>
      <c r="D49" s="139" t="s">
        <v>54</v>
      </c>
      <c r="E49" s="138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18009.200000000066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38" t="s">
        <v>53</v>
      </c>
      <c r="C52" s="138">
        <v>51097603</v>
      </c>
      <c r="D52" s="139" t="s">
        <v>54</v>
      </c>
      <c r="E52" s="138">
        <v>7000</v>
      </c>
      <c r="F52" s="17">
        <v>1788.818</v>
      </c>
      <c r="G52" s="17">
        <v>1796.047</v>
      </c>
      <c r="H52" s="18">
        <f>(G52-F52)*E52</f>
        <v>50603.000000000291</v>
      </c>
      <c r="I52" s="43"/>
      <c r="J52" s="20"/>
    </row>
    <row r="53" spans="1:10" ht="15.75" x14ac:dyDescent="0.25">
      <c r="A53" s="27" t="s">
        <v>73</v>
      </c>
      <c r="B53" s="138" t="s">
        <v>53</v>
      </c>
      <c r="C53" s="138">
        <v>51097590</v>
      </c>
      <c r="D53" s="139" t="s">
        <v>54</v>
      </c>
      <c r="E53" s="138">
        <v>7000</v>
      </c>
      <c r="F53" s="21">
        <v>11.135999999999999</v>
      </c>
      <c r="G53" s="21">
        <v>11.212</v>
      </c>
      <c r="H53" s="18">
        <f>(G53-F53)*E53</f>
        <v>532.00000000000364</v>
      </c>
      <c r="I53" s="43"/>
      <c r="J53" s="20"/>
    </row>
    <row r="54" spans="1:10" ht="15.75" x14ac:dyDescent="0.25">
      <c r="A54" s="15" t="s">
        <v>67</v>
      </c>
      <c r="B54" s="138" t="s">
        <v>68</v>
      </c>
      <c r="C54" s="138">
        <v>49174</v>
      </c>
      <c r="D54" s="139" t="s">
        <v>54</v>
      </c>
      <c r="E54" s="138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38"/>
      <c r="D55" s="139"/>
      <c r="E55" s="138"/>
      <c r="F55" s="21"/>
      <c r="G55" s="21"/>
      <c r="H55" s="48">
        <f>H52+H53+H54</f>
        <v>51235.000000000291</v>
      </c>
      <c r="I55" s="47"/>
      <c r="J55" s="59"/>
    </row>
    <row r="56" spans="1:10" ht="15.75" x14ac:dyDescent="0.25">
      <c r="A56" s="27" t="s">
        <v>75</v>
      </c>
      <c r="B56" s="138" t="s">
        <v>53</v>
      </c>
      <c r="C56" s="138">
        <v>51100980</v>
      </c>
      <c r="D56" s="138" t="s">
        <v>76</v>
      </c>
      <c r="E56" s="138">
        <v>12000</v>
      </c>
      <c r="F56" s="21">
        <v>1052.354</v>
      </c>
      <c r="G56" s="21">
        <v>1056.6189999999999</v>
      </c>
      <c r="H56" s="18">
        <f>(G56-F56)*E56</f>
        <v>51179.999999998472</v>
      </c>
      <c r="I56" s="47"/>
      <c r="J56" s="58"/>
    </row>
    <row r="57" spans="1:10" ht="15.75" x14ac:dyDescent="0.25">
      <c r="A57" s="27" t="s">
        <v>77</v>
      </c>
      <c r="B57" s="138" t="s">
        <v>53</v>
      </c>
      <c r="C57" s="138">
        <v>51097623</v>
      </c>
      <c r="D57" s="138" t="s">
        <v>76</v>
      </c>
      <c r="E57" s="138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38"/>
      <c r="C58" s="138"/>
      <c r="D58" s="138"/>
      <c r="E58" s="138"/>
      <c r="F58" s="21"/>
      <c r="G58" s="21"/>
      <c r="H58" s="48">
        <f>H56+H57</f>
        <v>51179.999999998472</v>
      </c>
      <c r="I58" s="61">
        <f>H55-H65-H54</f>
        <v>-109.79999999916618</v>
      </c>
      <c r="J58" s="25">
        <f>I58/H58</f>
        <v>-2.145369284860677E-3</v>
      </c>
    </row>
    <row r="59" spans="1:10" ht="15.75" x14ac:dyDescent="0.25">
      <c r="A59" s="27" t="s">
        <v>79</v>
      </c>
      <c r="B59" s="138" t="s">
        <v>53</v>
      </c>
      <c r="C59" s="138">
        <v>51097675</v>
      </c>
      <c r="D59" s="138" t="s">
        <v>35</v>
      </c>
      <c r="E59" s="138">
        <v>4800</v>
      </c>
      <c r="F59" s="21">
        <v>444.34100000000001</v>
      </c>
      <c r="G59" s="21">
        <v>447.75</v>
      </c>
      <c r="H59" s="18">
        <f t="shared" ref="H59:H64" si="2">(G59-F59)*E59</f>
        <v>16363.199999999961</v>
      </c>
      <c r="I59" s="62"/>
      <c r="J59" s="59"/>
    </row>
    <row r="60" spans="1:10" ht="15.75" x14ac:dyDescent="0.25">
      <c r="A60" s="27" t="s">
        <v>80</v>
      </c>
      <c r="B60" s="138" t="s">
        <v>53</v>
      </c>
      <c r="C60" s="138">
        <v>51100997</v>
      </c>
      <c r="D60" s="138" t="s">
        <v>22</v>
      </c>
      <c r="E60" s="138">
        <v>3600</v>
      </c>
      <c r="F60" s="21">
        <v>1305.73</v>
      </c>
      <c r="G60" s="21">
        <v>1308.7159999999999</v>
      </c>
      <c r="H60" s="18">
        <f t="shared" si="2"/>
        <v>10749.599999999555</v>
      </c>
      <c r="I60" s="62"/>
      <c r="J60" s="59"/>
    </row>
    <row r="61" spans="1:10" ht="15.75" x14ac:dyDescent="0.25">
      <c r="A61" s="27" t="s">
        <v>81</v>
      </c>
      <c r="B61" s="138" t="s">
        <v>53</v>
      </c>
      <c r="C61" s="138">
        <v>51555218</v>
      </c>
      <c r="D61" s="138">
        <f>400/5</f>
        <v>80</v>
      </c>
      <c r="E61" s="138">
        <v>4800</v>
      </c>
      <c r="F61" s="21">
        <v>53.332999999999998</v>
      </c>
      <c r="G61" s="21">
        <v>53.89</v>
      </c>
      <c r="H61" s="18">
        <f t="shared" si="2"/>
        <v>2673.6000000000104</v>
      </c>
      <c r="I61" s="62"/>
      <c r="J61" s="59"/>
    </row>
    <row r="62" spans="1:10" ht="15.75" x14ac:dyDescent="0.25">
      <c r="A62" s="27" t="s">
        <v>82</v>
      </c>
      <c r="B62" s="138" t="s">
        <v>53</v>
      </c>
      <c r="C62" s="138">
        <v>51555151</v>
      </c>
      <c r="D62" s="138">
        <f>400/5</f>
        <v>80</v>
      </c>
      <c r="E62" s="138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38" t="s">
        <v>53</v>
      </c>
      <c r="C63" s="138">
        <v>51097599</v>
      </c>
      <c r="D63" s="138" t="s">
        <v>22</v>
      </c>
      <c r="E63" s="138">
        <v>3600</v>
      </c>
      <c r="F63" s="21">
        <v>914.21100000000001</v>
      </c>
      <c r="G63" s="21">
        <v>916.62900000000002</v>
      </c>
      <c r="H63" s="18">
        <f t="shared" si="2"/>
        <v>8704.8000000000229</v>
      </c>
      <c r="I63" s="62"/>
      <c r="J63" s="59"/>
    </row>
    <row r="64" spans="1:10" ht="15.75" x14ac:dyDescent="0.25">
      <c r="A64" s="27" t="s">
        <v>84</v>
      </c>
      <c r="B64" s="138" t="s">
        <v>53</v>
      </c>
      <c r="C64" s="138">
        <v>51097620</v>
      </c>
      <c r="D64" s="138" t="s">
        <v>35</v>
      </c>
      <c r="E64" s="138">
        <v>4800</v>
      </c>
      <c r="F64" s="21">
        <v>457.39100000000002</v>
      </c>
      <c r="G64" s="21">
        <v>460.048</v>
      </c>
      <c r="H64" s="18">
        <f t="shared" si="2"/>
        <v>12753.599999999915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51244.799999999457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38" t="s">
        <v>53</v>
      </c>
      <c r="C67" s="9">
        <v>51259238</v>
      </c>
      <c r="D67" s="74" t="s">
        <v>54</v>
      </c>
      <c r="E67" s="74">
        <v>7000</v>
      </c>
      <c r="F67" s="75">
        <v>500.70800000000003</v>
      </c>
      <c r="G67" s="75">
        <v>503.74</v>
      </c>
      <c r="H67" s="76">
        <f>(G67-F67)*E67</f>
        <v>21223.999999999876</v>
      </c>
      <c r="I67" s="77"/>
      <c r="J67" s="78"/>
    </row>
    <row r="68" spans="1:10" ht="15.75" x14ac:dyDescent="0.25">
      <c r="A68" s="27" t="s">
        <v>87</v>
      </c>
      <c r="B68" s="138" t="s">
        <v>53</v>
      </c>
      <c r="C68" s="138">
        <v>51259324</v>
      </c>
      <c r="D68" s="139" t="s">
        <v>54</v>
      </c>
      <c r="E68" s="139">
        <v>7000</v>
      </c>
      <c r="F68" s="21">
        <v>384.13299999999998</v>
      </c>
      <c r="G68" s="21">
        <v>386.37</v>
      </c>
      <c r="H68" s="18">
        <f>(G68-F68)*E68</f>
        <v>15659.000000000162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38">
        <v>51491618</v>
      </c>
      <c r="D69" s="139" t="s">
        <v>64</v>
      </c>
      <c r="E69" s="138">
        <v>40</v>
      </c>
      <c r="F69" s="28">
        <v>1029.7260000000001</v>
      </c>
      <c r="G69" s="28">
        <v>1041.2819999999999</v>
      </c>
      <c r="H69" s="18">
        <f>(G69-F69)*E69</f>
        <v>462.23999999999251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38">
        <v>51491624</v>
      </c>
      <c r="D70" s="139" t="s">
        <v>64</v>
      </c>
      <c r="E70" s="138">
        <v>40</v>
      </c>
      <c r="F70" s="28">
        <v>138.261</v>
      </c>
      <c r="G70" s="28">
        <v>139.31899999999999</v>
      </c>
      <c r="H70" s="18">
        <f>(G70-F70)*E70</f>
        <v>42.319999999999709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36883.000000000036</v>
      </c>
      <c r="I71" s="85">
        <f>H71-H74-H69-H70</f>
        <v>-689.55999999994128</v>
      </c>
      <c r="J71" s="25">
        <f>I71/H71</f>
        <v>-1.8695876148901679E-2</v>
      </c>
    </row>
    <row r="72" spans="1:10" ht="15.75" x14ac:dyDescent="0.25">
      <c r="A72" s="27" t="s">
        <v>92</v>
      </c>
      <c r="B72" s="138" t="s">
        <v>53</v>
      </c>
      <c r="C72" s="86">
        <v>51097588</v>
      </c>
      <c r="D72" s="139" t="s">
        <v>76</v>
      </c>
      <c r="E72" s="138">
        <v>12000</v>
      </c>
      <c r="F72" s="21">
        <v>301.69299999999998</v>
      </c>
      <c r="G72" s="21">
        <v>303.42399999999998</v>
      </c>
      <c r="H72" s="18">
        <f>(G72-F72)*E72</f>
        <v>20771.999999999935</v>
      </c>
      <c r="I72" s="51"/>
      <c r="J72" s="58"/>
    </row>
    <row r="73" spans="1:10" ht="15.75" x14ac:dyDescent="0.25">
      <c r="A73" s="27" t="s">
        <v>93</v>
      </c>
      <c r="B73" s="138" t="s">
        <v>53</v>
      </c>
      <c r="C73" s="86">
        <v>51431335</v>
      </c>
      <c r="D73" s="139" t="s">
        <v>76</v>
      </c>
      <c r="E73" s="138">
        <v>12000</v>
      </c>
      <c r="F73" s="21">
        <v>235.625</v>
      </c>
      <c r="G73" s="21">
        <v>236.983</v>
      </c>
      <c r="H73" s="18">
        <f>(G73-F73)*E73</f>
        <v>16296.000000000049</v>
      </c>
      <c r="I73" s="51"/>
      <c r="J73" s="58"/>
    </row>
    <row r="74" spans="1:10" ht="15.75" x14ac:dyDescent="0.25">
      <c r="A74" s="87" t="s">
        <v>94</v>
      </c>
      <c r="B74" s="138" t="s">
        <v>28</v>
      </c>
      <c r="C74" s="138"/>
      <c r="D74" s="139"/>
      <c r="E74" s="138"/>
      <c r="F74" s="21"/>
      <c r="G74" s="21"/>
      <c r="H74" s="48">
        <f>H72+ H73</f>
        <v>37067.999999999985</v>
      </c>
      <c r="I74" s="85">
        <f>H74-H82</f>
        <v>-105.60000000020955</v>
      </c>
      <c r="J74" s="25">
        <f>I74/H74</f>
        <v>-2.8488183878334302E-3</v>
      </c>
    </row>
    <row r="75" spans="1:10" ht="15.75" x14ac:dyDescent="0.25">
      <c r="A75" s="27" t="s">
        <v>95</v>
      </c>
      <c r="B75" s="138" t="s">
        <v>53</v>
      </c>
      <c r="C75" s="86">
        <v>51097676</v>
      </c>
      <c r="D75" s="88" t="s">
        <v>64</v>
      </c>
      <c r="E75" s="138">
        <v>2400</v>
      </c>
      <c r="F75" s="21">
        <v>622.33299999999997</v>
      </c>
      <c r="G75" s="21">
        <v>626.43200000000002</v>
      </c>
      <c r="H75" s="18">
        <f>(G75-F75)*E75</f>
        <v>9837.6000000001113</v>
      </c>
      <c r="I75" s="51"/>
      <c r="J75" s="58"/>
    </row>
    <row r="76" spans="1:10" ht="15.75" x14ac:dyDescent="0.25">
      <c r="A76" s="27" t="s">
        <v>96</v>
      </c>
      <c r="B76" s="138" t="s">
        <v>53</v>
      </c>
      <c r="C76" s="86">
        <v>51431355</v>
      </c>
      <c r="D76" s="139" t="s">
        <v>22</v>
      </c>
      <c r="E76" s="139">
        <v>3600</v>
      </c>
      <c r="F76" s="21">
        <v>335.8</v>
      </c>
      <c r="G76" s="21">
        <v>337.29199999999997</v>
      </c>
      <c r="H76" s="18">
        <f>(G76-F76)*E76</f>
        <v>5371.1999999998625</v>
      </c>
      <c r="I76" s="51"/>
      <c r="J76" s="52"/>
    </row>
    <row r="77" spans="1:10" ht="15.75" x14ac:dyDescent="0.25">
      <c r="A77" s="27" t="s">
        <v>97</v>
      </c>
      <c r="B77" s="138" t="s">
        <v>53</v>
      </c>
      <c r="C77" s="86">
        <v>51259331</v>
      </c>
      <c r="D77" s="88" t="s">
        <v>38</v>
      </c>
      <c r="E77" s="138">
        <v>600</v>
      </c>
      <c r="F77" s="21">
        <v>145.786</v>
      </c>
      <c r="G77" s="21">
        <v>146.81399999999999</v>
      </c>
      <c r="H77" s="18">
        <f>(G77-F77)*E77</f>
        <v>616.79999999999495</v>
      </c>
      <c r="I77" s="51"/>
      <c r="J77" s="52"/>
    </row>
    <row r="78" spans="1:10" ht="15.75" x14ac:dyDescent="0.25">
      <c r="A78" s="27" t="s">
        <v>98</v>
      </c>
      <c r="B78" s="138" t="s">
        <v>53</v>
      </c>
      <c r="C78" s="86">
        <v>51259326</v>
      </c>
      <c r="D78" s="88" t="s">
        <v>15</v>
      </c>
      <c r="E78" s="138">
        <v>7200</v>
      </c>
      <c r="F78" s="21">
        <v>300</v>
      </c>
      <c r="G78" s="21">
        <v>301.53300000000002</v>
      </c>
      <c r="H78" s="18">
        <f>(G78-F78)*E78</f>
        <v>11037.600000000111</v>
      </c>
      <c r="I78" s="51"/>
      <c r="J78" s="52"/>
    </row>
    <row r="79" spans="1:10" ht="15.75" x14ac:dyDescent="0.25">
      <c r="A79" s="27" t="s">
        <v>99</v>
      </c>
      <c r="B79" s="138" t="s">
        <v>53</v>
      </c>
      <c r="C79" s="86">
        <v>51431351</v>
      </c>
      <c r="D79" s="88" t="s">
        <v>15</v>
      </c>
      <c r="E79" s="138">
        <v>7200</v>
      </c>
      <c r="F79" s="21">
        <v>209.70699999999999</v>
      </c>
      <c r="G79" s="21">
        <v>211.13900000000001</v>
      </c>
      <c r="H79" s="18">
        <f>(G79-F79)*E79</f>
        <v>10310.400000000118</v>
      </c>
      <c r="I79" s="51"/>
      <c r="J79" s="52"/>
    </row>
    <row r="80" spans="1:10" ht="15.75" x14ac:dyDescent="0.25">
      <c r="A80" s="89" t="s">
        <v>100</v>
      </c>
      <c r="B80" s="138" t="s">
        <v>53</v>
      </c>
      <c r="C80" s="90">
        <v>51097666</v>
      </c>
      <c r="D80" s="88" t="s">
        <v>64</v>
      </c>
      <c r="E80" s="138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38" t="s">
        <v>53</v>
      </c>
      <c r="C81" s="90">
        <v>51259323</v>
      </c>
      <c r="D81" s="88" t="s">
        <v>64</v>
      </c>
      <c r="E81" s="138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37173.600000000195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38" t="s">
        <v>53</v>
      </c>
      <c r="C84" s="106">
        <v>51431297</v>
      </c>
      <c r="D84" s="139" t="s">
        <v>54</v>
      </c>
      <c r="E84" s="100">
        <v>7000</v>
      </c>
      <c r="F84" s="17">
        <v>244.99600000000001</v>
      </c>
      <c r="G84" s="17">
        <v>245.84200000000001</v>
      </c>
      <c r="H84" s="18">
        <f>(G84-F84)*E84</f>
        <v>5922.0000000000255</v>
      </c>
      <c r="I84" s="107"/>
      <c r="J84" s="108"/>
    </row>
    <row r="85" spans="1:10" ht="15.75" x14ac:dyDescent="0.25">
      <c r="A85" s="105" t="s">
        <v>87</v>
      </c>
      <c r="B85" s="138" t="s">
        <v>53</v>
      </c>
      <c r="C85" s="106">
        <v>51431332</v>
      </c>
      <c r="D85" s="139" t="s">
        <v>54</v>
      </c>
      <c r="E85" s="100">
        <v>7000</v>
      </c>
      <c r="F85" s="21">
        <v>334.26100000000002</v>
      </c>
      <c r="G85" s="21">
        <v>336.01799999999997</v>
      </c>
      <c r="H85" s="18">
        <f>(G85-F85)*E85</f>
        <v>12298.999999999636</v>
      </c>
      <c r="I85" s="138"/>
      <c r="J85" s="58"/>
    </row>
    <row r="86" spans="1:10" ht="15.75" x14ac:dyDescent="0.25">
      <c r="A86" s="27" t="s">
        <v>88</v>
      </c>
      <c r="B86" s="138" t="s">
        <v>104</v>
      </c>
      <c r="C86" s="109">
        <v>150773</v>
      </c>
      <c r="D86" s="139" t="s">
        <v>54</v>
      </c>
      <c r="E86" s="109">
        <v>20</v>
      </c>
      <c r="F86" s="17">
        <v>15481.4</v>
      </c>
      <c r="G86" s="17">
        <v>15490.1</v>
      </c>
      <c r="H86" s="18">
        <f>(G86-F86)*E86</f>
        <v>174.00000000001455</v>
      </c>
      <c r="I86" s="51"/>
      <c r="J86" s="58"/>
    </row>
    <row r="87" spans="1:10" ht="15.75" x14ac:dyDescent="0.25">
      <c r="A87" s="27" t="s">
        <v>90</v>
      </c>
      <c r="B87" s="138" t="s">
        <v>104</v>
      </c>
      <c r="C87" s="109">
        <v>150791</v>
      </c>
      <c r="D87" s="139" t="s">
        <v>54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40"/>
      <c r="C88" s="32"/>
      <c r="D88" s="82"/>
      <c r="E88" s="82"/>
      <c r="F88" s="21"/>
      <c r="G88" s="21"/>
      <c r="H88" s="48">
        <f>H84+H85</f>
        <v>18220.999999999662</v>
      </c>
      <c r="I88" s="85">
        <f>H88-H91-H86-H87</f>
        <v>435.79999999973006</v>
      </c>
      <c r="J88" s="25">
        <f>I88/H88</f>
        <v>2.3917457878257952E-2</v>
      </c>
    </row>
    <row r="89" spans="1:10" ht="15.75" x14ac:dyDescent="0.25">
      <c r="A89" s="27" t="s">
        <v>105</v>
      </c>
      <c r="B89" s="138" t="s">
        <v>53</v>
      </c>
      <c r="C89" s="106">
        <v>51431342</v>
      </c>
      <c r="D89" s="88" t="s">
        <v>35</v>
      </c>
      <c r="E89" s="138">
        <v>4800</v>
      </c>
      <c r="F89" s="21">
        <v>347.06599999999997</v>
      </c>
      <c r="G89" s="21">
        <v>348.27</v>
      </c>
      <c r="H89" s="18">
        <f>(G89-F89)*E89</f>
        <v>5779.2000000000371</v>
      </c>
      <c r="I89" s="51"/>
      <c r="J89" s="52"/>
    </row>
    <row r="90" spans="1:10" ht="15.75" x14ac:dyDescent="0.25">
      <c r="A90" s="27" t="s">
        <v>106</v>
      </c>
      <c r="B90" s="138" t="s">
        <v>53</v>
      </c>
      <c r="C90" s="106">
        <v>51431343</v>
      </c>
      <c r="D90" s="88" t="s">
        <v>35</v>
      </c>
      <c r="E90" s="138">
        <v>4800</v>
      </c>
      <c r="F90" s="21">
        <v>473.08300000000003</v>
      </c>
      <c r="G90" s="21">
        <v>475.548</v>
      </c>
      <c r="H90" s="18">
        <f>(G90-F90)*E90</f>
        <v>11831.99999999988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17611.199999999917</v>
      </c>
      <c r="I91" s="85">
        <f>H91-H99</f>
        <v>-150.00000000005457</v>
      </c>
      <c r="J91" s="25">
        <f>I91/H91</f>
        <v>-8.5173071681688521E-3</v>
      </c>
    </row>
    <row r="92" spans="1:10" ht="15.75" x14ac:dyDescent="0.25">
      <c r="A92" s="27" t="s">
        <v>108</v>
      </c>
      <c r="B92" s="138" t="s">
        <v>53</v>
      </c>
      <c r="C92" s="106">
        <v>51431347</v>
      </c>
      <c r="D92" s="139" t="s">
        <v>54</v>
      </c>
      <c r="E92" s="138">
        <v>1200</v>
      </c>
      <c r="F92" s="21">
        <v>1091.0519999999999</v>
      </c>
      <c r="G92" s="21">
        <v>1099.5039999999999</v>
      </c>
      <c r="H92" s="18">
        <f t="shared" ref="H92:H100" si="4">(G92-F92)*E92</f>
        <v>10142.399999999998</v>
      </c>
      <c r="I92" s="51"/>
      <c r="J92" s="52"/>
    </row>
    <row r="93" spans="1:10" ht="15.75" x14ac:dyDescent="0.25">
      <c r="A93" s="27" t="s">
        <v>109</v>
      </c>
      <c r="B93" s="138" t="s">
        <v>53</v>
      </c>
      <c r="C93" s="106">
        <v>51431339</v>
      </c>
      <c r="D93" s="139" t="s">
        <v>54</v>
      </c>
      <c r="E93" s="138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38" t="s">
        <v>53</v>
      </c>
      <c r="C94" s="106">
        <v>51217244</v>
      </c>
      <c r="D94" s="138" t="s">
        <v>38</v>
      </c>
      <c r="E94" s="138">
        <v>600</v>
      </c>
      <c r="F94" s="30">
        <v>300.80799999999999</v>
      </c>
      <c r="G94" s="30">
        <v>303.512</v>
      </c>
      <c r="H94" s="18">
        <f t="shared" si="4"/>
        <v>1622.4000000000046</v>
      </c>
      <c r="I94" s="51"/>
      <c r="J94" s="52"/>
    </row>
    <row r="95" spans="1:10" ht="15.75" x14ac:dyDescent="0.25">
      <c r="A95" s="27" t="s">
        <v>111</v>
      </c>
      <c r="B95" s="138" t="s">
        <v>53</v>
      </c>
      <c r="C95" s="106">
        <v>51217267</v>
      </c>
      <c r="D95" s="88" t="s">
        <v>64</v>
      </c>
      <c r="E95" s="138">
        <v>2400</v>
      </c>
      <c r="F95" s="30">
        <v>19.605</v>
      </c>
      <c r="G95" s="30">
        <v>19.635999999999999</v>
      </c>
      <c r="H95" s="18">
        <f t="shared" si="4"/>
        <v>74.399999999997135</v>
      </c>
      <c r="I95" s="51"/>
      <c r="J95" s="52"/>
    </row>
    <row r="96" spans="1:10" ht="15.75" x14ac:dyDescent="0.25">
      <c r="A96" s="27" t="s">
        <v>112</v>
      </c>
      <c r="B96" s="138" t="s">
        <v>53</v>
      </c>
      <c r="C96" s="138">
        <v>51555165</v>
      </c>
      <c r="D96" s="139" t="s">
        <v>54</v>
      </c>
      <c r="E96" s="138">
        <v>1200</v>
      </c>
      <c r="F96" s="30">
        <v>771.62699999999995</v>
      </c>
      <c r="G96" s="30">
        <v>771.62699999999995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38" t="s">
        <v>53</v>
      </c>
      <c r="C97" s="106">
        <v>51431346</v>
      </c>
      <c r="D97" s="114" t="s">
        <v>38</v>
      </c>
      <c r="E97" s="114">
        <v>600</v>
      </c>
      <c r="F97" s="30">
        <v>319.00099999999998</v>
      </c>
      <c r="G97" s="30">
        <v>319.41899999999998</v>
      </c>
      <c r="H97" s="115">
        <f t="shared" si="4"/>
        <v>250.80000000000382</v>
      </c>
      <c r="I97" s="116"/>
      <c r="J97" s="117"/>
    </row>
    <row r="98" spans="1:10" ht="15.75" x14ac:dyDescent="0.25">
      <c r="A98" s="27" t="s">
        <v>114</v>
      </c>
      <c r="B98" s="138" t="s">
        <v>53</v>
      </c>
      <c r="C98" s="106">
        <v>51431352</v>
      </c>
      <c r="D98" s="88" t="s">
        <v>22</v>
      </c>
      <c r="E98" s="138">
        <v>3600</v>
      </c>
      <c r="F98" s="21">
        <v>193.03100000000001</v>
      </c>
      <c r="G98" s="21">
        <v>194.55799999999999</v>
      </c>
      <c r="H98" s="18">
        <f t="shared" si="4"/>
        <v>5497.1999999999525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17761.199999999972</v>
      </c>
      <c r="I99" s="51"/>
      <c r="J99" s="52"/>
    </row>
    <row r="100" spans="1:10" ht="15.75" x14ac:dyDescent="0.25">
      <c r="A100" s="45" t="s">
        <v>115</v>
      </c>
      <c r="B100" s="138" t="s">
        <v>53</v>
      </c>
      <c r="C100" s="120">
        <v>51431357</v>
      </c>
      <c r="D100" s="139" t="s">
        <v>64</v>
      </c>
      <c r="E100" s="139">
        <v>14000</v>
      </c>
      <c r="F100" s="28">
        <v>761.05499999999995</v>
      </c>
      <c r="G100" s="28">
        <v>764.952</v>
      </c>
      <c r="H100" s="121">
        <f t="shared" si="4"/>
        <v>54558.000000000677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A58" zoomScale="85" zoomScaleNormal="85" workbookViewId="0">
      <selection activeCell="H69" sqref="H69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123</v>
      </c>
      <c r="G3" s="4" t="s">
        <v>124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41" t="s">
        <v>14</v>
      </c>
      <c r="C5" s="141">
        <v>51555166</v>
      </c>
      <c r="D5" s="141" t="s">
        <v>15</v>
      </c>
      <c r="E5" s="141">
        <v>132000</v>
      </c>
      <c r="F5" s="17">
        <v>2.911</v>
      </c>
      <c r="G5" s="17">
        <v>2.923</v>
      </c>
      <c r="H5" s="18">
        <f>(G5-F5)*E5</f>
        <v>1584.0000000000014</v>
      </c>
      <c r="I5" s="19"/>
      <c r="J5" s="20"/>
    </row>
    <row r="6" spans="1:10" ht="15.75" x14ac:dyDescent="0.25">
      <c r="A6" s="15" t="s">
        <v>16</v>
      </c>
      <c r="B6" s="141" t="s">
        <v>14</v>
      </c>
      <c r="C6" s="141">
        <v>51555191</v>
      </c>
      <c r="D6" s="141" t="s">
        <v>15</v>
      </c>
      <c r="E6" s="141">
        <v>132000</v>
      </c>
      <c r="F6" s="21">
        <v>330.58699999999999</v>
      </c>
      <c r="G6" s="21">
        <v>332.57299999999998</v>
      </c>
      <c r="H6" s="18">
        <f>(G6-F6)*E6</f>
        <v>262151.99999999866</v>
      </c>
      <c r="I6" s="19"/>
      <c r="J6" s="20"/>
    </row>
    <row r="7" spans="1:10" ht="15.75" x14ac:dyDescent="0.25">
      <c r="A7" s="207" t="s">
        <v>17</v>
      </c>
      <c r="B7" s="208"/>
      <c r="C7" s="141"/>
      <c r="D7" s="142"/>
      <c r="E7" s="141"/>
      <c r="H7" s="23">
        <f>H5+H6</f>
        <v>263735.99999999866</v>
      </c>
      <c r="I7" s="24">
        <f>H7-H10-H20</f>
        <v>2088.0000000000873</v>
      </c>
      <c r="J7" s="25">
        <f>I7/H7</f>
        <v>7.917007917008289E-3</v>
      </c>
    </row>
    <row r="8" spans="1:10" ht="15.75" x14ac:dyDescent="0.25">
      <c r="A8" s="26" t="s">
        <v>18</v>
      </c>
      <c r="B8" s="141" t="s">
        <v>14</v>
      </c>
      <c r="C8" s="141">
        <v>51097629</v>
      </c>
      <c r="D8" s="142" t="s">
        <v>15</v>
      </c>
      <c r="E8" s="141">
        <v>42000</v>
      </c>
      <c r="F8" s="21">
        <v>1011.8150000000001</v>
      </c>
      <c r="G8" s="21">
        <v>1016.212</v>
      </c>
      <c r="H8" s="18">
        <f>(G8-F8)*E8</f>
        <v>184673.99999999726</v>
      </c>
      <c r="I8" s="19"/>
      <c r="J8" s="20"/>
    </row>
    <row r="9" spans="1:10" ht="15.75" x14ac:dyDescent="0.25">
      <c r="A9" s="26" t="s">
        <v>19</v>
      </c>
      <c r="B9" s="141" t="s">
        <v>14</v>
      </c>
      <c r="C9" s="141">
        <v>51616820</v>
      </c>
      <c r="D9" s="142" t="s">
        <v>15</v>
      </c>
      <c r="E9" s="141">
        <v>42000</v>
      </c>
      <c r="F9" s="21">
        <v>4.9740000000000002</v>
      </c>
      <c r="G9" s="21">
        <v>4.9989999999999997</v>
      </c>
      <c r="H9" s="18">
        <f>(G9-F9)*E9</f>
        <v>1049.9999999999777</v>
      </c>
      <c r="I9" s="19"/>
      <c r="J9" s="20"/>
    </row>
    <row r="10" spans="1:10" ht="15.75" x14ac:dyDescent="0.25">
      <c r="A10" s="207" t="s">
        <v>20</v>
      </c>
      <c r="B10" s="208"/>
      <c r="C10" s="141"/>
      <c r="D10" s="142"/>
      <c r="E10" s="141"/>
      <c r="F10" s="21"/>
      <c r="G10" s="21"/>
      <c r="H10" s="23">
        <f>H8+H9</f>
        <v>185723.99999999724</v>
      </c>
      <c r="I10" s="24">
        <f>H10-H17</f>
        <v>83.999999995721737</v>
      </c>
      <c r="J10" s="25">
        <f>I10/H10</f>
        <v>4.5228403435055773E-4</v>
      </c>
    </row>
    <row r="11" spans="1:10" ht="15.75" x14ac:dyDescent="0.25">
      <c r="A11" s="27" t="s">
        <v>21</v>
      </c>
      <c r="B11" s="141" t="s">
        <v>14</v>
      </c>
      <c r="C11" s="141">
        <v>51217286</v>
      </c>
      <c r="D11" s="142" t="s">
        <v>22</v>
      </c>
      <c r="E11" s="141">
        <v>21000</v>
      </c>
      <c r="F11" s="21">
        <v>801.94</v>
      </c>
      <c r="G11" s="21">
        <v>805.21900000000005</v>
      </c>
      <c r="H11" s="18">
        <f t="shared" ref="H11:H16" si="0">(G11-F11)*E11</f>
        <v>68858.999999999927</v>
      </c>
      <c r="I11" s="19"/>
      <c r="J11" s="20"/>
    </row>
    <row r="12" spans="1:10" ht="15.75" x14ac:dyDescent="0.25">
      <c r="A12" s="27" t="s">
        <v>23</v>
      </c>
      <c r="B12" s="141" t="s">
        <v>14</v>
      </c>
      <c r="C12" s="141">
        <v>51217292</v>
      </c>
      <c r="D12" s="142" t="s">
        <v>22</v>
      </c>
      <c r="E12" s="141">
        <v>21000</v>
      </c>
      <c r="F12" s="28">
        <v>3.411</v>
      </c>
      <c r="G12" s="28">
        <v>3.4350000000000001</v>
      </c>
      <c r="H12" s="18">
        <f>(G12-F12)*E12</f>
        <v>504.00000000000045</v>
      </c>
      <c r="I12" s="19"/>
      <c r="J12" s="20"/>
    </row>
    <row r="13" spans="1:10" ht="15.75" x14ac:dyDescent="0.25">
      <c r="A13" s="27" t="s">
        <v>24</v>
      </c>
      <c r="B13" s="141" t="s">
        <v>14</v>
      </c>
      <c r="C13" s="141">
        <v>51217271</v>
      </c>
      <c r="D13" s="142" t="s">
        <v>22</v>
      </c>
      <c r="E13" s="141">
        <v>21000</v>
      </c>
      <c r="F13" s="21">
        <v>586.97799999999995</v>
      </c>
      <c r="G13" s="21">
        <v>589.57600000000002</v>
      </c>
      <c r="H13" s="18">
        <f t="shared" si="0"/>
        <v>54558.00000000147</v>
      </c>
      <c r="I13" s="19"/>
      <c r="J13" s="20"/>
    </row>
    <row r="14" spans="1:10" ht="15.75" x14ac:dyDescent="0.25">
      <c r="A14" s="27" t="s">
        <v>25</v>
      </c>
      <c r="B14" s="141" t="s">
        <v>14</v>
      </c>
      <c r="C14" s="141">
        <v>51217276</v>
      </c>
      <c r="D14" s="142" t="s">
        <v>22</v>
      </c>
      <c r="E14" s="141">
        <v>21000</v>
      </c>
      <c r="F14" s="28">
        <v>0.497</v>
      </c>
      <c r="G14" s="28">
        <v>0.50600000000000001</v>
      </c>
      <c r="H14" s="18">
        <f>(G14-F14)*E14</f>
        <v>189.00000000000017</v>
      </c>
      <c r="I14" s="19"/>
      <c r="J14" s="20"/>
    </row>
    <row r="15" spans="1:10" ht="15.75" x14ac:dyDescent="0.25">
      <c r="A15" s="27" t="s">
        <v>26</v>
      </c>
      <c r="B15" s="141" t="s">
        <v>14</v>
      </c>
      <c r="C15" s="141">
        <v>51100990</v>
      </c>
      <c r="D15" s="142" t="s">
        <v>22</v>
      </c>
      <c r="E15" s="141">
        <v>21000</v>
      </c>
      <c r="F15" s="29">
        <v>640.46600000000001</v>
      </c>
      <c r="G15" s="29">
        <v>643.38400000000001</v>
      </c>
      <c r="H15" s="18">
        <f t="shared" si="0"/>
        <v>61278.000000000131</v>
      </c>
      <c r="I15" s="19"/>
      <c r="J15" s="20"/>
    </row>
    <row r="16" spans="1:10" ht="15.75" x14ac:dyDescent="0.25">
      <c r="A16" s="27" t="s">
        <v>27</v>
      </c>
      <c r="B16" s="141" t="s">
        <v>14</v>
      </c>
      <c r="C16" s="141">
        <v>51097622</v>
      </c>
      <c r="D16" s="142" t="s">
        <v>22</v>
      </c>
      <c r="E16" s="141">
        <v>21000</v>
      </c>
      <c r="F16" s="21">
        <v>2.8130000000000002</v>
      </c>
      <c r="G16" s="21">
        <v>2.8250000000000002</v>
      </c>
      <c r="H16" s="18">
        <f t="shared" si="0"/>
        <v>252.00000000000023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41"/>
      <c r="D17" s="142"/>
      <c r="E17" s="141"/>
      <c r="F17" s="21"/>
      <c r="G17" s="21"/>
      <c r="H17" s="23">
        <f>H11+H12+H13+H14+H15+H16</f>
        <v>185640.00000000151</v>
      </c>
      <c r="I17" s="19"/>
      <c r="J17" s="20"/>
    </row>
    <row r="18" spans="1:10" ht="15.75" x14ac:dyDescent="0.25">
      <c r="A18" s="26" t="s">
        <v>30</v>
      </c>
      <c r="B18" s="141" t="s">
        <v>14</v>
      </c>
      <c r="C18" s="141">
        <v>51097617</v>
      </c>
      <c r="D18" s="142" t="s">
        <v>31</v>
      </c>
      <c r="E18" s="141">
        <v>18000</v>
      </c>
      <c r="F18" s="30">
        <v>768.61699999999996</v>
      </c>
      <c r="G18" s="30">
        <v>772.83500000000004</v>
      </c>
      <c r="H18" s="18">
        <f>(G18-F18)*E18</f>
        <v>75924.000000001339</v>
      </c>
      <c r="I18" s="19"/>
      <c r="J18" s="20"/>
    </row>
    <row r="19" spans="1:10" ht="15.75" x14ac:dyDescent="0.25">
      <c r="A19" s="26" t="s">
        <v>32</v>
      </c>
      <c r="B19" s="141" t="s">
        <v>14</v>
      </c>
      <c r="C19" s="141">
        <v>51097655</v>
      </c>
      <c r="D19" s="142" t="s">
        <v>31</v>
      </c>
      <c r="E19" s="141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41"/>
      <c r="D20" s="142"/>
      <c r="E20" s="141"/>
      <c r="F20" s="30"/>
      <c r="G20" s="30"/>
      <c r="H20" s="23">
        <f>H18+H19</f>
        <v>75924.000000001339</v>
      </c>
      <c r="I20" s="24">
        <f>H20-H35</f>
        <v>3248.4000000011583</v>
      </c>
      <c r="J20" s="25">
        <f>I20/H20</f>
        <v>4.2784890153325705E-2</v>
      </c>
    </row>
    <row r="21" spans="1:10" ht="15.75" x14ac:dyDescent="0.25">
      <c r="A21" s="15" t="s">
        <v>34</v>
      </c>
      <c r="B21" s="141" t="s">
        <v>14</v>
      </c>
      <c r="C21" s="141">
        <v>51217282</v>
      </c>
      <c r="D21" s="142" t="s">
        <v>35</v>
      </c>
      <c r="E21" s="141">
        <v>4800</v>
      </c>
      <c r="F21" s="21">
        <v>379.48599999999999</v>
      </c>
      <c r="G21" s="21">
        <v>379.529</v>
      </c>
      <c r="H21" s="18">
        <f t="shared" ref="H21:H34" si="1">(G21-F21)*E21</f>
        <v>206.40000000003056</v>
      </c>
      <c r="I21" s="19" t="s">
        <v>28</v>
      </c>
      <c r="J21" s="20"/>
    </row>
    <row r="22" spans="1:10" ht="15.75" x14ac:dyDescent="0.25">
      <c r="A22" s="15" t="s">
        <v>36</v>
      </c>
      <c r="B22" s="141" t="s">
        <v>14</v>
      </c>
      <c r="C22" s="141">
        <v>51217274</v>
      </c>
      <c r="D22" s="142" t="s">
        <v>35</v>
      </c>
      <c r="E22" s="141">
        <v>4800</v>
      </c>
      <c r="F22" s="21">
        <v>1209.6099999999999</v>
      </c>
      <c r="G22" s="21">
        <v>1215.646</v>
      </c>
      <c r="H22" s="18">
        <f t="shared" si="1"/>
        <v>28972.800000000279</v>
      </c>
      <c r="I22" s="19"/>
      <c r="J22" s="20"/>
    </row>
    <row r="23" spans="1:10" ht="15.75" x14ac:dyDescent="0.25">
      <c r="A23" s="15" t="s">
        <v>37</v>
      </c>
      <c r="B23" s="141" t="s">
        <v>14</v>
      </c>
      <c r="C23" s="141">
        <v>51097664</v>
      </c>
      <c r="D23" s="142" t="s">
        <v>38</v>
      </c>
      <c r="E23" s="141">
        <v>600</v>
      </c>
      <c r="F23" s="21">
        <v>4.4089999999999998</v>
      </c>
      <c r="G23" s="21">
        <v>4.4269999999999996</v>
      </c>
      <c r="H23" s="18">
        <f t="shared" si="1"/>
        <v>10.799999999999876</v>
      </c>
      <c r="I23" s="19"/>
      <c r="J23" s="20"/>
    </row>
    <row r="24" spans="1:10" ht="15.75" x14ac:dyDescent="0.25">
      <c r="A24" s="15" t="s">
        <v>39</v>
      </c>
      <c r="B24" s="141" t="s">
        <v>14</v>
      </c>
      <c r="C24" s="141">
        <v>51097615</v>
      </c>
      <c r="D24" s="142" t="s">
        <v>38</v>
      </c>
      <c r="E24" s="141">
        <v>600</v>
      </c>
      <c r="F24" s="21">
        <v>36.338999999999999</v>
      </c>
      <c r="G24" s="21">
        <v>36.61</v>
      </c>
      <c r="H24" s="18">
        <f t="shared" si="1"/>
        <v>162.60000000000048</v>
      </c>
      <c r="I24" s="19"/>
      <c r="J24" s="20"/>
    </row>
    <row r="25" spans="1:10" ht="15.75" x14ac:dyDescent="0.25">
      <c r="A25" s="15" t="s">
        <v>40</v>
      </c>
      <c r="B25" s="141" t="s">
        <v>14</v>
      </c>
      <c r="C25" s="141">
        <v>51217264</v>
      </c>
      <c r="D25" s="142" t="s">
        <v>38</v>
      </c>
      <c r="E25" s="141">
        <v>600</v>
      </c>
      <c r="F25" s="21">
        <v>88.03</v>
      </c>
      <c r="G25" s="21">
        <v>88.710999999999999</v>
      </c>
      <c r="H25" s="18">
        <f t="shared" si="1"/>
        <v>408.59999999999843</v>
      </c>
      <c r="I25" s="19"/>
      <c r="J25" s="20"/>
    </row>
    <row r="26" spans="1:10" ht="15.75" x14ac:dyDescent="0.25">
      <c r="A26" s="15" t="s">
        <v>41</v>
      </c>
      <c r="B26" s="141" t="s">
        <v>14</v>
      </c>
      <c r="C26" s="141">
        <v>51217288</v>
      </c>
      <c r="D26" s="142" t="s">
        <v>38</v>
      </c>
      <c r="E26" s="141">
        <v>600</v>
      </c>
      <c r="F26" s="21">
        <v>19.747</v>
      </c>
      <c r="G26" s="21">
        <v>19.777999999999999</v>
      </c>
      <c r="H26" s="18">
        <f t="shared" si="1"/>
        <v>18.599999999999284</v>
      </c>
      <c r="I26" s="19" t="s">
        <v>28</v>
      </c>
      <c r="J26" s="20"/>
    </row>
    <row r="27" spans="1:10" ht="15.75" x14ac:dyDescent="0.25">
      <c r="A27" s="15" t="s">
        <v>42</v>
      </c>
      <c r="B27" s="141" t="s">
        <v>14</v>
      </c>
      <c r="C27" s="141">
        <v>51217279</v>
      </c>
      <c r="D27" s="142" t="s">
        <v>38</v>
      </c>
      <c r="E27" s="141">
        <v>600</v>
      </c>
      <c r="F27" s="21">
        <v>14.028</v>
      </c>
      <c r="G27" s="21">
        <v>14.081</v>
      </c>
      <c r="H27" s="18">
        <f t="shared" si="1"/>
        <v>31.799999999999429</v>
      </c>
      <c r="I27" s="19" t="s">
        <v>28</v>
      </c>
      <c r="J27" s="20"/>
    </row>
    <row r="28" spans="1:10" ht="15.75" x14ac:dyDescent="0.25">
      <c r="A28" s="15" t="s">
        <v>43</v>
      </c>
      <c r="B28" s="141" t="s">
        <v>14</v>
      </c>
      <c r="C28" s="141">
        <v>51217272</v>
      </c>
      <c r="D28" s="142" t="s">
        <v>38</v>
      </c>
      <c r="E28" s="141">
        <v>600</v>
      </c>
      <c r="F28" s="31">
        <v>13.760999999999999</v>
      </c>
      <c r="G28" s="31">
        <v>13.813000000000001</v>
      </c>
      <c r="H28" s="18">
        <f t="shared" si="1"/>
        <v>31.200000000000827</v>
      </c>
      <c r="I28" s="19"/>
      <c r="J28" s="20"/>
    </row>
    <row r="29" spans="1:10" ht="15.75" x14ac:dyDescent="0.25">
      <c r="A29" s="15" t="s">
        <v>44</v>
      </c>
      <c r="B29" s="141" t="s">
        <v>14</v>
      </c>
      <c r="C29" s="141">
        <v>51616744</v>
      </c>
      <c r="D29" s="142">
        <f>300/5</f>
        <v>60</v>
      </c>
      <c r="E29" s="141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41" t="s">
        <v>14</v>
      </c>
      <c r="C30" s="141">
        <v>51555226</v>
      </c>
      <c r="D30" s="142">
        <f>300/5</f>
        <v>60</v>
      </c>
      <c r="E30" s="141">
        <v>3600</v>
      </c>
      <c r="F30" s="31">
        <v>422.83800000000002</v>
      </c>
      <c r="G30" s="31">
        <v>426.92</v>
      </c>
      <c r="H30" s="18">
        <f>(G30-F30)*E30</f>
        <v>14695.199999999977</v>
      </c>
      <c r="I30" s="19"/>
      <c r="J30" s="20"/>
    </row>
    <row r="31" spans="1:10" ht="15.75" x14ac:dyDescent="0.25">
      <c r="A31" s="15" t="s">
        <v>46</v>
      </c>
      <c r="B31" s="141" t="s">
        <v>14</v>
      </c>
      <c r="C31" s="141">
        <v>51097658</v>
      </c>
      <c r="D31" s="142" t="s">
        <v>35</v>
      </c>
      <c r="E31" s="141">
        <v>4800</v>
      </c>
      <c r="F31" s="31">
        <v>587.92700000000002</v>
      </c>
      <c r="G31" s="31">
        <v>591.197</v>
      </c>
      <c r="H31" s="18">
        <f t="shared" si="1"/>
        <v>15695.999999999913</v>
      </c>
      <c r="I31" s="19"/>
      <c r="J31" s="20"/>
    </row>
    <row r="32" spans="1:10" ht="15.75" x14ac:dyDescent="0.25">
      <c r="A32" s="15" t="s">
        <v>47</v>
      </c>
      <c r="B32" s="141" t="s">
        <v>14</v>
      </c>
      <c r="C32" s="141">
        <v>51097635</v>
      </c>
      <c r="D32" s="142" t="s">
        <v>35</v>
      </c>
      <c r="E32" s="141">
        <v>4800</v>
      </c>
      <c r="F32" s="31">
        <v>48.445999999999998</v>
      </c>
      <c r="G32" s="31">
        <v>48.447000000000003</v>
      </c>
      <c r="H32" s="18">
        <f t="shared" si="1"/>
        <v>4.8000000000229193</v>
      </c>
      <c r="I32" s="19"/>
      <c r="J32" s="20"/>
    </row>
    <row r="33" spans="1:10" ht="15.75" x14ac:dyDescent="0.25">
      <c r="A33" s="15" t="s">
        <v>48</v>
      </c>
      <c r="B33" s="141" t="s">
        <v>14</v>
      </c>
      <c r="C33" s="32">
        <v>51097633</v>
      </c>
      <c r="D33" s="142" t="s">
        <v>35</v>
      </c>
      <c r="E33" s="141">
        <v>4800</v>
      </c>
      <c r="F33" s="31">
        <v>133.441</v>
      </c>
      <c r="G33" s="31">
        <v>135.98099999999999</v>
      </c>
      <c r="H33" s="33">
        <f t="shared" si="1"/>
        <v>12191.999999999962</v>
      </c>
      <c r="I33" s="34"/>
      <c r="J33" s="35"/>
    </row>
    <row r="34" spans="1:10" ht="15.75" x14ac:dyDescent="0.25">
      <c r="A34" s="15" t="s">
        <v>49</v>
      </c>
      <c r="B34" s="141" t="s">
        <v>14</v>
      </c>
      <c r="C34" s="32">
        <v>51097662</v>
      </c>
      <c r="D34" s="142" t="s">
        <v>35</v>
      </c>
      <c r="E34" s="141">
        <v>4800</v>
      </c>
      <c r="F34" s="31">
        <v>2.5369999999999999</v>
      </c>
      <c r="G34" s="31">
        <v>2.5880000000000001</v>
      </c>
      <c r="H34" s="33">
        <f t="shared" si="1"/>
        <v>244.80000000000075</v>
      </c>
      <c r="I34" s="34"/>
      <c r="J34" s="35"/>
    </row>
    <row r="35" spans="1:10" ht="15.75" x14ac:dyDescent="0.25">
      <c r="A35" s="207" t="s">
        <v>50</v>
      </c>
      <c r="B35" s="208"/>
      <c r="C35" s="141"/>
      <c r="D35" s="142"/>
      <c r="E35" s="141"/>
      <c r="F35" s="36"/>
      <c r="G35" s="36"/>
      <c r="H35" s="23">
        <f>H21+H22+H23+H24+H25+H26+H27+H28+H29+H30+H31+H32+H33+H34</f>
        <v>72675.60000000018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41" t="s">
        <v>53</v>
      </c>
      <c r="C37" s="141">
        <v>51555209</v>
      </c>
      <c r="D37" s="142" t="s">
        <v>54</v>
      </c>
      <c r="E37" s="141">
        <v>7000</v>
      </c>
      <c r="F37" s="17">
        <v>4.8460000000000001</v>
      </c>
      <c r="G37" s="17">
        <v>4.8979999999999997</v>
      </c>
      <c r="H37" s="41">
        <f>(G37-F37)*E37</f>
        <v>363.99999999999721</v>
      </c>
      <c r="I37" s="42"/>
      <c r="J37" s="14"/>
    </row>
    <row r="38" spans="1:10" ht="15.75" x14ac:dyDescent="0.25">
      <c r="A38" s="15" t="s">
        <v>55</v>
      </c>
      <c r="B38" s="141" t="s">
        <v>53</v>
      </c>
      <c r="C38" s="141">
        <v>51555209</v>
      </c>
      <c r="D38" s="142" t="s">
        <v>54</v>
      </c>
      <c r="E38" s="141">
        <v>7000</v>
      </c>
      <c r="F38" s="21">
        <v>9.4949999999999992</v>
      </c>
      <c r="G38" s="21">
        <v>9.5009999999999994</v>
      </c>
      <c r="H38" s="18">
        <f>(G38-F38)*E38</f>
        <v>42.000000000001592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41" t="s">
        <v>53</v>
      </c>
      <c r="C40" s="141">
        <v>51097674</v>
      </c>
      <c r="D40" s="141" t="s">
        <v>15</v>
      </c>
      <c r="E40" s="141">
        <v>7200</v>
      </c>
      <c r="F40" s="21">
        <v>544.22199999999998</v>
      </c>
      <c r="G40" s="21">
        <v>546.67600000000004</v>
      </c>
      <c r="H40" s="18">
        <f>(G40-F40)*E40</f>
        <v>17668.800000000465</v>
      </c>
      <c r="I40" s="47"/>
      <c r="J40" s="20"/>
    </row>
    <row r="41" spans="1:10" ht="15.75" x14ac:dyDescent="0.25">
      <c r="A41" s="27" t="s">
        <v>58</v>
      </c>
      <c r="B41" s="141" t="s">
        <v>53</v>
      </c>
      <c r="C41" s="141">
        <v>51259257</v>
      </c>
      <c r="D41" s="141" t="s">
        <v>15</v>
      </c>
      <c r="E41" s="141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41"/>
      <c r="C42" s="141"/>
      <c r="D42" s="141"/>
      <c r="E42" s="141"/>
      <c r="F42" s="21"/>
      <c r="G42" s="21"/>
      <c r="H42" s="48">
        <f>H40+H41</f>
        <v>17668.800000000465</v>
      </c>
      <c r="I42" s="24">
        <f>H42-H50</f>
        <v>-117.19999999959691</v>
      </c>
      <c r="J42" s="25">
        <f>I42/H42</f>
        <v>-6.6331612786150636E-3</v>
      </c>
    </row>
    <row r="43" spans="1:10" ht="15.75" x14ac:dyDescent="0.25">
      <c r="A43" s="15" t="s">
        <v>60</v>
      </c>
      <c r="B43" s="141"/>
      <c r="C43" s="141"/>
      <c r="D43" s="142"/>
      <c r="E43" s="141"/>
      <c r="H43" s="18"/>
      <c r="I43" s="43"/>
      <c r="J43" s="20"/>
    </row>
    <row r="44" spans="1:10" ht="15.75" x14ac:dyDescent="0.25">
      <c r="A44" s="27" t="s">
        <v>61</v>
      </c>
      <c r="B44" s="141" t="s">
        <v>53</v>
      </c>
      <c r="C44" s="32">
        <v>51097648</v>
      </c>
      <c r="D44" s="141" t="s">
        <v>54</v>
      </c>
      <c r="E44" s="141">
        <v>1200</v>
      </c>
      <c r="F44" s="21">
        <v>446.28199999999998</v>
      </c>
      <c r="G44" s="21">
        <v>448.37200000000001</v>
      </c>
      <c r="H44" s="33">
        <f>(G44-F44)*E44</f>
        <v>2508.0000000000382</v>
      </c>
      <c r="I44" s="43"/>
      <c r="J44" s="20"/>
    </row>
    <row r="45" spans="1:10" ht="15.75" x14ac:dyDescent="0.25">
      <c r="A45" s="27" t="s">
        <v>62</v>
      </c>
      <c r="B45" s="141" t="s">
        <v>53</v>
      </c>
      <c r="C45" s="32">
        <v>50555043</v>
      </c>
      <c r="D45" s="141" t="s">
        <v>54</v>
      </c>
      <c r="E45" s="141">
        <v>1200</v>
      </c>
      <c r="F45" s="21">
        <v>1865.1420000000001</v>
      </c>
      <c r="G45" s="21">
        <v>1873.4570000000001</v>
      </c>
      <c r="H45" s="33">
        <f>(G45-F45)*E45</f>
        <v>9978.0000000000655</v>
      </c>
      <c r="I45" s="43"/>
      <c r="J45" s="20"/>
    </row>
    <row r="46" spans="1:10" ht="15.75" x14ac:dyDescent="0.25">
      <c r="A46" s="27" t="s">
        <v>63</v>
      </c>
      <c r="B46" s="141" t="s">
        <v>53</v>
      </c>
      <c r="C46" s="32">
        <v>51259336</v>
      </c>
      <c r="D46" s="141" t="s">
        <v>64</v>
      </c>
      <c r="E46" s="141">
        <v>2400</v>
      </c>
      <c r="F46" s="21">
        <v>3.8479999999999999</v>
      </c>
      <c r="G46" s="21">
        <v>3.8620000000000001</v>
      </c>
      <c r="H46" s="33">
        <f>(G46-F46)*E46</f>
        <v>33.600000000000563</v>
      </c>
      <c r="I46" s="43"/>
      <c r="J46" s="20"/>
    </row>
    <row r="47" spans="1:10" ht="15.75" x14ac:dyDescent="0.25">
      <c r="A47" s="27" t="s">
        <v>65</v>
      </c>
      <c r="B47" s="141" t="s">
        <v>53</v>
      </c>
      <c r="C47" s="32">
        <v>51259266</v>
      </c>
      <c r="D47" s="141" t="s">
        <v>54</v>
      </c>
      <c r="E47" s="141">
        <v>1200</v>
      </c>
      <c r="F47" s="21">
        <v>904.42100000000005</v>
      </c>
      <c r="G47" s="21">
        <v>908.45600000000002</v>
      </c>
      <c r="H47" s="33">
        <f>(G47-F47)*E47</f>
        <v>4841.9999999999618</v>
      </c>
      <c r="I47" s="43"/>
      <c r="J47" s="20"/>
    </row>
    <row r="48" spans="1:10" ht="15.75" x14ac:dyDescent="0.25">
      <c r="A48" s="27" t="s">
        <v>66</v>
      </c>
      <c r="B48" s="141" t="s">
        <v>53</v>
      </c>
      <c r="C48" s="32">
        <v>51431336</v>
      </c>
      <c r="D48" s="141" t="s">
        <v>54</v>
      </c>
      <c r="E48" s="141">
        <v>1200</v>
      </c>
      <c r="F48" s="21">
        <v>50.920999999999999</v>
      </c>
      <c r="G48" s="21">
        <v>51.232999999999997</v>
      </c>
      <c r="H48" s="33">
        <f>(G48-F48)*E48</f>
        <v>374.39999999999714</v>
      </c>
      <c r="I48" s="43"/>
      <c r="J48" s="20"/>
    </row>
    <row r="49" spans="1:10" ht="15.75" x14ac:dyDescent="0.25">
      <c r="A49" s="15" t="s">
        <v>67</v>
      </c>
      <c r="B49" s="141" t="s">
        <v>68</v>
      </c>
      <c r="C49" s="141">
        <v>49174</v>
      </c>
      <c r="D49" s="142" t="s">
        <v>54</v>
      </c>
      <c r="E49" s="141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17786.000000000062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41" t="s">
        <v>53</v>
      </c>
      <c r="C52" s="141">
        <v>51097603</v>
      </c>
      <c r="D52" s="142" t="s">
        <v>54</v>
      </c>
      <c r="E52" s="141">
        <v>7000</v>
      </c>
      <c r="F52" s="17">
        <v>1796.047</v>
      </c>
      <c r="G52" s="17">
        <v>1803.145</v>
      </c>
      <c r="H52" s="18">
        <f>(G52-F52)*E52</f>
        <v>49685.999999999694</v>
      </c>
      <c r="I52" s="43"/>
      <c r="J52" s="20"/>
    </row>
    <row r="53" spans="1:10" ht="15.75" x14ac:dyDescent="0.25">
      <c r="A53" s="27" t="s">
        <v>73</v>
      </c>
      <c r="B53" s="141" t="s">
        <v>53</v>
      </c>
      <c r="C53" s="141">
        <v>51097590</v>
      </c>
      <c r="D53" s="142" t="s">
        <v>54</v>
      </c>
      <c r="E53" s="141">
        <v>7000</v>
      </c>
      <c r="F53" s="21">
        <v>11.212</v>
      </c>
      <c r="G53" s="21">
        <v>11.287000000000001</v>
      </c>
      <c r="H53" s="18">
        <f>(G53-F53)*E53</f>
        <v>525.0000000000075</v>
      </c>
      <c r="I53" s="43"/>
      <c r="J53" s="20"/>
    </row>
    <row r="54" spans="1:10" ht="15.75" x14ac:dyDescent="0.25">
      <c r="A54" s="15" t="s">
        <v>67</v>
      </c>
      <c r="B54" s="141" t="s">
        <v>68</v>
      </c>
      <c r="C54" s="141">
        <v>49174</v>
      </c>
      <c r="D54" s="142" t="s">
        <v>54</v>
      </c>
      <c r="E54" s="141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41"/>
      <c r="D55" s="142"/>
      <c r="E55" s="141"/>
      <c r="F55" s="21"/>
      <c r="G55" s="21"/>
      <c r="H55" s="48">
        <f>H52+H53+H54</f>
        <v>50310.999999999702</v>
      </c>
      <c r="I55" s="47"/>
      <c r="J55" s="59"/>
    </row>
    <row r="56" spans="1:10" ht="15.75" x14ac:dyDescent="0.25">
      <c r="A56" s="27" t="s">
        <v>75</v>
      </c>
      <c r="B56" s="141" t="s">
        <v>53</v>
      </c>
      <c r="C56" s="141">
        <v>51100980</v>
      </c>
      <c r="D56" s="141" t="s">
        <v>76</v>
      </c>
      <c r="E56" s="141">
        <v>12000</v>
      </c>
      <c r="F56" s="21">
        <v>1056.6189999999999</v>
      </c>
      <c r="G56" s="21">
        <v>1060.807</v>
      </c>
      <c r="H56" s="18">
        <f>(G56-F56)*E56</f>
        <v>50256.000000001222</v>
      </c>
      <c r="I56" s="47"/>
      <c r="J56" s="58"/>
    </row>
    <row r="57" spans="1:10" ht="15.75" x14ac:dyDescent="0.25">
      <c r="A57" s="27" t="s">
        <v>77</v>
      </c>
      <c r="B57" s="141" t="s">
        <v>53</v>
      </c>
      <c r="C57" s="141">
        <v>51097623</v>
      </c>
      <c r="D57" s="141" t="s">
        <v>76</v>
      </c>
      <c r="E57" s="141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41"/>
      <c r="C58" s="141"/>
      <c r="D58" s="141"/>
      <c r="E58" s="141"/>
      <c r="F58" s="21"/>
      <c r="G58" s="21"/>
      <c r="H58" s="48">
        <f>H56+H57</f>
        <v>50256.000000001222</v>
      </c>
      <c r="I58" s="61">
        <f>H55-H65-H54</f>
        <v>-144.60000000049331</v>
      </c>
      <c r="J58" s="25">
        <f>I58/H58</f>
        <v>-2.8772683858741205E-3</v>
      </c>
    </row>
    <row r="59" spans="1:10" ht="15.75" x14ac:dyDescent="0.25">
      <c r="A59" s="27" t="s">
        <v>79</v>
      </c>
      <c r="B59" s="141" t="s">
        <v>53</v>
      </c>
      <c r="C59" s="141">
        <v>51097675</v>
      </c>
      <c r="D59" s="141" t="s">
        <v>35</v>
      </c>
      <c r="E59" s="141">
        <v>4800</v>
      </c>
      <c r="F59" s="21">
        <v>447.75</v>
      </c>
      <c r="G59" s="21">
        <v>451.07400000000001</v>
      </c>
      <c r="H59" s="18">
        <f t="shared" ref="H59:H64" si="2">(G59-F59)*E59</f>
        <v>15955.200000000059</v>
      </c>
      <c r="I59" s="62"/>
      <c r="J59" s="59"/>
    </row>
    <row r="60" spans="1:10" ht="15.75" x14ac:dyDescent="0.25">
      <c r="A60" s="27" t="s">
        <v>80</v>
      </c>
      <c r="B60" s="141" t="s">
        <v>53</v>
      </c>
      <c r="C60" s="141">
        <v>51100997</v>
      </c>
      <c r="D60" s="141" t="s">
        <v>22</v>
      </c>
      <c r="E60" s="141">
        <v>3600</v>
      </c>
      <c r="F60" s="21">
        <v>1308.7159999999999</v>
      </c>
      <c r="G60" s="21">
        <v>1311.703</v>
      </c>
      <c r="H60" s="18">
        <f t="shared" si="2"/>
        <v>10753.200000000288</v>
      </c>
      <c r="I60" s="62"/>
      <c r="J60" s="59"/>
    </row>
    <row r="61" spans="1:10" ht="15.75" x14ac:dyDescent="0.25">
      <c r="A61" s="27" t="s">
        <v>81</v>
      </c>
      <c r="B61" s="141" t="s">
        <v>53</v>
      </c>
      <c r="C61" s="141">
        <v>51555218</v>
      </c>
      <c r="D61" s="141">
        <f>400/5</f>
        <v>80</v>
      </c>
      <c r="E61" s="141">
        <v>4800</v>
      </c>
      <c r="F61" s="21">
        <v>53.89</v>
      </c>
      <c r="G61" s="21">
        <v>54.420999999999999</v>
      </c>
      <c r="H61" s="18">
        <f t="shared" si="2"/>
        <v>2548.7999999999943</v>
      </c>
      <c r="I61" s="62"/>
      <c r="J61" s="59"/>
    </row>
    <row r="62" spans="1:10" ht="15.75" x14ac:dyDescent="0.25">
      <c r="A62" s="27" t="s">
        <v>82</v>
      </c>
      <c r="B62" s="141" t="s">
        <v>53</v>
      </c>
      <c r="C62" s="141">
        <v>51555151</v>
      </c>
      <c r="D62" s="141">
        <f>400/5</f>
        <v>80</v>
      </c>
      <c r="E62" s="141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41" t="s">
        <v>53</v>
      </c>
      <c r="C63" s="141">
        <v>51097599</v>
      </c>
      <c r="D63" s="141" t="s">
        <v>22</v>
      </c>
      <c r="E63" s="141">
        <v>3600</v>
      </c>
      <c r="F63" s="21">
        <v>916.62900000000002</v>
      </c>
      <c r="G63" s="21">
        <v>919.03499999999997</v>
      </c>
      <c r="H63" s="18">
        <f t="shared" si="2"/>
        <v>8661.5999999998166</v>
      </c>
      <c r="I63" s="62"/>
      <c r="J63" s="59"/>
    </row>
    <row r="64" spans="1:10" ht="15.75" x14ac:dyDescent="0.25">
      <c r="A64" s="27" t="s">
        <v>84</v>
      </c>
      <c r="B64" s="141" t="s">
        <v>53</v>
      </c>
      <c r="C64" s="141">
        <v>51097620</v>
      </c>
      <c r="D64" s="141" t="s">
        <v>35</v>
      </c>
      <c r="E64" s="141">
        <v>4800</v>
      </c>
      <c r="F64" s="21">
        <v>460.048</v>
      </c>
      <c r="G64" s="21">
        <v>462.63900000000001</v>
      </c>
      <c r="H64" s="18">
        <f t="shared" si="2"/>
        <v>12436.800000000039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50355.600000000195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41" t="s">
        <v>53</v>
      </c>
      <c r="C67" s="9">
        <v>51259238</v>
      </c>
      <c r="D67" s="74" t="s">
        <v>54</v>
      </c>
      <c r="E67" s="74">
        <v>7000</v>
      </c>
      <c r="F67" s="75">
        <v>503.74</v>
      </c>
      <c r="G67" s="75">
        <v>506.67</v>
      </c>
      <c r="H67" s="76">
        <f>(G67-F67)*E67</f>
        <v>20510.000000000047</v>
      </c>
      <c r="I67" s="77"/>
      <c r="J67" s="78"/>
    </row>
    <row r="68" spans="1:10" ht="15.75" x14ac:dyDescent="0.25">
      <c r="A68" s="27" t="s">
        <v>87</v>
      </c>
      <c r="B68" s="141" t="s">
        <v>53</v>
      </c>
      <c r="C68" s="141">
        <v>51259324</v>
      </c>
      <c r="D68" s="142" t="s">
        <v>54</v>
      </c>
      <c r="E68" s="142">
        <v>7000</v>
      </c>
      <c r="F68" s="21">
        <v>386.37</v>
      </c>
      <c r="G68" s="21">
        <v>388.43099999999998</v>
      </c>
      <c r="H68" s="18">
        <f>(G68-F68)*E68</f>
        <v>14426.999999999851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41">
        <v>51491618</v>
      </c>
      <c r="D69" s="142" t="s">
        <v>64</v>
      </c>
      <c r="E69" s="141">
        <v>40</v>
      </c>
      <c r="F69" s="28">
        <v>1041.2819999999999</v>
      </c>
      <c r="G69" s="28">
        <v>1052.903</v>
      </c>
      <c r="H69" s="18">
        <f>(G69-F69)*E69</f>
        <v>464.84000000000378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41">
        <v>51491624</v>
      </c>
      <c r="D70" s="142" t="s">
        <v>64</v>
      </c>
      <c r="E70" s="141">
        <v>40</v>
      </c>
      <c r="F70" s="28">
        <v>139.31899999999999</v>
      </c>
      <c r="G70" s="28">
        <v>140.875</v>
      </c>
      <c r="H70" s="18">
        <f>(G70-F70)*E70</f>
        <v>62.240000000000464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34936.999999999898</v>
      </c>
      <c r="I71" s="85">
        <f>H71-H74-H69-H70</f>
        <v>-858.08000000036077</v>
      </c>
      <c r="J71" s="25">
        <f>I71/H71</f>
        <v>-2.4560780834083158E-2</v>
      </c>
    </row>
    <row r="72" spans="1:10" ht="15.75" x14ac:dyDescent="0.25">
      <c r="A72" s="27" t="s">
        <v>92</v>
      </c>
      <c r="B72" s="141" t="s">
        <v>53</v>
      </c>
      <c r="C72" s="86">
        <v>51097588</v>
      </c>
      <c r="D72" s="142" t="s">
        <v>76</v>
      </c>
      <c r="E72" s="141">
        <v>12000</v>
      </c>
      <c r="F72" s="21">
        <v>303.42399999999998</v>
      </c>
      <c r="G72" s="21">
        <v>305.11099999999999</v>
      </c>
      <c r="H72" s="18">
        <f>(G72-F72)*E72</f>
        <v>20244.000000000142</v>
      </c>
      <c r="I72" s="51"/>
      <c r="J72" s="58"/>
    </row>
    <row r="73" spans="1:10" ht="15.75" x14ac:dyDescent="0.25">
      <c r="A73" s="27" t="s">
        <v>93</v>
      </c>
      <c r="B73" s="141" t="s">
        <v>53</v>
      </c>
      <c r="C73" s="86">
        <v>51431335</v>
      </c>
      <c r="D73" s="142" t="s">
        <v>76</v>
      </c>
      <c r="E73" s="141">
        <v>12000</v>
      </c>
      <c r="F73" s="21">
        <v>236.983</v>
      </c>
      <c r="G73" s="21">
        <v>238.23500000000001</v>
      </c>
      <c r="H73" s="18">
        <f>(G73-F73)*E73</f>
        <v>15024.000000000115</v>
      </c>
      <c r="I73" s="51"/>
      <c r="J73" s="58"/>
    </row>
    <row r="74" spans="1:10" ht="15.75" x14ac:dyDescent="0.25">
      <c r="A74" s="87" t="s">
        <v>94</v>
      </c>
      <c r="B74" s="141" t="s">
        <v>28</v>
      </c>
      <c r="C74" s="141"/>
      <c r="D74" s="142"/>
      <c r="E74" s="141"/>
      <c r="F74" s="21"/>
      <c r="G74" s="21"/>
      <c r="H74" s="48">
        <f>H72+ H73</f>
        <v>35268.000000000255</v>
      </c>
      <c r="I74" s="85">
        <f>H74-H82</f>
        <v>-71.39999999957945</v>
      </c>
      <c r="J74" s="25">
        <f>I74/H74</f>
        <v>-2.0244981286032361E-3</v>
      </c>
    </row>
    <row r="75" spans="1:10" ht="15.75" x14ac:dyDescent="0.25">
      <c r="A75" s="27" t="s">
        <v>95</v>
      </c>
      <c r="B75" s="141" t="s">
        <v>53</v>
      </c>
      <c r="C75" s="86">
        <v>51097676</v>
      </c>
      <c r="D75" s="88" t="s">
        <v>64</v>
      </c>
      <c r="E75" s="141">
        <v>2400</v>
      </c>
      <c r="F75" s="21">
        <v>626.43200000000002</v>
      </c>
      <c r="G75" s="21">
        <v>630.38499999999999</v>
      </c>
      <c r="H75" s="18">
        <f>(G75-F75)*E75</f>
        <v>9487.1999999999389</v>
      </c>
      <c r="I75" s="51"/>
      <c r="J75" s="58"/>
    </row>
    <row r="76" spans="1:10" ht="15.75" x14ac:dyDescent="0.25">
      <c r="A76" s="27" t="s">
        <v>96</v>
      </c>
      <c r="B76" s="141" t="s">
        <v>53</v>
      </c>
      <c r="C76" s="86">
        <v>51431355</v>
      </c>
      <c r="D76" s="142" t="s">
        <v>22</v>
      </c>
      <c r="E76" s="142">
        <v>3600</v>
      </c>
      <c r="F76" s="21">
        <v>337.29199999999997</v>
      </c>
      <c r="G76" s="21">
        <v>338.73700000000002</v>
      </c>
      <c r="H76" s="18">
        <f>(G76-F76)*E76</f>
        <v>5202.0000000001801</v>
      </c>
      <c r="I76" s="51"/>
      <c r="J76" s="52"/>
    </row>
    <row r="77" spans="1:10" ht="15.75" x14ac:dyDescent="0.25">
      <c r="A77" s="27" t="s">
        <v>97</v>
      </c>
      <c r="B77" s="141" t="s">
        <v>53</v>
      </c>
      <c r="C77" s="86">
        <v>51259331</v>
      </c>
      <c r="D77" s="88" t="s">
        <v>38</v>
      </c>
      <c r="E77" s="141">
        <v>600</v>
      </c>
      <c r="F77" s="21">
        <v>146.81399999999999</v>
      </c>
      <c r="G77" s="21">
        <v>147.76300000000001</v>
      </c>
      <c r="H77" s="18">
        <f>(G77-F77)*E77</f>
        <v>569.40000000000737</v>
      </c>
      <c r="I77" s="51"/>
      <c r="J77" s="52"/>
    </row>
    <row r="78" spans="1:10" ht="15.75" x14ac:dyDescent="0.25">
      <c r="A78" s="27" t="s">
        <v>98</v>
      </c>
      <c r="B78" s="141" t="s">
        <v>53</v>
      </c>
      <c r="C78" s="86">
        <v>51259326</v>
      </c>
      <c r="D78" s="88" t="s">
        <v>15</v>
      </c>
      <c r="E78" s="141">
        <v>7200</v>
      </c>
      <c r="F78" s="21">
        <v>301.53300000000002</v>
      </c>
      <c r="G78" s="21">
        <v>303.03699999999998</v>
      </c>
      <c r="H78" s="18">
        <f>(G78-F78)*E78</f>
        <v>10828.799999999728</v>
      </c>
      <c r="I78" s="51"/>
      <c r="J78" s="52"/>
    </row>
    <row r="79" spans="1:10" ht="15.75" x14ac:dyDescent="0.25">
      <c r="A79" s="27" t="s">
        <v>99</v>
      </c>
      <c r="B79" s="141" t="s">
        <v>53</v>
      </c>
      <c r="C79" s="86">
        <v>51431351</v>
      </c>
      <c r="D79" s="88" t="s">
        <v>15</v>
      </c>
      <c r="E79" s="141">
        <v>7200</v>
      </c>
      <c r="F79" s="21">
        <v>211.13900000000001</v>
      </c>
      <c r="G79" s="21">
        <v>212.42400000000001</v>
      </c>
      <c r="H79" s="18">
        <f>(G79-F79)*E79</f>
        <v>9251.9999999999745</v>
      </c>
      <c r="I79" s="51"/>
      <c r="J79" s="52"/>
    </row>
    <row r="80" spans="1:10" ht="15.75" x14ac:dyDescent="0.25">
      <c r="A80" s="89" t="s">
        <v>100</v>
      </c>
      <c r="B80" s="141" t="s">
        <v>53</v>
      </c>
      <c r="C80" s="90">
        <v>51097666</v>
      </c>
      <c r="D80" s="88" t="s">
        <v>64</v>
      </c>
      <c r="E80" s="141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41" t="s">
        <v>53</v>
      </c>
      <c r="C81" s="90">
        <v>51259323</v>
      </c>
      <c r="D81" s="88" t="s">
        <v>64</v>
      </c>
      <c r="E81" s="141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35339.399999999834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41" t="s">
        <v>53</v>
      </c>
      <c r="C84" s="106">
        <v>51431297</v>
      </c>
      <c r="D84" s="142" t="s">
        <v>54</v>
      </c>
      <c r="E84" s="100">
        <v>7000</v>
      </c>
      <c r="F84" s="17">
        <v>245.84200000000001</v>
      </c>
      <c r="G84" s="17">
        <v>246.75700000000001</v>
      </c>
      <c r="H84" s="18">
        <f>(G84-F84)*E84</f>
        <v>6404.9999999999445</v>
      </c>
      <c r="I84" s="107"/>
      <c r="J84" s="108"/>
    </row>
    <row r="85" spans="1:10" ht="15.75" x14ac:dyDescent="0.25">
      <c r="A85" s="105" t="s">
        <v>87</v>
      </c>
      <c r="B85" s="141" t="s">
        <v>53</v>
      </c>
      <c r="C85" s="106">
        <v>51431332</v>
      </c>
      <c r="D85" s="142" t="s">
        <v>54</v>
      </c>
      <c r="E85" s="100">
        <v>7000</v>
      </c>
      <c r="F85" s="21">
        <v>336.01799999999997</v>
      </c>
      <c r="G85" s="21">
        <v>337.76600000000002</v>
      </c>
      <c r="H85" s="18">
        <f>(G85-F85)*E85</f>
        <v>12236.000000000331</v>
      </c>
      <c r="I85" s="141"/>
      <c r="J85" s="58"/>
    </row>
    <row r="86" spans="1:10" ht="15.75" x14ac:dyDescent="0.25">
      <c r="A86" s="27" t="s">
        <v>88</v>
      </c>
      <c r="B86" s="141" t="s">
        <v>104</v>
      </c>
      <c r="C86" s="109">
        <v>150773</v>
      </c>
      <c r="D86" s="142" t="s">
        <v>54</v>
      </c>
      <c r="E86" s="109">
        <v>20</v>
      </c>
      <c r="F86" s="17">
        <v>15490.1</v>
      </c>
      <c r="G86" s="17">
        <v>15498.2</v>
      </c>
      <c r="H86" s="18">
        <f>(G86-F86)*E86</f>
        <v>162.00000000000728</v>
      </c>
      <c r="I86" s="51"/>
      <c r="J86" s="58"/>
    </row>
    <row r="87" spans="1:10" ht="15.75" x14ac:dyDescent="0.25">
      <c r="A87" s="27" t="s">
        <v>90</v>
      </c>
      <c r="B87" s="141" t="s">
        <v>104</v>
      </c>
      <c r="C87" s="109">
        <v>150791</v>
      </c>
      <c r="D87" s="142" t="s">
        <v>54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43"/>
      <c r="C88" s="32"/>
      <c r="D88" s="82"/>
      <c r="E88" s="82"/>
      <c r="F88" s="21"/>
      <c r="G88" s="21"/>
      <c r="H88" s="48">
        <f>H84+H85</f>
        <v>18641.000000000276</v>
      </c>
      <c r="I88" s="85">
        <f>H88-H91-H86-H87</f>
        <v>421.40000000026703</v>
      </c>
      <c r="J88" s="25">
        <f>I88/H88</f>
        <v>2.2606083364640352E-2</v>
      </c>
    </row>
    <row r="89" spans="1:10" ht="15.75" x14ac:dyDescent="0.25">
      <c r="A89" s="27" t="s">
        <v>105</v>
      </c>
      <c r="B89" s="141" t="s">
        <v>53</v>
      </c>
      <c r="C89" s="106">
        <v>51431342</v>
      </c>
      <c r="D89" s="88" t="s">
        <v>35</v>
      </c>
      <c r="E89" s="141">
        <v>4800</v>
      </c>
      <c r="F89" s="21">
        <v>348.27</v>
      </c>
      <c r="G89" s="21">
        <v>349.57400000000001</v>
      </c>
      <c r="H89" s="18">
        <f>(G89-F89)*E89</f>
        <v>6259.2000000001462</v>
      </c>
      <c r="I89" s="51"/>
      <c r="J89" s="52"/>
    </row>
    <row r="90" spans="1:10" ht="15.75" x14ac:dyDescent="0.25">
      <c r="A90" s="27" t="s">
        <v>106</v>
      </c>
      <c r="B90" s="141" t="s">
        <v>53</v>
      </c>
      <c r="C90" s="106">
        <v>51431343</v>
      </c>
      <c r="D90" s="88" t="s">
        <v>35</v>
      </c>
      <c r="E90" s="141">
        <v>4800</v>
      </c>
      <c r="F90" s="21">
        <v>475.548</v>
      </c>
      <c r="G90" s="21">
        <v>478.00599999999997</v>
      </c>
      <c r="H90" s="18">
        <f>(G90-F90)*E90</f>
        <v>11798.399999999856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18057.600000000002</v>
      </c>
      <c r="I91" s="85">
        <f>H91-H99</f>
        <v>-132.00000000000728</v>
      </c>
      <c r="J91" s="25">
        <f>I91/H91</f>
        <v>-7.3099415204682383E-3</v>
      </c>
    </row>
    <row r="92" spans="1:10" ht="15.75" x14ac:dyDescent="0.25">
      <c r="A92" s="27" t="s">
        <v>108</v>
      </c>
      <c r="B92" s="141" t="s">
        <v>53</v>
      </c>
      <c r="C92" s="106">
        <v>51431347</v>
      </c>
      <c r="D92" s="142" t="s">
        <v>54</v>
      </c>
      <c r="E92" s="141">
        <v>1200</v>
      </c>
      <c r="F92" s="21">
        <v>1099.5039999999999</v>
      </c>
      <c r="G92" s="21">
        <v>1107.9449999999999</v>
      </c>
      <c r="H92" s="18">
        <f t="shared" ref="H92:H100" si="4">(G92-F92)*E92</f>
        <v>10129.200000000037</v>
      </c>
      <c r="I92" s="51"/>
      <c r="J92" s="52"/>
    </row>
    <row r="93" spans="1:10" ht="15.75" x14ac:dyDescent="0.25">
      <c r="A93" s="27" t="s">
        <v>109</v>
      </c>
      <c r="B93" s="141" t="s">
        <v>53</v>
      </c>
      <c r="C93" s="106">
        <v>51431339</v>
      </c>
      <c r="D93" s="142" t="s">
        <v>54</v>
      </c>
      <c r="E93" s="141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41" t="s">
        <v>53</v>
      </c>
      <c r="C94" s="106">
        <v>51217244</v>
      </c>
      <c r="D94" s="141" t="s">
        <v>38</v>
      </c>
      <c r="E94" s="141">
        <v>600</v>
      </c>
      <c r="F94" s="30">
        <v>303.512</v>
      </c>
      <c r="G94" s="30">
        <v>306.17899999999997</v>
      </c>
      <c r="H94" s="18">
        <f t="shared" si="4"/>
        <v>1600.1999999999839</v>
      </c>
      <c r="I94" s="51"/>
      <c r="J94" s="52"/>
    </row>
    <row r="95" spans="1:10" ht="15.75" x14ac:dyDescent="0.25">
      <c r="A95" s="27" t="s">
        <v>111</v>
      </c>
      <c r="B95" s="141" t="s">
        <v>53</v>
      </c>
      <c r="C95" s="106">
        <v>51217267</v>
      </c>
      <c r="D95" s="88" t="s">
        <v>64</v>
      </c>
      <c r="E95" s="141">
        <v>2400</v>
      </c>
      <c r="F95" s="30">
        <v>19.635999999999999</v>
      </c>
      <c r="G95" s="30">
        <v>19.667999999999999</v>
      </c>
      <c r="H95" s="18">
        <f t="shared" si="4"/>
        <v>76.800000000000068</v>
      </c>
      <c r="I95" s="51"/>
      <c r="J95" s="52"/>
    </row>
    <row r="96" spans="1:10" ht="15.75" x14ac:dyDescent="0.25">
      <c r="A96" s="27" t="s">
        <v>112</v>
      </c>
      <c r="B96" s="141" t="s">
        <v>53</v>
      </c>
      <c r="C96" s="141">
        <v>51555165</v>
      </c>
      <c r="D96" s="142" t="s">
        <v>54</v>
      </c>
      <c r="E96" s="141">
        <v>1200</v>
      </c>
      <c r="F96" s="30">
        <v>771.62699999999995</v>
      </c>
      <c r="G96" s="30">
        <v>771.62699999999995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41" t="s">
        <v>53</v>
      </c>
      <c r="C97" s="106">
        <v>51431346</v>
      </c>
      <c r="D97" s="114" t="s">
        <v>38</v>
      </c>
      <c r="E97" s="114">
        <v>600</v>
      </c>
      <c r="F97" s="30">
        <v>319.41899999999998</v>
      </c>
      <c r="G97" s="30">
        <v>319.79199999999997</v>
      </c>
      <c r="H97" s="115">
        <f t="shared" si="4"/>
        <v>223.79999999999427</v>
      </c>
      <c r="I97" s="116"/>
      <c r="J97" s="117"/>
    </row>
    <row r="98" spans="1:10" ht="15.75" x14ac:dyDescent="0.25">
      <c r="A98" s="27" t="s">
        <v>114</v>
      </c>
      <c r="B98" s="141" t="s">
        <v>53</v>
      </c>
      <c r="C98" s="106">
        <v>51431352</v>
      </c>
      <c r="D98" s="88" t="s">
        <v>22</v>
      </c>
      <c r="E98" s="141">
        <v>3600</v>
      </c>
      <c r="F98" s="21">
        <v>194.55799999999999</v>
      </c>
      <c r="G98" s="21">
        <v>196.22399999999999</v>
      </c>
      <c r="H98" s="18">
        <f t="shared" si="4"/>
        <v>5997.5999999999885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18189.600000000009</v>
      </c>
      <c r="I99" s="51"/>
      <c r="J99" s="52"/>
    </row>
    <row r="100" spans="1:10" ht="15.75" x14ac:dyDescent="0.25">
      <c r="A100" s="45" t="s">
        <v>115</v>
      </c>
      <c r="B100" s="141" t="s">
        <v>53</v>
      </c>
      <c r="C100" s="120">
        <v>51431357</v>
      </c>
      <c r="D100" s="142" t="s">
        <v>64</v>
      </c>
      <c r="E100" s="142">
        <v>14000</v>
      </c>
      <c r="F100" s="28">
        <v>764.952</v>
      </c>
      <c r="G100" s="28">
        <v>768.75</v>
      </c>
      <c r="H100" s="121">
        <f t="shared" si="4"/>
        <v>53172.000000000029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A79" zoomScale="115" zoomScaleNormal="115" workbookViewId="0">
      <selection activeCell="H96" sqref="H9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124</v>
      </c>
      <c r="G3" s="4" t="s">
        <v>125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44" t="s">
        <v>14</v>
      </c>
      <c r="C5" s="144">
        <v>51555166</v>
      </c>
      <c r="D5" s="144" t="s">
        <v>15</v>
      </c>
      <c r="E5" s="144">
        <v>132000</v>
      </c>
      <c r="F5" s="17">
        <v>2.923</v>
      </c>
      <c r="G5" s="17">
        <v>2.9329999999999998</v>
      </c>
      <c r="H5" s="18">
        <f>(G5-F5)*E5</f>
        <v>1319.9999999999718</v>
      </c>
      <c r="I5" s="19"/>
      <c r="J5" s="20"/>
    </row>
    <row r="6" spans="1:10" ht="15.75" x14ac:dyDescent="0.25">
      <c r="A6" s="15" t="s">
        <v>16</v>
      </c>
      <c r="B6" s="144" t="s">
        <v>14</v>
      </c>
      <c r="C6" s="144">
        <v>51555191</v>
      </c>
      <c r="D6" s="144" t="s">
        <v>15</v>
      </c>
      <c r="E6" s="144">
        <v>132000</v>
      </c>
      <c r="F6" s="21">
        <v>332.57299999999998</v>
      </c>
      <c r="G6" s="21">
        <v>334.49599999999998</v>
      </c>
      <c r="H6" s="18">
        <f>(G6-F6)*E6</f>
        <v>253836.00000000023</v>
      </c>
      <c r="I6" s="19"/>
      <c r="J6" s="20"/>
    </row>
    <row r="7" spans="1:10" ht="15.75" x14ac:dyDescent="0.25">
      <c r="A7" s="207" t="s">
        <v>17</v>
      </c>
      <c r="B7" s="208"/>
      <c r="C7" s="144"/>
      <c r="D7" s="145"/>
      <c r="E7" s="144"/>
      <c r="H7" s="23">
        <f>H5+H6</f>
        <v>255156.0000000002</v>
      </c>
      <c r="I7" s="24">
        <f>H7-H10-H20</f>
        <v>1781.9999999995489</v>
      </c>
      <c r="J7" s="25">
        <f>I7/H7</f>
        <v>6.983962752196881E-3</v>
      </c>
    </row>
    <row r="8" spans="1:10" ht="15.75" x14ac:dyDescent="0.25">
      <c r="A8" s="26" t="s">
        <v>18</v>
      </c>
      <c r="B8" s="144" t="s">
        <v>14</v>
      </c>
      <c r="C8" s="144">
        <v>51097629</v>
      </c>
      <c r="D8" s="145" t="s">
        <v>15</v>
      </c>
      <c r="E8" s="144">
        <v>42000</v>
      </c>
      <c r="F8" s="21">
        <v>1016.212</v>
      </c>
      <c r="G8" s="21">
        <v>1020.437</v>
      </c>
      <c r="H8" s="18">
        <f>(G8-F8)*E8</f>
        <v>177450.00000000096</v>
      </c>
      <c r="I8" s="19"/>
      <c r="J8" s="20"/>
    </row>
    <row r="9" spans="1:10" ht="15.75" x14ac:dyDescent="0.25">
      <c r="A9" s="26" t="s">
        <v>19</v>
      </c>
      <c r="B9" s="144" t="s">
        <v>14</v>
      </c>
      <c r="C9" s="144">
        <v>51616820</v>
      </c>
      <c r="D9" s="145" t="s">
        <v>15</v>
      </c>
      <c r="E9" s="144">
        <v>42000</v>
      </c>
      <c r="F9" s="21">
        <v>4.9989999999999997</v>
      </c>
      <c r="G9" s="21">
        <v>5.0199999999999996</v>
      </c>
      <c r="H9" s="18">
        <f>(G9-F9)*E9</f>
        <v>881.99999999999613</v>
      </c>
      <c r="I9" s="19"/>
      <c r="J9" s="20"/>
    </row>
    <row r="10" spans="1:10" ht="15.75" x14ac:dyDescent="0.25">
      <c r="A10" s="207" t="s">
        <v>20</v>
      </c>
      <c r="B10" s="208"/>
      <c r="C10" s="144"/>
      <c r="D10" s="145"/>
      <c r="E10" s="144"/>
      <c r="F10" s="21"/>
      <c r="G10" s="21"/>
      <c r="H10" s="23">
        <f>H8+H9</f>
        <v>178332.00000000096</v>
      </c>
      <c r="I10" s="24">
        <f>H10-H17</f>
        <v>42.000000003696186</v>
      </c>
      <c r="J10" s="25">
        <f>I10/H10</f>
        <v>2.3551577957795549E-4</v>
      </c>
    </row>
    <row r="11" spans="1:10" ht="15.75" x14ac:dyDescent="0.25">
      <c r="A11" s="27" t="s">
        <v>21</v>
      </c>
      <c r="B11" s="144" t="s">
        <v>14</v>
      </c>
      <c r="C11" s="144">
        <v>51217286</v>
      </c>
      <c r="D11" s="145" t="s">
        <v>22</v>
      </c>
      <c r="E11" s="144">
        <v>21000</v>
      </c>
      <c r="F11" s="21">
        <v>805.21900000000005</v>
      </c>
      <c r="G11" s="21">
        <v>808.37</v>
      </c>
      <c r="H11" s="18">
        <f t="shared" ref="H11:H16" si="0">(G11-F11)*E11</f>
        <v>66170.999999999025</v>
      </c>
      <c r="I11" s="19"/>
      <c r="J11" s="20"/>
    </row>
    <row r="12" spans="1:10" ht="15.75" x14ac:dyDescent="0.25">
      <c r="A12" s="27" t="s">
        <v>23</v>
      </c>
      <c r="B12" s="144" t="s">
        <v>14</v>
      </c>
      <c r="C12" s="144">
        <v>51217292</v>
      </c>
      <c r="D12" s="145" t="s">
        <v>22</v>
      </c>
      <c r="E12" s="144">
        <v>21000</v>
      </c>
      <c r="F12" s="28">
        <v>3.4350000000000001</v>
      </c>
      <c r="G12" s="28">
        <v>3.4609999999999999</v>
      </c>
      <c r="H12" s="18">
        <f>(G12-F12)*E12</f>
        <v>545.99999999999579</v>
      </c>
      <c r="I12" s="19"/>
      <c r="J12" s="20"/>
    </row>
    <row r="13" spans="1:10" ht="15.75" x14ac:dyDescent="0.25">
      <c r="A13" s="27" t="s">
        <v>24</v>
      </c>
      <c r="B13" s="144" t="s">
        <v>14</v>
      </c>
      <c r="C13" s="144">
        <v>51217271</v>
      </c>
      <c r="D13" s="145" t="s">
        <v>22</v>
      </c>
      <c r="E13" s="144">
        <v>21000</v>
      </c>
      <c r="F13" s="21">
        <v>589.57600000000002</v>
      </c>
      <c r="G13" s="21">
        <v>592.06799999999998</v>
      </c>
      <c r="H13" s="18">
        <f t="shared" si="0"/>
        <v>52331.9999999992</v>
      </c>
      <c r="I13" s="19"/>
      <c r="J13" s="20"/>
    </row>
    <row r="14" spans="1:10" ht="15.75" x14ac:dyDescent="0.25">
      <c r="A14" s="27" t="s">
        <v>25</v>
      </c>
      <c r="B14" s="144" t="s">
        <v>14</v>
      </c>
      <c r="C14" s="144">
        <v>51217276</v>
      </c>
      <c r="D14" s="145" t="s">
        <v>22</v>
      </c>
      <c r="E14" s="144">
        <v>21000</v>
      </c>
      <c r="F14" s="28">
        <v>0.50600000000000001</v>
      </c>
      <c r="G14" s="28">
        <v>0.51500000000000001</v>
      </c>
      <c r="H14" s="18">
        <f>(G14-F14)*E14</f>
        <v>189.00000000000017</v>
      </c>
      <c r="I14" s="19"/>
      <c r="J14" s="20"/>
    </row>
    <row r="15" spans="1:10" ht="15.75" x14ac:dyDescent="0.25">
      <c r="A15" s="27" t="s">
        <v>26</v>
      </c>
      <c r="B15" s="144" t="s">
        <v>14</v>
      </c>
      <c r="C15" s="144">
        <v>51100990</v>
      </c>
      <c r="D15" s="145" t="s">
        <v>22</v>
      </c>
      <c r="E15" s="144">
        <v>21000</v>
      </c>
      <c r="F15" s="29">
        <v>643.38400000000001</v>
      </c>
      <c r="G15" s="29">
        <v>646.18399999999997</v>
      </c>
      <c r="H15" s="18">
        <f t="shared" si="0"/>
        <v>58799.999999999047</v>
      </c>
      <c r="I15" s="19"/>
      <c r="J15" s="20"/>
    </row>
    <row r="16" spans="1:10" ht="15.75" x14ac:dyDescent="0.25">
      <c r="A16" s="27" t="s">
        <v>27</v>
      </c>
      <c r="B16" s="144" t="s">
        <v>14</v>
      </c>
      <c r="C16" s="144">
        <v>51097622</v>
      </c>
      <c r="D16" s="145" t="s">
        <v>22</v>
      </c>
      <c r="E16" s="144">
        <v>21000</v>
      </c>
      <c r="F16" s="21">
        <v>2.8250000000000002</v>
      </c>
      <c r="G16" s="21">
        <v>2.8370000000000002</v>
      </c>
      <c r="H16" s="18">
        <f t="shared" si="0"/>
        <v>252.00000000000023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44"/>
      <c r="D17" s="145"/>
      <c r="E17" s="144"/>
      <c r="F17" s="21"/>
      <c r="G17" s="21"/>
      <c r="H17" s="23">
        <f>H11+H12+H13+H14+H15+H16</f>
        <v>178289.99999999726</v>
      </c>
      <c r="I17" s="19"/>
      <c r="J17" s="20"/>
    </row>
    <row r="18" spans="1:10" ht="15.75" x14ac:dyDescent="0.25">
      <c r="A18" s="26" t="s">
        <v>30</v>
      </c>
      <c r="B18" s="144" t="s">
        <v>14</v>
      </c>
      <c r="C18" s="144">
        <v>51097617</v>
      </c>
      <c r="D18" s="145" t="s">
        <v>31</v>
      </c>
      <c r="E18" s="144">
        <v>18000</v>
      </c>
      <c r="F18" s="30">
        <v>772.83500000000004</v>
      </c>
      <c r="G18" s="30">
        <v>777.00400000000002</v>
      </c>
      <c r="H18" s="18">
        <f>(G18-F18)*E18</f>
        <v>75041.999999999694</v>
      </c>
      <c r="I18" s="19"/>
      <c r="J18" s="20"/>
    </row>
    <row r="19" spans="1:10" ht="15.75" x14ac:dyDescent="0.25">
      <c r="A19" s="26" t="s">
        <v>32</v>
      </c>
      <c r="B19" s="144" t="s">
        <v>14</v>
      </c>
      <c r="C19" s="144">
        <v>51097655</v>
      </c>
      <c r="D19" s="145" t="s">
        <v>31</v>
      </c>
      <c r="E19" s="144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44"/>
      <c r="D20" s="145"/>
      <c r="E20" s="144"/>
      <c r="F20" s="30"/>
      <c r="G20" s="30"/>
      <c r="H20" s="23">
        <f>H18+H19</f>
        <v>75041.999999999694</v>
      </c>
      <c r="I20" s="24">
        <f>H20-H35</f>
        <v>2951.3999999991211</v>
      </c>
      <c r="J20" s="25">
        <f>I20/H20</f>
        <v>3.9329975213868676E-2</v>
      </c>
    </row>
    <row r="21" spans="1:10" ht="15.75" x14ac:dyDescent="0.25">
      <c r="A21" s="15" t="s">
        <v>34</v>
      </c>
      <c r="B21" s="144" t="s">
        <v>14</v>
      </c>
      <c r="C21" s="144">
        <v>51217282</v>
      </c>
      <c r="D21" s="145" t="s">
        <v>35</v>
      </c>
      <c r="E21" s="144">
        <v>4800</v>
      </c>
      <c r="F21" s="21">
        <v>379.529</v>
      </c>
      <c r="G21" s="21">
        <v>379.61500000000001</v>
      </c>
      <c r="H21" s="18">
        <f t="shared" ref="H21:H34" si="1">(G21-F21)*E21</f>
        <v>412.80000000006112</v>
      </c>
      <c r="I21" s="19" t="s">
        <v>28</v>
      </c>
      <c r="J21" s="20"/>
    </row>
    <row r="22" spans="1:10" ht="15.75" x14ac:dyDescent="0.25">
      <c r="A22" s="15" t="s">
        <v>36</v>
      </c>
      <c r="B22" s="144" t="s">
        <v>14</v>
      </c>
      <c r="C22" s="144">
        <v>51217274</v>
      </c>
      <c r="D22" s="145" t="s">
        <v>35</v>
      </c>
      <c r="E22" s="144">
        <v>4800</v>
      </c>
      <c r="F22" s="21">
        <v>1215.646</v>
      </c>
      <c r="G22" s="21">
        <v>1221.5820000000001</v>
      </c>
      <c r="H22" s="18">
        <f t="shared" si="1"/>
        <v>28492.800000000716</v>
      </c>
      <c r="I22" s="19"/>
      <c r="J22" s="20"/>
    </row>
    <row r="23" spans="1:10" ht="15.75" x14ac:dyDescent="0.25">
      <c r="A23" s="15" t="s">
        <v>37</v>
      </c>
      <c r="B23" s="144" t="s">
        <v>14</v>
      </c>
      <c r="C23" s="144">
        <v>51097664</v>
      </c>
      <c r="D23" s="145" t="s">
        <v>38</v>
      </c>
      <c r="E23" s="144">
        <v>600</v>
      </c>
      <c r="F23" s="21">
        <v>4.4269999999999996</v>
      </c>
      <c r="G23" s="21">
        <v>4.4400000000000004</v>
      </c>
      <c r="H23" s="18">
        <f t="shared" si="1"/>
        <v>7.8000000000004732</v>
      </c>
      <c r="I23" s="19"/>
      <c r="J23" s="20"/>
    </row>
    <row r="24" spans="1:10" ht="15.75" x14ac:dyDescent="0.25">
      <c r="A24" s="15" t="s">
        <v>39</v>
      </c>
      <c r="B24" s="144" t="s">
        <v>14</v>
      </c>
      <c r="C24" s="144">
        <v>51097615</v>
      </c>
      <c r="D24" s="145" t="s">
        <v>38</v>
      </c>
      <c r="E24" s="144">
        <v>600</v>
      </c>
      <c r="F24" s="21">
        <v>36.61</v>
      </c>
      <c r="G24" s="21">
        <v>37.033000000000001</v>
      </c>
      <c r="H24" s="18">
        <f t="shared" si="1"/>
        <v>253.80000000000109</v>
      </c>
      <c r="I24" s="19"/>
      <c r="J24" s="20"/>
    </row>
    <row r="25" spans="1:10" ht="15.75" x14ac:dyDescent="0.25">
      <c r="A25" s="15" t="s">
        <v>40</v>
      </c>
      <c r="B25" s="144" t="s">
        <v>14</v>
      </c>
      <c r="C25" s="144">
        <v>51217264</v>
      </c>
      <c r="D25" s="145" t="s">
        <v>38</v>
      </c>
      <c r="E25" s="144">
        <v>600</v>
      </c>
      <c r="F25" s="21">
        <v>88.710999999999999</v>
      </c>
      <c r="G25" s="21">
        <v>89.376000000000005</v>
      </c>
      <c r="H25" s="18">
        <f t="shared" si="1"/>
        <v>399.00000000000375</v>
      </c>
      <c r="I25" s="19"/>
      <c r="J25" s="20"/>
    </row>
    <row r="26" spans="1:10" ht="15.75" x14ac:dyDescent="0.25">
      <c r="A26" s="15" t="s">
        <v>41</v>
      </c>
      <c r="B26" s="144" t="s">
        <v>14</v>
      </c>
      <c r="C26" s="144">
        <v>51217288</v>
      </c>
      <c r="D26" s="145" t="s">
        <v>38</v>
      </c>
      <c r="E26" s="144">
        <v>600</v>
      </c>
      <c r="F26" s="21">
        <v>19.777999999999999</v>
      </c>
      <c r="G26" s="21">
        <v>19.809000000000001</v>
      </c>
      <c r="H26" s="18">
        <f t="shared" si="1"/>
        <v>18.600000000001415</v>
      </c>
      <c r="I26" s="19" t="s">
        <v>28</v>
      </c>
      <c r="J26" s="20"/>
    </row>
    <row r="27" spans="1:10" ht="15.75" x14ac:dyDescent="0.25">
      <c r="A27" s="15" t="s">
        <v>42</v>
      </c>
      <c r="B27" s="144" t="s">
        <v>14</v>
      </c>
      <c r="C27" s="144">
        <v>51217279</v>
      </c>
      <c r="D27" s="145" t="s">
        <v>38</v>
      </c>
      <c r="E27" s="144">
        <v>600</v>
      </c>
      <c r="F27" s="21">
        <v>14.081</v>
      </c>
      <c r="G27" s="21">
        <v>14.135</v>
      </c>
      <c r="H27" s="18">
        <f t="shared" si="1"/>
        <v>32.400000000000162</v>
      </c>
      <c r="I27" s="19" t="s">
        <v>28</v>
      </c>
      <c r="J27" s="20"/>
    </row>
    <row r="28" spans="1:10" ht="15.75" x14ac:dyDescent="0.25">
      <c r="A28" s="15" t="s">
        <v>43</v>
      </c>
      <c r="B28" s="144" t="s">
        <v>14</v>
      </c>
      <c r="C28" s="144">
        <v>51217272</v>
      </c>
      <c r="D28" s="145" t="s">
        <v>38</v>
      </c>
      <c r="E28" s="144">
        <v>600</v>
      </c>
      <c r="F28" s="31">
        <v>13.813000000000001</v>
      </c>
      <c r="G28" s="31">
        <v>13.866</v>
      </c>
      <c r="H28" s="18">
        <f t="shared" si="1"/>
        <v>31.799999999999429</v>
      </c>
      <c r="I28" s="19"/>
      <c r="J28" s="20"/>
    </row>
    <row r="29" spans="1:10" ht="15.75" x14ac:dyDescent="0.25">
      <c r="A29" s="15" t="s">
        <v>44</v>
      </c>
      <c r="B29" s="144" t="s">
        <v>14</v>
      </c>
      <c r="C29" s="144">
        <v>51616744</v>
      </c>
      <c r="D29" s="145">
        <f>300/5</f>
        <v>60</v>
      </c>
      <c r="E29" s="144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44" t="s">
        <v>14</v>
      </c>
      <c r="C30" s="144">
        <v>51555226</v>
      </c>
      <c r="D30" s="145">
        <f>300/5</f>
        <v>60</v>
      </c>
      <c r="E30" s="144">
        <v>3600</v>
      </c>
      <c r="F30" s="31">
        <v>426.92</v>
      </c>
      <c r="G30" s="31">
        <v>430.83600000000001</v>
      </c>
      <c r="H30" s="18">
        <f>(G30-F30)*E30</f>
        <v>14097.599999999988</v>
      </c>
      <c r="I30" s="19"/>
      <c r="J30" s="20"/>
    </row>
    <row r="31" spans="1:10" ht="15.75" x14ac:dyDescent="0.25">
      <c r="A31" s="15" t="s">
        <v>46</v>
      </c>
      <c r="B31" s="144" t="s">
        <v>14</v>
      </c>
      <c r="C31" s="144">
        <v>51097658</v>
      </c>
      <c r="D31" s="145" t="s">
        <v>35</v>
      </c>
      <c r="E31" s="144">
        <v>4800</v>
      </c>
      <c r="F31" s="31">
        <v>591.197</v>
      </c>
      <c r="G31" s="31">
        <v>594.53</v>
      </c>
      <c r="H31" s="18">
        <f t="shared" si="1"/>
        <v>15998.399999999856</v>
      </c>
      <c r="I31" s="19"/>
      <c r="J31" s="20"/>
    </row>
    <row r="32" spans="1:10" ht="15.75" x14ac:dyDescent="0.25">
      <c r="A32" s="15" t="s">
        <v>47</v>
      </c>
      <c r="B32" s="144" t="s">
        <v>14</v>
      </c>
      <c r="C32" s="144">
        <v>51097635</v>
      </c>
      <c r="D32" s="145" t="s">
        <v>35</v>
      </c>
      <c r="E32" s="144">
        <v>4800</v>
      </c>
      <c r="F32" s="31">
        <v>48.447000000000003</v>
      </c>
      <c r="G32" s="31">
        <v>48.448</v>
      </c>
      <c r="H32" s="18">
        <f t="shared" si="1"/>
        <v>4.7999999999888132</v>
      </c>
      <c r="I32" s="19"/>
      <c r="J32" s="20"/>
    </row>
    <row r="33" spans="1:10" ht="15.75" x14ac:dyDescent="0.25">
      <c r="A33" s="15" t="s">
        <v>48</v>
      </c>
      <c r="B33" s="144" t="s">
        <v>14</v>
      </c>
      <c r="C33" s="32">
        <v>51097633</v>
      </c>
      <c r="D33" s="145" t="s">
        <v>35</v>
      </c>
      <c r="E33" s="144">
        <v>4800</v>
      </c>
      <c r="F33" s="31">
        <v>135.98099999999999</v>
      </c>
      <c r="G33" s="31">
        <v>138.50299999999999</v>
      </c>
      <c r="H33" s="33">
        <f t="shared" si="1"/>
        <v>12105.599999999959</v>
      </c>
      <c r="I33" s="34"/>
      <c r="J33" s="35"/>
    </row>
    <row r="34" spans="1:10" ht="15.75" x14ac:dyDescent="0.25">
      <c r="A34" s="15" t="s">
        <v>49</v>
      </c>
      <c r="B34" s="144" t="s">
        <v>14</v>
      </c>
      <c r="C34" s="32">
        <v>51097662</v>
      </c>
      <c r="D34" s="145" t="s">
        <v>35</v>
      </c>
      <c r="E34" s="144">
        <v>4800</v>
      </c>
      <c r="F34" s="31">
        <v>2.5880000000000001</v>
      </c>
      <c r="G34" s="31">
        <v>2.637</v>
      </c>
      <c r="H34" s="33">
        <f t="shared" si="1"/>
        <v>235.19999999999968</v>
      </c>
      <c r="I34" s="34"/>
      <c r="J34" s="35"/>
    </row>
    <row r="35" spans="1:10" ht="15.75" x14ac:dyDescent="0.25">
      <c r="A35" s="207" t="s">
        <v>50</v>
      </c>
      <c r="B35" s="208"/>
      <c r="C35" s="144"/>
      <c r="D35" s="145"/>
      <c r="E35" s="144"/>
      <c r="F35" s="36"/>
      <c r="G35" s="36"/>
      <c r="H35" s="23">
        <f>H21+H22+H23+H24+H25+H26+H27+H28+H29+H30+H31+H32+H33+H34</f>
        <v>72090.600000000573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44" t="s">
        <v>53</v>
      </c>
      <c r="C37" s="144">
        <v>51555209</v>
      </c>
      <c r="D37" s="145" t="s">
        <v>54</v>
      </c>
      <c r="E37" s="144">
        <v>7000</v>
      </c>
      <c r="F37" s="17">
        <v>4.8979999999999997</v>
      </c>
      <c r="G37" s="17">
        <v>4.9390000000000001</v>
      </c>
      <c r="H37" s="41">
        <f>(G37-F37)*E37</f>
        <v>287.00000000000261</v>
      </c>
      <c r="I37" s="42"/>
      <c r="J37" s="14"/>
    </row>
    <row r="38" spans="1:10" ht="15.75" x14ac:dyDescent="0.25">
      <c r="A38" s="15" t="s">
        <v>55</v>
      </c>
      <c r="B38" s="144" t="s">
        <v>53</v>
      </c>
      <c r="C38" s="144">
        <v>51555209</v>
      </c>
      <c r="D38" s="145" t="s">
        <v>54</v>
      </c>
      <c r="E38" s="144">
        <v>7000</v>
      </c>
      <c r="F38" s="21">
        <v>9.5009999999999994</v>
      </c>
      <c r="G38" s="21">
        <v>9.5510000000000002</v>
      </c>
      <c r="H38" s="18">
        <f>(G38-F38)*E38</f>
        <v>350.000000000005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44" t="s">
        <v>53</v>
      </c>
      <c r="C40" s="144">
        <v>51097674</v>
      </c>
      <c r="D40" s="144" t="s">
        <v>15</v>
      </c>
      <c r="E40" s="144">
        <v>7200</v>
      </c>
      <c r="F40" s="21">
        <v>546.67600000000004</v>
      </c>
      <c r="G40" s="21">
        <v>549.02800000000002</v>
      </c>
      <c r="H40" s="18">
        <f>(G40-F40)*E40</f>
        <v>16934.399999999823</v>
      </c>
      <c r="I40" s="47"/>
      <c r="J40" s="20"/>
    </row>
    <row r="41" spans="1:10" ht="15.75" x14ac:dyDescent="0.25">
      <c r="A41" s="27" t="s">
        <v>58</v>
      </c>
      <c r="B41" s="144" t="s">
        <v>53</v>
      </c>
      <c r="C41" s="144">
        <v>51259257</v>
      </c>
      <c r="D41" s="144" t="s">
        <v>15</v>
      </c>
      <c r="E41" s="144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44"/>
      <c r="C42" s="144"/>
      <c r="D42" s="144"/>
      <c r="E42" s="144"/>
      <c r="F42" s="21"/>
      <c r="G42" s="21"/>
      <c r="H42" s="48">
        <f>H40+H41</f>
        <v>16934.399999999823</v>
      </c>
      <c r="I42" s="24">
        <f>H42-H50</f>
        <v>-120.80000000011933</v>
      </c>
      <c r="J42" s="25">
        <f>I42/H42</f>
        <v>-7.1334089191303256E-3</v>
      </c>
    </row>
    <row r="43" spans="1:10" ht="15.75" x14ac:dyDescent="0.25">
      <c r="A43" s="15" t="s">
        <v>60</v>
      </c>
      <c r="B43" s="144"/>
      <c r="C43" s="144"/>
      <c r="D43" s="145"/>
      <c r="E43" s="144"/>
      <c r="H43" s="18"/>
      <c r="I43" s="43"/>
      <c r="J43" s="20"/>
    </row>
    <row r="44" spans="1:10" ht="15.75" x14ac:dyDescent="0.25">
      <c r="A44" s="27" t="s">
        <v>61</v>
      </c>
      <c r="B44" s="144" t="s">
        <v>53</v>
      </c>
      <c r="C44" s="32">
        <v>51097648</v>
      </c>
      <c r="D44" s="144" t="s">
        <v>54</v>
      </c>
      <c r="E44" s="144">
        <v>1200</v>
      </c>
      <c r="F44" s="21">
        <v>448.37200000000001</v>
      </c>
      <c r="G44" s="21">
        <v>450.32900000000001</v>
      </c>
      <c r="H44" s="33">
        <f>(G44-F44)*E44</f>
        <v>2348.3999999999924</v>
      </c>
      <c r="I44" s="43"/>
      <c r="J44" s="20"/>
    </row>
    <row r="45" spans="1:10" ht="15.75" x14ac:dyDescent="0.25">
      <c r="A45" s="27" t="s">
        <v>62</v>
      </c>
      <c r="B45" s="144" t="s">
        <v>53</v>
      </c>
      <c r="C45" s="32">
        <v>50555043</v>
      </c>
      <c r="D45" s="144" t="s">
        <v>54</v>
      </c>
      <c r="E45" s="144">
        <v>1200</v>
      </c>
      <c r="F45" s="21">
        <v>1873.4570000000001</v>
      </c>
      <c r="G45" s="21">
        <v>1881.441</v>
      </c>
      <c r="H45" s="33">
        <f>(G45-F45)*E45</f>
        <v>9580.7999999999083</v>
      </c>
      <c r="I45" s="43"/>
      <c r="J45" s="20"/>
    </row>
    <row r="46" spans="1:10" ht="15.75" x14ac:dyDescent="0.25">
      <c r="A46" s="27" t="s">
        <v>63</v>
      </c>
      <c r="B46" s="144" t="s">
        <v>53</v>
      </c>
      <c r="C46" s="32">
        <v>51259336</v>
      </c>
      <c r="D46" s="144" t="s">
        <v>64</v>
      </c>
      <c r="E46" s="144">
        <v>2400</v>
      </c>
      <c r="F46" s="21">
        <v>3.8620000000000001</v>
      </c>
      <c r="G46" s="21">
        <v>3.8759999999999999</v>
      </c>
      <c r="H46" s="33">
        <f>(G46-F46)*E46</f>
        <v>33.599999999999497</v>
      </c>
      <c r="I46" s="43"/>
      <c r="J46" s="20"/>
    </row>
    <row r="47" spans="1:10" ht="15.75" x14ac:dyDescent="0.25">
      <c r="A47" s="27" t="s">
        <v>65</v>
      </c>
      <c r="B47" s="144" t="s">
        <v>53</v>
      </c>
      <c r="C47" s="32">
        <v>51259266</v>
      </c>
      <c r="D47" s="144" t="s">
        <v>54</v>
      </c>
      <c r="E47" s="144">
        <v>1200</v>
      </c>
      <c r="F47" s="21">
        <v>908.45600000000002</v>
      </c>
      <c r="G47" s="21">
        <v>912.34400000000005</v>
      </c>
      <c r="H47" s="33">
        <f>(G47-F47)*E47</f>
        <v>4665.6000000000404</v>
      </c>
      <c r="I47" s="43"/>
      <c r="J47" s="20"/>
    </row>
    <row r="48" spans="1:10" ht="15.75" x14ac:dyDescent="0.25">
      <c r="A48" s="27" t="s">
        <v>66</v>
      </c>
      <c r="B48" s="144" t="s">
        <v>53</v>
      </c>
      <c r="C48" s="32">
        <v>51431336</v>
      </c>
      <c r="D48" s="144" t="s">
        <v>54</v>
      </c>
      <c r="E48" s="144">
        <v>1200</v>
      </c>
      <c r="F48" s="21">
        <v>51.232999999999997</v>
      </c>
      <c r="G48" s="21">
        <v>51.546999999999997</v>
      </c>
      <c r="H48" s="33">
        <f>(G48-F48)*E48</f>
        <v>376.80000000000007</v>
      </c>
      <c r="I48" s="43"/>
      <c r="J48" s="20"/>
    </row>
    <row r="49" spans="1:10" ht="15.75" x14ac:dyDescent="0.25">
      <c r="A49" s="15" t="s">
        <v>67</v>
      </c>
      <c r="B49" s="144" t="s">
        <v>68</v>
      </c>
      <c r="C49" s="144">
        <v>49174</v>
      </c>
      <c r="D49" s="145" t="s">
        <v>54</v>
      </c>
      <c r="E49" s="144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17055.199999999943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44" t="s">
        <v>53</v>
      </c>
      <c r="C52" s="144">
        <v>51097603</v>
      </c>
      <c r="D52" s="145" t="s">
        <v>54</v>
      </c>
      <c r="E52" s="144">
        <v>7000</v>
      </c>
      <c r="F52" s="17">
        <v>1803.145</v>
      </c>
      <c r="G52" s="17">
        <v>1809.9739999999999</v>
      </c>
      <c r="H52" s="18">
        <f>(G52-F52)*E52</f>
        <v>47802.999999999658</v>
      </c>
      <c r="I52" s="43"/>
      <c r="J52" s="20"/>
    </row>
    <row r="53" spans="1:10" ht="15.75" x14ac:dyDescent="0.25">
      <c r="A53" s="27" t="s">
        <v>73</v>
      </c>
      <c r="B53" s="144" t="s">
        <v>53</v>
      </c>
      <c r="C53" s="144">
        <v>51097590</v>
      </c>
      <c r="D53" s="145" t="s">
        <v>54</v>
      </c>
      <c r="E53" s="144">
        <v>7000</v>
      </c>
      <c r="F53" s="21">
        <v>11.287000000000001</v>
      </c>
      <c r="G53" s="21">
        <v>11.361000000000001</v>
      </c>
      <c r="H53" s="18">
        <f>(G53-F53)*E53</f>
        <v>517.99999999999886</v>
      </c>
      <c r="I53" s="43"/>
      <c r="J53" s="20"/>
    </row>
    <row r="54" spans="1:10" ht="15.75" x14ac:dyDescent="0.25">
      <c r="A54" s="15" t="s">
        <v>67</v>
      </c>
      <c r="B54" s="144" t="s">
        <v>68</v>
      </c>
      <c r="C54" s="144">
        <v>49174</v>
      </c>
      <c r="D54" s="145" t="s">
        <v>54</v>
      </c>
      <c r="E54" s="144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44"/>
      <c r="D55" s="145"/>
      <c r="E55" s="144"/>
      <c r="F55" s="21"/>
      <c r="G55" s="21"/>
      <c r="H55" s="48">
        <f>H52+H53+H54</f>
        <v>48420.999999999658</v>
      </c>
      <c r="I55" s="47"/>
      <c r="J55" s="59"/>
    </row>
    <row r="56" spans="1:10" ht="15.75" x14ac:dyDescent="0.25">
      <c r="A56" s="27" t="s">
        <v>75</v>
      </c>
      <c r="B56" s="144" t="s">
        <v>53</v>
      </c>
      <c r="C56" s="144">
        <v>51100980</v>
      </c>
      <c r="D56" s="144" t="s">
        <v>76</v>
      </c>
      <c r="E56" s="144">
        <v>12000</v>
      </c>
      <c r="F56" s="21">
        <v>1060.807</v>
      </c>
      <c r="G56" s="21">
        <v>1064.8309999999999</v>
      </c>
      <c r="H56" s="18">
        <f>(G56-F56)*E56</f>
        <v>48287.999999998647</v>
      </c>
      <c r="I56" s="47"/>
      <c r="J56" s="58"/>
    </row>
    <row r="57" spans="1:10" ht="15.75" x14ac:dyDescent="0.25">
      <c r="A57" s="27" t="s">
        <v>77</v>
      </c>
      <c r="B57" s="144" t="s">
        <v>53</v>
      </c>
      <c r="C57" s="144">
        <v>51097623</v>
      </c>
      <c r="D57" s="144" t="s">
        <v>76</v>
      </c>
      <c r="E57" s="144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44"/>
      <c r="C58" s="144"/>
      <c r="D58" s="144"/>
      <c r="E58" s="144"/>
      <c r="F58" s="21"/>
      <c r="G58" s="21"/>
      <c r="H58" s="48">
        <f>H56+H57</f>
        <v>48287.999999998647</v>
      </c>
      <c r="I58" s="61">
        <f>H55-H65-H54</f>
        <v>-57.000000000298314</v>
      </c>
      <c r="J58" s="25">
        <f>I58/H58</f>
        <v>-1.1804174950360319E-3</v>
      </c>
    </row>
    <row r="59" spans="1:10" ht="15.75" x14ac:dyDescent="0.25">
      <c r="A59" s="27" t="s">
        <v>79</v>
      </c>
      <c r="B59" s="144" t="s">
        <v>53</v>
      </c>
      <c r="C59" s="144">
        <v>51097675</v>
      </c>
      <c r="D59" s="144" t="s">
        <v>35</v>
      </c>
      <c r="E59" s="144">
        <v>4800</v>
      </c>
      <c r="F59" s="21">
        <v>451.07400000000001</v>
      </c>
      <c r="G59" s="21">
        <v>454.00599999999997</v>
      </c>
      <c r="H59" s="18">
        <f t="shared" ref="H59:H64" si="2">(G59-F59)*E59</f>
        <v>14073.599999999806</v>
      </c>
      <c r="I59" s="62"/>
      <c r="J59" s="59"/>
    </row>
    <row r="60" spans="1:10" ht="15.75" x14ac:dyDescent="0.25">
      <c r="A60" s="27" t="s">
        <v>80</v>
      </c>
      <c r="B60" s="144" t="s">
        <v>53</v>
      </c>
      <c r="C60" s="144">
        <v>51100997</v>
      </c>
      <c r="D60" s="144" t="s">
        <v>22</v>
      </c>
      <c r="E60" s="144">
        <v>3600</v>
      </c>
      <c r="F60" s="21">
        <v>1311.703</v>
      </c>
      <c r="G60" s="21">
        <v>1314.587</v>
      </c>
      <c r="H60" s="18">
        <f t="shared" si="2"/>
        <v>10382.400000000052</v>
      </c>
      <c r="I60" s="62"/>
      <c r="J60" s="59"/>
    </row>
    <row r="61" spans="1:10" ht="15.75" x14ac:dyDescent="0.25">
      <c r="A61" s="27" t="s">
        <v>81</v>
      </c>
      <c r="B61" s="144" t="s">
        <v>53</v>
      </c>
      <c r="C61" s="144">
        <v>51555218</v>
      </c>
      <c r="D61" s="144">
        <f>400/5</f>
        <v>80</v>
      </c>
      <c r="E61" s="144">
        <v>4800</v>
      </c>
      <c r="F61" s="21">
        <v>54.420999999999999</v>
      </c>
      <c r="G61" s="21">
        <v>54.908000000000001</v>
      </c>
      <c r="H61" s="18">
        <f t="shared" si="2"/>
        <v>2337.600000000009</v>
      </c>
      <c r="I61" s="62"/>
      <c r="J61" s="59"/>
    </row>
    <row r="62" spans="1:10" ht="15.75" x14ac:dyDescent="0.25">
      <c r="A62" s="27" t="s">
        <v>82</v>
      </c>
      <c r="B62" s="144" t="s">
        <v>53</v>
      </c>
      <c r="C62" s="144">
        <v>51555151</v>
      </c>
      <c r="D62" s="144">
        <f>400/5</f>
        <v>80</v>
      </c>
      <c r="E62" s="144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44" t="s">
        <v>53</v>
      </c>
      <c r="C63" s="144">
        <v>51097599</v>
      </c>
      <c r="D63" s="144" t="s">
        <v>22</v>
      </c>
      <c r="E63" s="144">
        <v>3600</v>
      </c>
      <c r="F63" s="21">
        <v>919.03499999999997</v>
      </c>
      <c r="G63" s="21">
        <v>921.44799999999998</v>
      </c>
      <c r="H63" s="18">
        <f t="shared" si="2"/>
        <v>8686.8000000000393</v>
      </c>
      <c r="I63" s="62"/>
      <c r="J63" s="59"/>
    </row>
    <row r="64" spans="1:10" ht="15.75" x14ac:dyDescent="0.25">
      <c r="A64" s="27" t="s">
        <v>84</v>
      </c>
      <c r="B64" s="144" t="s">
        <v>53</v>
      </c>
      <c r="C64" s="144">
        <v>51097620</v>
      </c>
      <c r="D64" s="144" t="s">
        <v>35</v>
      </c>
      <c r="E64" s="144">
        <v>4800</v>
      </c>
      <c r="F64" s="21">
        <v>462.63900000000001</v>
      </c>
      <c r="G64" s="21">
        <v>465.32600000000002</v>
      </c>
      <c r="H64" s="18">
        <f t="shared" si="2"/>
        <v>12897.600000000057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48377.999999999956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44" t="s">
        <v>53</v>
      </c>
      <c r="C67" s="9">
        <v>51259238</v>
      </c>
      <c r="D67" s="74" t="s">
        <v>54</v>
      </c>
      <c r="E67" s="74">
        <v>7000</v>
      </c>
      <c r="F67" s="75">
        <v>506.67</v>
      </c>
      <c r="G67" s="75">
        <v>509.26299999999998</v>
      </c>
      <c r="H67" s="76">
        <f>(G67-F67)*E67</f>
        <v>18150.999999999727</v>
      </c>
      <c r="I67" s="77"/>
      <c r="J67" s="78"/>
    </row>
    <row r="68" spans="1:10" ht="15.75" x14ac:dyDescent="0.25">
      <c r="A68" s="27" t="s">
        <v>87</v>
      </c>
      <c r="B68" s="144" t="s">
        <v>53</v>
      </c>
      <c r="C68" s="144">
        <v>51259324</v>
      </c>
      <c r="D68" s="145" t="s">
        <v>54</v>
      </c>
      <c r="E68" s="145">
        <v>7000</v>
      </c>
      <c r="F68" s="21">
        <v>388.43099999999998</v>
      </c>
      <c r="G68" s="21">
        <v>390.65300000000002</v>
      </c>
      <c r="H68" s="18">
        <f>(G68-F68)*E68</f>
        <v>15554.000000000258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44">
        <v>51491618</v>
      </c>
      <c r="D69" s="145" t="s">
        <v>64</v>
      </c>
      <c r="E69" s="144">
        <v>40</v>
      </c>
      <c r="F69" s="28">
        <v>1052.903</v>
      </c>
      <c r="G69" s="28">
        <v>1063.529</v>
      </c>
      <c r="H69" s="18">
        <f>(G69-F69)*E69</f>
        <v>425.03999999999905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44">
        <v>51491624</v>
      </c>
      <c r="D70" s="145" t="s">
        <v>64</v>
      </c>
      <c r="E70" s="144">
        <v>40</v>
      </c>
      <c r="F70" s="28">
        <v>140.875</v>
      </c>
      <c r="G70" s="28">
        <v>142.577</v>
      </c>
      <c r="H70" s="18">
        <f>(G70-F70)*E70</f>
        <v>68.079999999999927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33704.999999999985</v>
      </c>
      <c r="I71" s="85">
        <f>H71-H74-H69-H70</f>
        <v>-688.12000000021726</v>
      </c>
      <c r="J71" s="25">
        <f>I71/H71</f>
        <v>-2.0415962023445113E-2</v>
      </c>
    </row>
    <row r="72" spans="1:10" ht="15.75" x14ac:dyDescent="0.25">
      <c r="A72" s="27" t="s">
        <v>92</v>
      </c>
      <c r="B72" s="144" t="s">
        <v>53</v>
      </c>
      <c r="C72" s="86">
        <v>51097588</v>
      </c>
      <c r="D72" s="145" t="s">
        <v>76</v>
      </c>
      <c r="E72" s="144">
        <v>12000</v>
      </c>
      <c r="F72" s="21">
        <v>305.11099999999999</v>
      </c>
      <c r="G72" s="21">
        <v>306.59500000000003</v>
      </c>
      <c r="H72" s="18">
        <f>(G72-F72)*E72</f>
        <v>17808.000000000447</v>
      </c>
      <c r="I72" s="51"/>
      <c r="J72" s="58"/>
    </row>
    <row r="73" spans="1:10" ht="15.75" x14ac:dyDescent="0.25">
      <c r="A73" s="27" t="s">
        <v>93</v>
      </c>
      <c r="B73" s="144" t="s">
        <v>53</v>
      </c>
      <c r="C73" s="86">
        <v>51431335</v>
      </c>
      <c r="D73" s="145" t="s">
        <v>76</v>
      </c>
      <c r="E73" s="144">
        <v>12000</v>
      </c>
      <c r="F73" s="21">
        <v>238.23500000000001</v>
      </c>
      <c r="G73" s="21">
        <v>239.57599999999999</v>
      </c>
      <c r="H73" s="18">
        <f>(G73-F73)*E73</f>
        <v>16091.999999999756</v>
      </c>
      <c r="I73" s="51"/>
      <c r="J73" s="58"/>
    </row>
    <row r="74" spans="1:10" ht="15.75" x14ac:dyDescent="0.25">
      <c r="A74" s="87" t="s">
        <v>94</v>
      </c>
      <c r="B74" s="144" t="s">
        <v>28</v>
      </c>
      <c r="C74" s="144"/>
      <c r="D74" s="145"/>
      <c r="E74" s="144"/>
      <c r="F74" s="21"/>
      <c r="G74" s="21"/>
      <c r="H74" s="48">
        <f>H72+ H73</f>
        <v>33900.000000000204</v>
      </c>
      <c r="I74" s="85">
        <f>H74-H82</f>
        <v>-56.39999999950669</v>
      </c>
      <c r="J74" s="25">
        <f>I74/H74</f>
        <v>-1.6637168141447301E-3</v>
      </c>
    </row>
    <row r="75" spans="1:10" ht="15.75" x14ac:dyDescent="0.25">
      <c r="A75" s="27" t="s">
        <v>95</v>
      </c>
      <c r="B75" s="144" t="s">
        <v>53</v>
      </c>
      <c r="C75" s="86">
        <v>51097676</v>
      </c>
      <c r="D75" s="88" t="s">
        <v>64</v>
      </c>
      <c r="E75" s="144">
        <v>2400</v>
      </c>
      <c r="F75" s="21">
        <v>630.38499999999999</v>
      </c>
      <c r="G75" s="21">
        <v>634.00099999999998</v>
      </c>
      <c r="H75" s="18">
        <f>(G75-F75)*E75</f>
        <v>8678.3999999999651</v>
      </c>
      <c r="I75" s="51"/>
      <c r="J75" s="58"/>
    </row>
    <row r="76" spans="1:10" ht="15.75" x14ac:dyDescent="0.25">
      <c r="A76" s="27" t="s">
        <v>96</v>
      </c>
      <c r="B76" s="144" t="s">
        <v>53</v>
      </c>
      <c r="C76" s="86">
        <v>51431355</v>
      </c>
      <c r="D76" s="145" t="s">
        <v>22</v>
      </c>
      <c r="E76" s="145">
        <v>3600</v>
      </c>
      <c r="F76" s="21">
        <v>338.73700000000002</v>
      </c>
      <c r="G76" s="21">
        <v>340.15699999999998</v>
      </c>
      <c r="H76" s="18">
        <f>(G76-F76)*E76</f>
        <v>5111.9999999998527</v>
      </c>
      <c r="I76" s="51"/>
      <c r="J76" s="52"/>
    </row>
    <row r="77" spans="1:10" ht="15.75" x14ac:dyDescent="0.25">
      <c r="A77" s="27" t="s">
        <v>97</v>
      </c>
      <c r="B77" s="144" t="s">
        <v>53</v>
      </c>
      <c r="C77" s="86">
        <v>51259331</v>
      </c>
      <c r="D77" s="88" t="s">
        <v>38</v>
      </c>
      <c r="E77" s="144">
        <v>600</v>
      </c>
      <c r="F77" s="21">
        <v>147.76300000000001</v>
      </c>
      <c r="G77" s="21">
        <v>148.625</v>
      </c>
      <c r="H77" s="18">
        <f>(G77-F77)*E77</f>
        <v>517.19999999999686</v>
      </c>
      <c r="I77" s="51"/>
      <c r="J77" s="52"/>
    </row>
    <row r="78" spans="1:10" ht="15.75" x14ac:dyDescent="0.25">
      <c r="A78" s="27" t="s">
        <v>98</v>
      </c>
      <c r="B78" s="144" t="s">
        <v>53</v>
      </c>
      <c r="C78" s="86">
        <v>51259326</v>
      </c>
      <c r="D78" s="88" t="s">
        <v>15</v>
      </c>
      <c r="E78" s="144">
        <v>7200</v>
      </c>
      <c r="F78" s="21">
        <v>303.03699999999998</v>
      </c>
      <c r="G78" s="21">
        <v>304.50799999999998</v>
      </c>
      <c r="H78" s="18">
        <f>(G78-F78)*E78</f>
        <v>10591.200000000026</v>
      </c>
      <c r="I78" s="51"/>
      <c r="J78" s="52"/>
    </row>
    <row r="79" spans="1:10" ht="15.75" x14ac:dyDescent="0.25">
      <c r="A79" s="27" t="s">
        <v>99</v>
      </c>
      <c r="B79" s="144" t="s">
        <v>53</v>
      </c>
      <c r="C79" s="86">
        <v>51431351</v>
      </c>
      <c r="D79" s="88" t="s">
        <v>15</v>
      </c>
      <c r="E79" s="144">
        <v>7200</v>
      </c>
      <c r="F79" s="21">
        <v>212.42400000000001</v>
      </c>
      <c r="G79" s="21">
        <v>213.68199999999999</v>
      </c>
      <c r="H79" s="18">
        <f>(G79-F79)*E79</f>
        <v>9057.5999999998658</v>
      </c>
      <c r="I79" s="51"/>
      <c r="J79" s="52"/>
    </row>
    <row r="80" spans="1:10" ht="15.75" x14ac:dyDescent="0.25">
      <c r="A80" s="89" t="s">
        <v>100</v>
      </c>
      <c r="B80" s="144" t="s">
        <v>53</v>
      </c>
      <c r="C80" s="90">
        <v>51097666</v>
      </c>
      <c r="D80" s="88" t="s">
        <v>64</v>
      </c>
      <c r="E80" s="144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44" t="s">
        <v>53</v>
      </c>
      <c r="C81" s="90">
        <v>51259323</v>
      </c>
      <c r="D81" s="88" t="s">
        <v>64</v>
      </c>
      <c r="E81" s="144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33956.39999999971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44" t="s">
        <v>53</v>
      </c>
      <c r="C84" s="106">
        <v>51431297</v>
      </c>
      <c r="D84" s="145" t="s">
        <v>54</v>
      </c>
      <c r="E84" s="100">
        <v>7000</v>
      </c>
      <c r="F84" s="17">
        <v>246.75700000000001</v>
      </c>
      <c r="G84" s="17">
        <v>247.77099999999999</v>
      </c>
      <c r="H84" s="18">
        <f>(G84-F84)*E84</f>
        <v>7097.9999999998709</v>
      </c>
      <c r="I84" s="107"/>
      <c r="J84" s="108"/>
    </row>
    <row r="85" spans="1:10" ht="15.75" x14ac:dyDescent="0.25">
      <c r="A85" s="105" t="s">
        <v>87</v>
      </c>
      <c r="B85" s="144" t="s">
        <v>53</v>
      </c>
      <c r="C85" s="106">
        <v>51431332</v>
      </c>
      <c r="D85" s="145" t="s">
        <v>54</v>
      </c>
      <c r="E85" s="100">
        <v>7000</v>
      </c>
      <c r="F85" s="21">
        <v>337.76600000000002</v>
      </c>
      <c r="G85" s="21">
        <v>339.36599999999999</v>
      </c>
      <c r="H85" s="18">
        <f>(G85-F85)*E85</f>
        <v>11199.999999999762</v>
      </c>
      <c r="I85" s="144"/>
      <c r="J85" s="58"/>
    </row>
    <row r="86" spans="1:10" ht="15.75" x14ac:dyDescent="0.25">
      <c r="A86" s="27" t="s">
        <v>88</v>
      </c>
      <c r="B86" s="144" t="s">
        <v>104</v>
      </c>
      <c r="C86" s="109">
        <v>150773</v>
      </c>
      <c r="D86" s="145" t="s">
        <v>54</v>
      </c>
      <c r="E86" s="109">
        <v>20</v>
      </c>
      <c r="F86" s="17">
        <v>15498.2</v>
      </c>
      <c r="G86" s="17">
        <v>15507.5</v>
      </c>
      <c r="H86" s="18">
        <f>(G86-F86)*E86</f>
        <v>185.99999999998545</v>
      </c>
      <c r="I86" s="51"/>
      <c r="J86" s="58"/>
    </row>
    <row r="87" spans="1:10" ht="15.75" x14ac:dyDescent="0.25">
      <c r="A87" s="27" t="s">
        <v>90</v>
      </c>
      <c r="B87" s="144" t="s">
        <v>104</v>
      </c>
      <c r="C87" s="109">
        <v>150791</v>
      </c>
      <c r="D87" s="145" t="s">
        <v>54</v>
      </c>
      <c r="E87" s="109">
        <v>20</v>
      </c>
      <c r="F87" s="21">
        <v>231.5</v>
      </c>
      <c r="G87" s="21">
        <v>231.7</v>
      </c>
      <c r="H87" s="18">
        <f>(G87-F87)*E87</f>
        <v>3.9999999999997726</v>
      </c>
      <c r="I87" s="51"/>
      <c r="J87" s="58"/>
    </row>
    <row r="88" spans="1:10" ht="15.75" x14ac:dyDescent="0.25">
      <c r="A88" s="110" t="s">
        <v>91</v>
      </c>
      <c r="B88" s="146"/>
      <c r="C88" s="32"/>
      <c r="D88" s="82"/>
      <c r="E88" s="82"/>
      <c r="F88" s="21"/>
      <c r="G88" s="21"/>
      <c r="H88" s="48">
        <f>H84+H85</f>
        <v>18297.999999999633</v>
      </c>
      <c r="I88" s="85">
        <f>H88-H91-H86-H87</f>
        <v>352.79999999958841</v>
      </c>
      <c r="J88" s="25">
        <f>I88/H88</f>
        <v>1.9280795715356625E-2</v>
      </c>
    </row>
    <row r="89" spans="1:10" ht="15.75" x14ac:dyDescent="0.25">
      <c r="A89" s="27" t="s">
        <v>105</v>
      </c>
      <c r="B89" s="144" t="s">
        <v>53</v>
      </c>
      <c r="C89" s="106">
        <v>51431342</v>
      </c>
      <c r="D89" s="88" t="s">
        <v>35</v>
      </c>
      <c r="E89" s="144">
        <v>4800</v>
      </c>
      <c r="F89" s="21">
        <v>349.57400000000001</v>
      </c>
      <c r="G89" s="21">
        <v>351.03699999999998</v>
      </c>
      <c r="H89" s="18">
        <f>(G89-F89)*E89</f>
        <v>7022.3999999998341</v>
      </c>
      <c r="I89" s="51"/>
      <c r="J89" s="52"/>
    </row>
    <row r="90" spans="1:10" ht="15.75" x14ac:dyDescent="0.25">
      <c r="A90" s="27" t="s">
        <v>106</v>
      </c>
      <c r="B90" s="144" t="s">
        <v>53</v>
      </c>
      <c r="C90" s="106">
        <v>51431343</v>
      </c>
      <c r="D90" s="88" t="s">
        <v>35</v>
      </c>
      <c r="E90" s="144">
        <v>4800</v>
      </c>
      <c r="F90" s="21">
        <v>478.00599999999997</v>
      </c>
      <c r="G90" s="21">
        <v>480.24200000000002</v>
      </c>
      <c r="H90" s="18">
        <f>(G90-F90)*E90</f>
        <v>10732.800000000225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17755.200000000059</v>
      </c>
      <c r="I91" s="85">
        <f>H91-H99</f>
        <v>-155.80000000000291</v>
      </c>
      <c r="J91" s="25">
        <f>I91/H91</f>
        <v>-8.7748941155268538E-3</v>
      </c>
    </row>
    <row r="92" spans="1:10" ht="15.75" x14ac:dyDescent="0.25">
      <c r="A92" s="27" t="s">
        <v>108</v>
      </c>
      <c r="B92" s="144" t="s">
        <v>53</v>
      </c>
      <c r="C92" s="106">
        <v>51431347</v>
      </c>
      <c r="D92" s="145" t="s">
        <v>54</v>
      </c>
      <c r="E92" s="144">
        <v>1200</v>
      </c>
      <c r="F92" s="21">
        <v>1107.9449999999999</v>
      </c>
      <c r="G92" s="21">
        <v>1116.3109999999999</v>
      </c>
      <c r="H92" s="18">
        <f t="shared" ref="H92:H100" si="4">(G92-F92)*E92</f>
        <v>10039.199999999983</v>
      </c>
      <c r="I92" s="51"/>
      <c r="J92" s="52"/>
    </row>
    <row r="93" spans="1:10" ht="15.75" x14ac:dyDescent="0.25">
      <c r="A93" s="27" t="s">
        <v>109</v>
      </c>
      <c r="B93" s="144" t="s">
        <v>53</v>
      </c>
      <c r="C93" s="106">
        <v>51431339</v>
      </c>
      <c r="D93" s="145" t="s">
        <v>54</v>
      </c>
      <c r="E93" s="144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44" t="s">
        <v>53</v>
      </c>
      <c r="C94" s="106">
        <v>51217244</v>
      </c>
      <c r="D94" s="144" t="s">
        <v>38</v>
      </c>
      <c r="E94" s="144">
        <v>600</v>
      </c>
      <c r="F94" s="30">
        <v>306.17899999999997</v>
      </c>
      <c r="G94" s="30">
        <v>307.21199999999999</v>
      </c>
      <c r="H94" s="18">
        <f t="shared" si="4"/>
        <v>619.80000000000928</v>
      </c>
      <c r="I94" s="51"/>
      <c r="J94" s="52"/>
    </row>
    <row r="95" spans="1:10" ht="15.75" x14ac:dyDescent="0.25">
      <c r="A95" s="27" t="s">
        <v>111</v>
      </c>
      <c r="B95" s="144" t="s">
        <v>53</v>
      </c>
      <c r="C95" s="106">
        <v>51217267</v>
      </c>
      <c r="D95" s="88" t="s">
        <v>64</v>
      </c>
      <c r="E95" s="144">
        <v>2400</v>
      </c>
      <c r="F95" s="30">
        <v>19.667999999999999</v>
      </c>
      <c r="G95" s="30">
        <v>19.702000000000002</v>
      </c>
      <c r="H95" s="18">
        <f t="shared" si="4"/>
        <v>81.600000000005934</v>
      </c>
      <c r="I95" s="51"/>
      <c r="J95" s="52"/>
    </row>
    <row r="96" spans="1:10" ht="15.75" x14ac:dyDescent="0.25">
      <c r="A96" s="27" t="s">
        <v>112</v>
      </c>
      <c r="B96" s="144" t="s">
        <v>53</v>
      </c>
      <c r="C96" s="144">
        <v>51555165</v>
      </c>
      <c r="D96" s="145" t="s">
        <v>54</v>
      </c>
      <c r="E96" s="144">
        <v>1200</v>
      </c>
      <c r="F96" s="30">
        <v>771.62699999999995</v>
      </c>
      <c r="G96" s="30">
        <v>771.62699999999995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44" t="s">
        <v>53</v>
      </c>
      <c r="C97" s="106">
        <v>51431346</v>
      </c>
      <c r="D97" s="114" t="s">
        <v>38</v>
      </c>
      <c r="E97" s="114">
        <v>600</v>
      </c>
      <c r="F97" s="30">
        <v>319.79199999999997</v>
      </c>
      <c r="G97" s="30">
        <v>321.65800000000002</v>
      </c>
      <c r="H97" s="115">
        <f t="shared" si="4"/>
        <v>1119.6000000000254</v>
      </c>
      <c r="I97" s="116"/>
      <c r="J97" s="117"/>
    </row>
    <row r="98" spans="1:10" ht="15.75" x14ac:dyDescent="0.25">
      <c r="A98" s="27" t="s">
        <v>114</v>
      </c>
      <c r="B98" s="144" t="s">
        <v>53</v>
      </c>
      <c r="C98" s="106">
        <v>51431352</v>
      </c>
      <c r="D98" s="88" t="s">
        <v>22</v>
      </c>
      <c r="E98" s="144">
        <v>3600</v>
      </c>
      <c r="F98" s="21">
        <v>196.22399999999999</v>
      </c>
      <c r="G98" s="21">
        <v>197.852</v>
      </c>
      <c r="H98" s="18">
        <f t="shared" si="4"/>
        <v>5860.800000000052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17911.000000000062</v>
      </c>
      <c r="I99" s="51"/>
      <c r="J99" s="52"/>
    </row>
    <row r="100" spans="1:10" ht="15.75" x14ac:dyDescent="0.25">
      <c r="A100" s="45" t="s">
        <v>115</v>
      </c>
      <c r="B100" s="144" t="s">
        <v>53</v>
      </c>
      <c r="C100" s="120">
        <v>51431357</v>
      </c>
      <c r="D100" s="145" t="s">
        <v>64</v>
      </c>
      <c r="E100" s="145">
        <v>14000</v>
      </c>
      <c r="F100" s="28">
        <v>768.75</v>
      </c>
      <c r="G100" s="28">
        <v>772.56600000000003</v>
      </c>
      <c r="H100" s="121">
        <f t="shared" si="4"/>
        <v>53424.000000000437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A55" zoomScaleNormal="100" workbookViewId="0">
      <selection activeCell="O37" sqref="O37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125</v>
      </c>
      <c r="G3" s="4" t="s">
        <v>126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47" t="s">
        <v>14</v>
      </c>
      <c r="C5" s="147">
        <v>51555166</v>
      </c>
      <c r="D5" s="147" t="s">
        <v>15</v>
      </c>
      <c r="E5" s="147">
        <v>132000</v>
      </c>
      <c r="F5" s="17">
        <v>2.9329999999999998</v>
      </c>
      <c r="G5" s="17">
        <v>2.9329999999999998</v>
      </c>
      <c r="H5" s="18">
        <f>(G5-F5)*E5</f>
        <v>0</v>
      </c>
      <c r="I5" s="19"/>
      <c r="J5" s="20"/>
    </row>
    <row r="6" spans="1:10" ht="15.75" x14ac:dyDescent="0.25">
      <c r="A6" s="15" t="s">
        <v>16</v>
      </c>
      <c r="B6" s="147" t="s">
        <v>14</v>
      </c>
      <c r="C6" s="147">
        <v>51555191</v>
      </c>
      <c r="D6" s="147" t="s">
        <v>15</v>
      </c>
      <c r="E6" s="147">
        <v>132000</v>
      </c>
      <c r="F6" s="21">
        <v>334.49599999999998</v>
      </c>
      <c r="G6" s="21">
        <v>336.36500000000001</v>
      </c>
      <c r="H6" s="18">
        <f>(G6-F6)*E6</f>
        <v>246708.00000000373</v>
      </c>
      <c r="I6" s="19"/>
      <c r="J6" s="20"/>
    </row>
    <row r="7" spans="1:10" ht="15.75" x14ac:dyDescent="0.25">
      <c r="A7" s="207" t="s">
        <v>17</v>
      </c>
      <c r="B7" s="208"/>
      <c r="C7" s="147"/>
      <c r="D7" s="148"/>
      <c r="E7" s="147"/>
      <c r="H7" s="23">
        <f>H5+H6</f>
        <v>246708.00000000373</v>
      </c>
      <c r="I7" s="24">
        <f>H7-H10-H20</f>
        <v>1794.000000000553</v>
      </c>
      <c r="J7" s="25">
        <f>I7/H7</f>
        <v>7.2717544627678302E-3</v>
      </c>
    </row>
    <row r="8" spans="1:10" ht="15.75" x14ac:dyDescent="0.25">
      <c r="A8" s="26" t="s">
        <v>18</v>
      </c>
      <c r="B8" s="147" t="s">
        <v>14</v>
      </c>
      <c r="C8" s="147">
        <v>51097629</v>
      </c>
      <c r="D8" s="148" t="s">
        <v>15</v>
      </c>
      <c r="E8" s="147">
        <v>42000</v>
      </c>
      <c r="F8" s="21">
        <v>1020.437</v>
      </c>
      <c r="G8" s="21">
        <v>1024.4100000000001</v>
      </c>
      <c r="H8" s="18">
        <f>(G8-F8)*E8</f>
        <v>166866.00000000294</v>
      </c>
      <c r="I8" s="19"/>
      <c r="J8" s="20"/>
    </row>
    <row r="9" spans="1:10" ht="15.75" x14ac:dyDescent="0.25">
      <c r="A9" s="26" t="s">
        <v>19</v>
      </c>
      <c r="B9" s="147" t="s">
        <v>14</v>
      </c>
      <c r="C9" s="147">
        <v>51616820</v>
      </c>
      <c r="D9" s="148" t="s">
        <v>15</v>
      </c>
      <c r="E9" s="147">
        <v>42000</v>
      </c>
      <c r="F9" s="21">
        <v>5.0199999999999996</v>
      </c>
      <c r="G9" s="21">
        <v>5.0199999999999996</v>
      </c>
      <c r="H9" s="18">
        <f>(G9-F9)*E9</f>
        <v>0</v>
      </c>
      <c r="I9" s="19"/>
      <c r="J9" s="20"/>
    </row>
    <row r="10" spans="1:10" ht="15.75" x14ac:dyDescent="0.25">
      <c r="A10" s="207" t="s">
        <v>20</v>
      </c>
      <c r="B10" s="208"/>
      <c r="C10" s="147"/>
      <c r="D10" s="148"/>
      <c r="E10" s="147"/>
      <c r="F10" s="21"/>
      <c r="G10" s="21"/>
      <c r="H10" s="23">
        <f>H8+H9</f>
        <v>166866.00000000294</v>
      </c>
      <c r="I10" s="24">
        <f>H10-H17</f>
        <v>84.000000000029104</v>
      </c>
      <c r="J10" s="25">
        <f>I10/H10</f>
        <v>5.0339793606862771E-4</v>
      </c>
    </row>
    <row r="11" spans="1:10" ht="15.75" x14ac:dyDescent="0.25">
      <c r="A11" s="27" t="s">
        <v>21</v>
      </c>
      <c r="B11" s="147" t="s">
        <v>14</v>
      </c>
      <c r="C11" s="147">
        <v>51217286</v>
      </c>
      <c r="D11" s="148" t="s">
        <v>22</v>
      </c>
      <c r="E11" s="147">
        <v>21000</v>
      </c>
      <c r="F11" s="21">
        <v>808.37</v>
      </c>
      <c r="G11" s="21">
        <v>811.74</v>
      </c>
      <c r="H11" s="18">
        <f t="shared" ref="H11:H16" si="0">(G11-F11)*E11</f>
        <v>70770.000000000102</v>
      </c>
      <c r="I11" s="19"/>
      <c r="J11" s="20"/>
    </row>
    <row r="12" spans="1:10" ht="15.75" x14ac:dyDescent="0.25">
      <c r="A12" s="27" t="s">
        <v>23</v>
      </c>
      <c r="B12" s="147" t="s">
        <v>14</v>
      </c>
      <c r="C12" s="147">
        <v>51217292</v>
      </c>
      <c r="D12" s="148" t="s">
        <v>22</v>
      </c>
      <c r="E12" s="147">
        <v>21000</v>
      </c>
      <c r="F12" s="28">
        <v>3.4609999999999999</v>
      </c>
      <c r="G12" s="28">
        <v>3.488</v>
      </c>
      <c r="H12" s="18">
        <f>(G12-F12)*E12</f>
        <v>567.00000000000284</v>
      </c>
      <c r="I12" s="19"/>
      <c r="J12" s="20"/>
    </row>
    <row r="13" spans="1:10" ht="15.75" x14ac:dyDescent="0.25">
      <c r="A13" s="27" t="s">
        <v>24</v>
      </c>
      <c r="B13" s="147" t="s">
        <v>14</v>
      </c>
      <c r="C13" s="147">
        <v>51217271</v>
      </c>
      <c r="D13" s="148" t="s">
        <v>22</v>
      </c>
      <c r="E13" s="147">
        <v>21000</v>
      </c>
      <c r="F13" s="21">
        <v>592.06799999999998</v>
      </c>
      <c r="G13" s="21">
        <v>593.63300000000004</v>
      </c>
      <c r="H13" s="18">
        <f t="shared" si="0"/>
        <v>32865.00000000115</v>
      </c>
      <c r="I13" s="19"/>
      <c r="J13" s="20"/>
    </row>
    <row r="14" spans="1:10" ht="15.75" x14ac:dyDescent="0.25">
      <c r="A14" s="27" t="s">
        <v>25</v>
      </c>
      <c r="B14" s="147" t="s">
        <v>14</v>
      </c>
      <c r="C14" s="147">
        <v>51217276</v>
      </c>
      <c r="D14" s="148" t="s">
        <v>22</v>
      </c>
      <c r="E14" s="147">
        <v>21000</v>
      </c>
      <c r="F14" s="28">
        <v>0.51500000000000001</v>
      </c>
      <c r="G14" s="28">
        <v>0.51900000000000002</v>
      </c>
      <c r="H14" s="18">
        <f>(G14-F14)*E14</f>
        <v>84.000000000000071</v>
      </c>
      <c r="I14" s="19"/>
      <c r="J14" s="20"/>
    </row>
    <row r="15" spans="1:10" ht="15.75" x14ac:dyDescent="0.25">
      <c r="A15" s="27" t="s">
        <v>26</v>
      </c>
      <c r="B15" s="147" t="s">
        <v>14</v>
      </c>
      <c r="C15" s="147">
        <v>51100990</v>
      </c>
      <c r="D15" s="148" t="s">
        <v>22</v>
      </c>
      <c r="E15" s="147">
        <v>21000</v>
      </c>
      <c r="F15" s="29">
        <v>646.18399999999997</v>
      </c>
      <c r="G15" s="29">
        <v>649.14700000000005</v>
      </c>
      <c r="H15" s="18">
        <f t="shared" si="0"/>
        <v>62223.000000001659</v>
      </c>
      <c r="I15" s="19"/>
      <c r="J15" s="20"/>
    </row>
    <row r="16" spans="1:10" ht="15.75" x14ac:dyDescent="0.25">
      <c r="A16" s="27" t="s">
        <v>27</v>
      </c>
      <c r="B16" s="147" t="s">
        <v>14</v>
      </c>
      <c r="C16" s="147">
        <v>51097622</v>
      </c>
      <c r="D16" s="148" t="s">
        <v>22</v>
      </c>
      <c r="E16" s="147">
        <v>21000</v>
      </c>
      <c r="F16" s="21">
        <v>2.8370000000000002</v>
      </c>
      <c r="G16" s="21">
        <v>2.85</v>
      </c>
      <c r="H16" s="18">
        <f t="shared" si="0"/>
        <v>272.9999999999979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47"/>
      <c r="D17" s="148"/>
      <c r="E17" s="147"/>
      <c r="F17" s="21"/>
      <c r="G17" s="21"/>
      <c r="H17" s="23">
        <f>H11+H12+H13+H14+H15+H16</f>
        <v>166782.00000000291</v>
      </c>
      <c r="I17" s="19"/>
      <c r="J17" s="20"/>
    </row>
    <row r="18" spans="1:10" ht="15.75" x14ac:dyDescent="0.25">
      <c r="A18" s="26" t="s">
        <v>30</v>
      </c>
      <c r="B18" s="147" t="s">
        <v>14</v>
      </c>
      <c r="C18" s="147">
        <v>51097617</v>
      </c>
      <c r="D18" s="148" t="s">
        <v>31</v>
      </c>
      <c r="E18" s="147">
        <v>18000</v>
      </c>
      <c r="F18" s="30">
        <v>777.00400000000002</v>
      </c>
      <c r="G18" s="30">
        <v>781.34</v>
      </c>
      <c r="H18" s="18">
        <f>(G18-F18)*E18</f>
        <v>78048.000000000233</v>
      </c>
      <c r="I18" s="19"/>
      <c r="J18" s="20"/>
    </row>
    <row r="19" spans="1:10" ht="15.75" x14ac:dyDescent="0.25">
      <c r="A19" s="26" t="s">
        <v>32</v>
      </c>
      <c r="B19" s="147" t="s">
        <v>14</v>
      </c>
      <c r="C19" s="147">
        <v>51097655</v>
      </c>
      <c r="D19" s="148" t="s">
        <v>31</v>
      </c>
      <c r="E19" s="147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47"/>
      <c r="D20" s="148"/>
      <c r="E20" s="147"/>
      <c r="F20" s="30"/>
      <c r="G20" s="30"/>
      <c r="H20" s="23">
        <f>H18+H19</f>
        <v>78048.000000000233</v>
      </c>
      <c r="I20" s="24">
        <f>H20-H35</f>
        <v>3858.000000001135</v>
      </c>
      <c r="J20" s="25">
        <f>I20/H20</f>
        <v>4.9431119311207507E-2</v>
      </c>
    </row>
    <row r="21" spans="1:10" ht="15.75" x14ac:dyDescent="0.25">
      <c r="A21" s="15" t="s">
        <v>34</v>
      </c>
      <c r="B21" s="147" t="s">
        <v>14</v>
      </c>
      <c r="C21" s="147">
        <v>51217282</v>
      </c>
      <c r="D21" s="148" t="s">
        <v>35</v>
      </c>
      <c r="E21" s="147">
        <v>4800</v>
      </c>
      <c r="F21" s="21">
        <v>379.61500000000001</v>
      </c>
      <c r="G21" s="21">
        <v>379.66199999999998</v>
      </c>
      <c r="H21" s="18">
        <f t="shared" ref="H21:H34" si="1">(G21-F21)*E21</f>
        <v>225.59999999984939</v>
      </c>
      <c r="I21" s="19" t="s">
        <v>28</v>
      </c>
      <c r="J21" s="20"/>
    </row>
    <row r="22" spans="1:10" ht="15.75" x14ac:dyDescent="0.25">
      <c r="A22" s="15" t="s">
        <v>36</v>
      </c>
      <c r="B22" s="147" t="s">
        <v>14</v>
      </c>
      <c r="C22" s="147">
        <v>51217274</v>
      </c>
      <c r="D22" s="148" t="s">
        <v>35</v>
      </c>
      <c r="E22" s="147">
        <v>4800</v>
      </c>
      <c r="F22" s="21">
        <v>1221.5820000000001</v>
      </c>
      <c r="G22" s="21">
        <v>1227.665</v>
      </c>
      <c r="H22" s="18">
        <f t="shared" si="1"/>
        <v>29198.39999999931</v>
      </c>
      <c r="I22" s="19"/>
      <c r="J22" s="20"/>
    </row>
    <row r="23" spans="1:10" ht="15.75" x14ac:dyDescent="0.25">
      <c r="A23" s="15" t="s">
        <v>37</v>
      </c>
      <c r="B23" s="147" t="s">
        <v>14</v>
      </c>
      <c r="C23" s="147">
        <v>51097664</v>
      </c>
      <c r="D23" s="148" t="s">
        <v>38</v>
      </c>
      <c r="E23" s="147">
        <v>600</v>
      </c>
      <c r="F23" s="21">
        <v>4.4400000000000004</v>
      </c>
      <c r="G23" s="21">
        <v>4.4409999999999998</v>
      </c>
      <c r="H23" s="18">
        <f t="shared" si="1"/>
        <v>0.59999999999966747</v>
      </c>
      <c r="I23" s="19"/>
      <c r="J23" s="20"/>
    </row>
    <row r="24" spans="1:10" ht="15.75" x14ac:dyDescent="0.25">
      <c r="A24" s="15" t="s">
        <v>39</v>
      </c>
      <c r="B24" s="147" t="s">
        <v>14</v>
      </c>
      <c r="C24" s="147">
        <v>51097615</v>
      </c>
      <c r="D24" s="148" t="s">
        <v>38</v>
      </c>
      <c r="E24" s="147">
        <v>600</v>
      </c>
      <c r="F24" s="21">
        <v>37.033000000000001</v>
      </c>
      <c r="G24" s="21">
        <v>37.445999999999998</v>
      </c>
      <c r="H24" s="18">
        <f t="shared" si="1"/>
        <v>247.79999999999802</v>
      </c>
      <c r="I24" s="19"/>
      <c r="J24" s="20"/>
    </row>
    <row r="25" spans="1:10" ht="15.75" x14ac:dyDescent="0.25">
      <c r="A25" s="15" t="s">
        <v>40</v>
      </c>
      <c r="B25" s="147" t="s">
        <v>14</v>
      </c>
      <c r="C25" s="147">
        <v>51217264</v>
      </c>
      <c r="D25" s="148" t="s">
        <v>38</v>
      </c>
      <c r="E25" s="147">
        <v>600</v>
      </c>
      <c r="F25" s="21">
        <v>89.376000000000005</v>
      </c>
      <c r="G25" s="21">
        <v>90.082999999999998</v>
      </c>
      <c r="H25" s="18">
        <f t="shared" si="1"/>
        <v>424.19999999999618</v>
      </c>
      <c r="I25" s="19"/>
      <c r="J25" s="20"/>
    </row>
    <row r="26" spans="1:10" ht="15.75" x14ac:dyDescent="0.25">
      <c r="A26" s="15" t="s">
        <v>41</v>
      </c>
      <c r="B26" s="147" t="s">
        <v>14</v>
      </c>
      <c r="C26" s="147">
        <v>51217288</v>
      </c>
      <c r="D26" s="148" t="s">
        <v>38</v>
      </c>
      <c r="E26" s="147">
        <v>600</v>
      </c>
      <c r="F26" s="21">
        <v>19.809000000000001</v>
      </c>
      <c r="G26" s="21">
        <v>19.838999999999999</v>
      </c>
      <c r="H26" s="18">
        <f t="shared" si="1"/>
        <v>17.99999999999855</v>
      </c>
      <c r="I26" s="19" t="s">
        <v>28</v>
      </c>
      <c r="J26" s="20"/>
    </row>
    <row r="27" spans="1:10" ht="15.75" x14ac:dyDescent="0.25">
      <c r="A27" s="15" t="s">
        <v>42</v>
      </c>
      <c r="B27" s="147" t="s">
        <v>14</v>
      </c>
      <c r="C27" s="147">
        <v>51217279</v>
      </c>
      <c r="D27" s="148" t="s">
        <v>38</v>
      </c>
      <c r="E27" s="147">
        <v>600</v>
      </c>
      <c r="F27" s="21">
        <v>14.135</v>
      </c>
      <c r="G27" s="21">
        <v>14.189</v>
      </c>
      <c r="H27" s="18">
        <f t="shared" si="1"/>
        <v>32.400000000000162</v>
      </c>
      <c r="I27" s="19" t="s">
        <v>28</v>
      </c>
      <c r="J27" s="20"/>
    </row>
    <row r="28" spans="1:10" ht="15.75" x14ac:dyDescent="0.25">
      <c r="A28" s="15" t="s">
        <v>43</v>
      </c>
      <c r="B28" s="147" t="s">
        <v>14</v>
      </c>
      <c r="C28" s="147">
        <v>51217272</v>
      </c>
      <c r="D28" s="148" t="s">
        <v>38</v>
      </c>
      <c r="E28" s="147">
        <v>600</v>
      </c>
      <c r="F28" s="31">
        <v>13.866</v>
      </c>
      <c r="G28" s="31">
        <v>13.919</v>
      </c>
      <c r="H28" s="18">
        <f t="shared" si="1"/>
        <v>31.800000000000495</v>
      </c>
      <c r="I28" s="19"/>
      <c r="J28" s="20"/>
    </row>
    <row r="29" spans="1:10" ht="15.75" x14ac:dyDescent="0.25">
      <c r="A29" s="15" t="s">
        <v>44</v>
      </c>
      <c r="B29" s="147" t="s">
        <v>14</v>
      </c>
      <c r="C29" s="147">
        <v>51616744</v>
      </c>
      <c r="D29" s="148">
        <f>300/5</f>
        <v>60</v>
      </c>
      <c r="E29" s="147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47" t="s">
        <v>14</v>
      </c>
      <c r="C30" s="147">
        <v>51555226</v>
      </c>
      <c r="D30" s="148">
        <f>300/5</f>
        <v>60</v>
      </c>
      <c r="E30" s="147">
        <v>3600</v>
      </c>
      <c r="F30" s="31">
        <v>430.83600000000001</v>
      </c>
      <c r="G30" s="31">
        <v>434.976</v>
      </c>
      <c r="H30" s="18">
        <f>(G30-F30)*E30</f>
        <v>14903.999999999951</v>
      </c>
      <c r="I30" s="19"/>
      <c r="J30" s="20"/>
    </row>
    <row r="31" spans="1:10" ht="15.75" x14ac:dyDescent="0.25">
      <c r="A31" s="15" t="s">
        <v>46</v>
      </c>
      <c r="B31" s="147" t="s">
        <v>14</v>
      </c>
      <c r="C31" s="147">
        <v>51097658</v>
      </c>
      <c r="D31" s="148" t="s">
        <v>35</v>
      </c>
      <c r="E31" s="147">
        <v>4800</v>
      </c>
      <c r="F31" s="31">
        <v>594.53</v>
      </c>
      <c r="G31" s="31">
        <v>598.01099999999997</v>
      </c>
      <c r="H31" s="18">
        <f t="shared" si="1"/>
        <v>16708.799999999974</v>
      </c>
      <c r="I31" s="19"/>
      <c r="J31" s="20"/>
    </row>
    <row r="32" spans="1:10" ht="15.75" x14ac:dyDescent="0.25">
      <c r="A32" s="15" t="s">
        <v>47</v>
      </c>
      <c r="B32" s="147" t="s">
        <v>14</v>
      </c>
      <c r="C32" s="147">
        <v>51097635</v>
      </c>
      <c r="D32" s="148" t="s">
        <v>35</v>
      </c>
      <c r="E32" s="147">
        <v>4800</v>
      </c>
      <c r="F32" s="31">
        <v>48.448</v>
      </c>
      <c r="G32" s="31">
        <v>48.448</v>
      </c>
      <c r="H32" s="18">
        <f t="shared" si="1"/>
        <v>0</v>
      </c>
      <c r="I32" s="19"/>
      <c r="J32" s="20"/>
    </row>
    <row r="33" spans="1:10" ht="15.75" x14ac:dyDescent="0.25">
      <c r="A33" s="15" t="s">
        <v>48</v>
      </c>
      <c r="B33" s="147" t="s">
        <v>14</v>
      </c>
      <c r="C33" s="32">
        <v>51097633</v>
      </c>
      <c r="D33" s="148" t="s">
        <v>35</v>
      </c>
      <c r="E33" s="147">
        <v>4800</v>
      </c>
      <c r="F33" s="31">
        <v>138.50299999999999</v>
      </c>
      <c r="G33" s="31">
        <v>141.03899999999999</v>
      </c>
      <c r="H33" s="33">
        <f t="shared" si="1"/>
        <v>12172.800000000007</v>
      </c>
      <c r="I33" s="34"/>
      <c r="J33" s="35"/>
    </row>
    <row r="34" spans="1:10" ht="15.75" x14ac:dyDescent="0.25">
      <c r="A34" s="15" t="s">
        <v>49</v>
      </c>
      <c r="B34" s="147" t="s">
        <v>14</v>
      </c>
      <c r="C34" s="32">
        <v>51097662</v>
      </c>
      <c r="D34" s="148" t="s">
        <v>35</v>
      </c>
      <c r="E34" s="147">
        <v>4800</v>
      </c>
      <c r="F34" s="31">
        <v>2.637</v>
      </c>
      <c r="G34" s="31">
        <v>2.6840000000000002</v>
      </c>
      <c r="H34" s="33">
        <f t="shared" si="1"/>
        <v>225.60000000000073</v>
      </c>
      <c r="I34" s="34"/>
      <c r="J34" s="35"/>
    </row>
    <row r="35" spans="1:10" ht="15.75" x14ac:dyDescent="0.25">
      <c r="A35" s="207" t="s">
        <v>50</v>
      </c>
      <c r="B35" s="208"/>
      <c r="C35" s="147"/>
      <c r="D35" s="148"/>
      <c r="E35" s="147"/>
      <c r="F35" s="36"/>
      <c r="G35" s="36"/>
      <c r="H35" s="23">
        <f>H21+H22+H23+H24+H25+H26+H27+H28+H29+H30+H31+H32+H33+H34</f>
        <v>74189.999999999098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47" t="s">
        <v>53</v>
      </c>
      <c r="C37" s="147">
        <v>51555209</v>
      </c>
      <c r="D37" s="148" t="s">
        <v>54</v>
      </c>
      <c r="E37" s="147">
        <v>7000</v>
      </c>
      <c r="F37" s="17">
        <v>4.9390000000000001</v>
      </c>
      <c r="G37" s="17">
        <v>4.9930000000000003</v>
      </c>
      <c r="H37" s="41">
        <f>(G37-F37)*E37</f>
        <v>378.00000000000188</v>
      </c>
      <c r="I37" s="42"/>
      <c r="J37" s="14"/>
    </row>
    <row r="38" spans="1:10" ht="15.75" x14ac:dyDescent="0.25">
      <c r="A38" s="15" t="s">
        <v>55</v>
      </c>
      <c r="B38" s="147" t="s">
        <v>53</v>
      </c>
      <c r="C38" s="147">
        <v>51555209</v>
      </c>
      <c r="D38" s="148" t="s">
        <v>54</v>
      </c>
      <c r="E38" s="147">
        <v>7000</v>
      </c>
      <c r="F38" s="21">
        <v>9.5510000000000002</v>
      </c>
      <c r="G38" s="21">
        <v>9.5960000000000001</v>
      </c>
      <c r="H38" s="18">
        <f>(G38-F38)*E38</f>
        <v>314.99999999999949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47" t="s">
        <v>53</v>
      </c>
      <c r="C40" s="147">
        <v>51097674</v>
      </c>
      <c r="D40" s="147" t="s">
        <v>15</v>
      </c>
      <c r="E40" s="147">
        <v>7200</v>
      </c>
      <c r="F40" s="21">
        <v>549.02800000000002</v>
      </c>
      <c r="G40" s="21">
        <v>551.505</v>
      </c>
      <c r="H40" s="18">
        <f>(G40-F40)*E40</f>
        <v>17834.399999999823</v>
      </c>
      <c r="I40" s="47"/>
      <c r="J40" s="20"/>
    </row>
    <row r="41" spans="1:10" ht="15.75" x14ac:dyDescent="0.25">
      <c r="A41" s="27" t="s">
        <v>58</v>
      </c>
      <c r="B41" s="147" t="s">
        <v>53</v>
      </c>
      <c r="C41" s="147">
        <v>51259257</v>
      </c>
      <c r="D41" s="147" t="s">
        <v>15</v>
      </c>
      <c r="E41" s="147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47"/>
      <c r="C42" s="147"/>
      <c r="D42" s="147"/>
      <c r="E42" s="147"/>
      <c r="F42" s="21"/>
      <c r="G42" s="21"/>
      <c r="H42" s="48">
        <f>H40+H41</f>
        <v>17834.399999999823</v>
      </c>
      <c r="I42" s="24">
        <f>H42-H50</f>
        <v>-109.99999999985448</v>
      </c>
      <c r="J42" s="25">
        <f>I42/H42</f>
        <v>-6.1678553806046501E-3</v>
      </c>
    </row>
    <row r="43" spans="1:10" ht="15.75" x14ac:dyDescent="0.25">
      <c r="A43" s="15" t="s">
        <v>60</v>
      </c>
      <c r="B43" s="147"/>
      <c r="C43" s="147"/>
      <c r="D43" s="148"/>
      <c r="E43" s="147"/>
      <c r="H43" s="18"/>
      <c r="I43" s="43"/>
      <c r="J43" s="20"/>
    </row>
    <row r="44" spans="1:10" ht="15.75" x14ac:dyDescent="0.25">
      <c r="A44" s="27" t="s">
        <v>61</v>
      </c>
      <c r="B44" s="147" t="s">
        <v>53</v>
      </c>
      <c r="C44" s="32">
        <v>51097648</v>
      </c>
      <c r="D44" s="147" t="s">
        <v>54</v>
      </c>
      <c r="E44" s="147">
        <v>1200</v>
      </c>
      <c r="F44" s="21">
        <v>450.32900000000001</v>
      </c>
      <c r="G44" s="21">
        <v>452.35399999999998</v>
      </c>
      <c r="H44" s="33">
        <f>(G44-F44)*E44</f>
        <v>2429.9999999999727</v>
      </c>
      <c r="I44" s="43"/>
      <c r="J44" s="20"/>
    </row>
    <row r="45" spans="1:10" ht="15.75" x14ac:dyDescent="0.25">
      <c r="A45" s="27" t="s">
        <v>62</v>
      </c>
      <c r="B45" s="147" t="s">
        <v>53</v>
      </c>
      <c r="C45" s="32">
        <v>50555043</v>
      </c>
      <c r="D45" s="147" t="s">
        <v>54</v>
      </c>
      <c r="E45" s="147">
        <v>1200</v>
      </c>
      <c r="F45" s="21">
        <v>1881.441</v>
      </c>
      <c r="G45" s="21">
        <v>1889.7739999999999</v>
      </c>
      <c r="H45" s="33">
        <f>(G45-F45)*E45</f>
        <v>9999.5999999998276</v>
      </c>
      <c r="I45" s="43"/>
      <c r="J45" s="20"/>
    </row>
    <row r="46" spans="1:10" ht="15.75" x14ac:dyDescent="0.25">
      <c r="A46" s="27" t="s">
        <v>63</v>
      </c>
      <c r="B46" s="147" t="s">
        <v>53</v>
      </c>
      <c r="C46" s="32">
        <v>51259336</v>
      </c>
      <c r="D46" s="147" t="s">
        <v>64</v>
      </c>
      <c r="E46" s="147">
        <v>2400</v>
      </c>
      <c r="F46" s="21">
        <v>3.8759999999999999</v>
      </c>
      <c r="G46" s="21">
        <v>3.8889999999999998</v>
      </c>
      <c r="H46" s="33">
        <f>(G46-F46)*E46</f>
        <v>31.199999999999761</v>
      </c>
      <c r="I46" s="43"/>
      <c r="J46" s="20"/>
    </row>
    <row r="47" spans="1:10" ht="15.75" x14ac:dyDescent="0.25">
      <c r="A47" s="27" t="s">
        <v>65</v>
      </c>
      <c r="B47" s="147" t="s">
        <v>53</v>
      </c>
      <c r="C47" s="32">
        <v>51259266</v>
      </c>
      <c r="D47" s="147" t="s">
        <v>54</v>
      </c>
      <c r="E47" s="147">
        <v>1200</v>
      </c>
      <c r="F47" s="21">
        <v>912.34400000000005</v>
      </c>
      <c r="G47" s="21">
        <v>916.56</v>
      </c>
      <c r="H47" s="33">
        <f>(G47-F47)*E47</f>
        <v>5059.1999999998734</v>
      </c>
      <c r="I47" s="43"/>
      <c r="J47" s="20"/>
    </row>
    <row r="48" spans="1:10" ht="15.75" x14ac:dyDescent="0.25">
      <c r="A48" s="27" t="s">
        <v>66</v>
      </c>
      <c r="B48" s="147" t="s">
        <v>53</v>
      </c>
      <c r="C48" s="32">
        <v>51431336</v>
      </c>
      <c r="D48" s="147" t="s">
        <v>54</v>
      </c>
      <c r="E48" s="147">
        <v>1200</v>
      </c>
      <c r="F48" s="21">
        <v>51.546999999999997</v>
      </c>
      <c r="G48" s="21">
        <v>51.859000000000002</v>
      </c>
      <c r="H48" s="33">
        <f>(G48-F48)*E48</f>
        <v>374.40000000000566</v>
      </c>
      <c r="I48" s="43"/>
      <c r="J48" s="20"/>
    </row>
    <row r="49" spans="1:10" ht="15.75" x14ac:dyDescent="0.25">
      <c r="A49" s="15" t="s">
        <v>67</v>
      </c>
      <c r="B49" s="147" t="s">
        <v>68</v>
      </c>
      <c r="C49" s="147">
        <v>49174</v>
      </c>
      <c r="D49" s="148" t="s">
        <v>54</v>
      </c>
      <c r="E49" s="147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17944.399999999678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47" t="s">
        <v>53</v>
      </c>
      <c r="C52" s="147">
        <v>51097603</v>
      </c>
      <c r="D52" s="148" t="s">
        <v>54</v>
      </c>
      <c r="E52" s="147">
        <v>7000</v>
      </c>
      <c r="F52" s="17">
        <v>1809.9739999999999</v>
      </c>
      <c r="G52" s="17">
        <v>1817.319</v>
      </c>
      <c r="H52" s="18">
        <f>(G52-F52)*E52</f>
        <v>51415.000000000189</v>
      </c>
      <c r="I52" s="43"/>
      <c r="J52" s="20"/>
    </row>
    <row r="53" spans="1:10" ht="15.75" x14ac:dyDescent="0.25">
      <c r="A53" s="27" t="s">
        <v>73</v>
      </c>
      <c r="B53" s="147" t="s">
        <v>53</v>
      </c>
      <c r="C53" s="147">
        <v>51097590</v>
      </c>
      <c r="D53" s="148" t="s">
        <v>54</v>
      </c>
      <c r="E53" s="147">
        <v>7000</v>
      </c>
      <c r="F53" s="21">
        <v>11.361000000000001</v>
      </c>
      <c r="G53" s="21">
        <v>11.443</v>
      </c>
      <c r="H53" s="18">
        <f>(G53-F53)*E53</f>
        <v>573.99999999999272</v>
      </c>
      <c r="I53" s="43"/>
      <c r="J53" s="20"/>
    </row>
    <row r="54" spans="1:10" ht="15.75" x14ac:dyDescent="0.25">
      <c r="A54" s="15" t="s">
        <v>67</v>
      </c>
      <c r="B54" s="147" t="s">
        <v>68</v>
      </c>
      <c r="C54" s="147">
        <v>49174</v>
      </c>
      <c r="D54" s="148" t="s">
        <v>54</v>
      </c>
      <c r="E54" s="147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47"/>
      <c r="D55" s="148"/>
      <c r="E55" s="147"/>
      <c r="F55" s="21"/>
      <c r="G55" s="21"/>
      <c r="H55" s="48">
        <f>H52+H53+H54</f>
        <v>52089.000000000182</v>
      </c>
      <c r="I55" s="47"/>
      <c r="J55" s="59"/>
    </row>
    <row r="56" spans="1:10" ht="15.75" x14ac:dyDescent="0.25">
      <c r="A56" s="27" t="s">
        <v>75</v>
      </c>
      <c r="B56" s="147" t="s">
        <v>53</v>
      </c>
      <c r="C56" s="147">
        <v>51100980</v>
      </c>
      <c r="D56" s="147" t="s">
        <v>76</v>
      </c>
      <c r="E56" s="147">
        <v>12000</v>
      </c>
      <c r="F56" s="21">
        <v>1064.8309999999999</v>
      </c>
      <c r="G56" s="21">
        <v>1069.1679999999999</v>
      </c>
      <c r="H56" s="18">
        <f>(G56-F56)*E56</f>
        <v>52043.999999999869</v>
      </c>
      <c r="I56" s="47"/>
      <c r="J56" s="58"/>
    </row>
    <row r="57" spans="1:10" ht="15.75" x14ac:dyDescent="0.25">
      <c r="A57" s="27" t="s">
        <v>77</v>
      </c>
      <c r="B57" s="147" t="s">
        <v>53</v>
      </c>
      <c r="C57" s="147">
        <v>51097623</v>
      </c>
      <c r="D57" s="147" t="s">
        <v>76</v>
      </c>
      <c r="E57" s="147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47"/>
      <c r="C58" s="147"/>
      <c r="D58" s="147"/>
      <c r="E58" s="147"/>
      <c r="F58" s="21"/>
      <c r="G58" s="21"/>
      <c r="H58" s="48">
        <f>H56+H57</f>
        <v>52043.999999999869</v>
      </c>
      <c r="I58" s="61">
        <f>H55-H65-H54</f>
        <v>-134.2000000002663</v>
      </c>
      <c r="J58" s="25">
        <f>I58/H58</f>
        <v>-2.5785873491712135E-3</v>
      </c>
    </row>
    <row r="59" spans="1:10" ht="15.75" x14ac:dyDescent="0.25">
      <c r="A59" s="27" t="s">
        <v>79</v>
      </c>
      <c r="B59" s="147" t="s">
        <v>53</v>
      </c>
      <c r="C59" s="147">
        <v>51097675</v>
      </c>
      <c r="D59" s="147" t="s">
        <v>35</v>
      </c>
      <c r="E59" s="147">
        <v>4800</v>
      </c>
      <c r="F59" s="21">
        <v>454.00599999999997</v>
      </c>
      <c r="G59" s="21">
        <v>457.62</v>
      </c>
      <c r="H59" s="18">
        <f t="shared" ref="H59:H64" si="2">(G59-F59)*E59</f>
        <v>17347.200000000157</v>
      </c>
      <c r="I59" s="62"/>
      <c r="J59" s="59"/>
    </row>
    <row r="60" spans="1:10" ht="15.75" x14ac:dyDescent="0.25">
      <c r="A60" s="27" t="s">
        <v>80</v>
      </c>
      <c r="B60" s="147" t="s">
        <v>53</v>
      </c>
      <c r="C60" s="147">
        <v>51100997</v>
      </c>
      <c r="D60" s="147" t="s">
        <v>22</v>
      </c>
      <c r="E60" s="147">
        <v>3600</v>
      </c>
      <c r="F60" s="21">
        <v>1314.587</v>
      </c>
      <c r="G60" s="21">
        <v>1317.566</v>
      </c>
      <c r="H60" s="18">
        <f t="shared" si="2"/>
        <v>10724.400000000151</v>
      </c>
      <c r="I60" s="62"/>
      <c r="J60" s="59"/>
    </row>
    <row r="61" spans="1:10" ht="15.75" x14ac:dyDescent="0.25">
      <c r="A61" s="27" t="s">
        <v>81</v>
      </c>
      <c r="B61" s="147" t="s">
        <v>53</v>
      </c>
      <c r="C61" s="147">
        <v>51555218</v>
      </c>
      <c r="D61" s="147">
        <f>400/5</f>
        <v>80</v>
      </c>
      <c r="E61" s="147">
        <v>4800</v>
      </c>
      <c r="F61" s="21">
        <v>54.908000000000001</v>
      </c>
      <c r="G61" s="21">
        <v>55.478999999999999</v>
      </c>
      <c r="H61" s="18">
        <f t="shared" si="2"/>
        <v>2740.7999999999902</v>
      </c>
      <c r="I61" s="62"/>
      <c r="J61" s="59"/>
    </row>
    <row r="62" spans="1:10" ht="15.75" x14ac:dyDescent="0.25">
      <c r="A62" s="27" t="s">
        <v>82</v>
      </c>
      <c r="B62" s="147" t="s">
        <v>53</v>
      </c>
      <c r="C62" s="147">
        <v>51555151</v>
      </c>
      <c r="D62" s="147">
        <f>400/5</f>
        <v>80</v>
      </c>
      <c r="E62" s="147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47" t="s">
        <v>53</v>
      </c>
      <c r="C63" s="147">
        <v>51097599</v>
      </c>
      <c r="D63" s="147" t="s">
        <v>22</v>
      </c>
      <c r="E63" s="147">
        <v>3600</v>
      </c>
      <c r="F63" s="21">
        <v>921.44799999999998</v>
      </c>
      <c r="G63" s="21">
        <v>923.79700000000003</v>
      </c>
      <c r="H63" s="18">
        <f t="shared" si="2"/>
        <v>8456.400000000167</v>
      </c>
      <c r="I63" s="62"/>
      <c r="J63" s="59"/>
    </row>
    <row r="64" spans="1:10" ht="15.75" x14ac:dyDescent="0.25">
      <c r="A64" s="27" t="s">
        <v>84</v>
      </c>
      <c r="B64" s="147" t="s">
        <v>53</v>
      </c>
      <c r="C64" s="147">
        <v>51097620</v>
      </c>
      <c r="D64" s="147" t="s">
        <v>35</v>
      </c>
      <c r="E64" s="147">
        <v>4800</v>
      </c>
      <c r="F64" s="21">
        <v>465.32600000000002</v>
      </c>
      <c r="G64" s="21">
        <v>468.00400000000002</v>
      </c>
      <c r="H64" s="18">
        <f t="shared" si="2"/>
        <v>12854.399999999987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52123.200000000448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47" t="s">
        <v>53</v>
      </c>
      <c r="C67" s="9">
        <v>51259238</v>
      </c>
      <c r="D67" s="74" t="s">
        <v>54</v>
      </c>
      <c r="E67" s="74">
        <v>7000</v>
      </c>
      <c r="F67" s="75">
        <v>509.26299999999998</v>
      </c>
      <c r="G67" s="75">
        <v>509.30500000000001</v>
      </c>
      <c r="H67" s="76">
        <f>(G67-F67)*E67</f>
        <v>294.00000000021009</v>
      </c>
      <c r="I67" s="77"/>
      <c r="J67" s="78"/>
    </row>
    <row r="68" spans="1:10" ht="15.75" x14ac:dyDescent="0.25">
      <c r="A68" s="27" t="s">
        <v>87</v>
      </c>
      <c r="B68" s="147" t="s">
        <v>53</v>
      </c>
      <c r="C68" s="147">
        <v>51259324</v>
      </c>
      <c r="D68" s="148" t="s">
        <v>54</v>
      </c>
      <c r="E68" s="148">
        <v>7000</v>
      </c>
      <c r="F68" s="21">
        <v>390.65300000000002</v>
      </c>
      <c r="G68" s="21">
        <v>395.96699999999998</v>
      </c>
      <c r="H68" s="18">
        <f>(G68-F68)*E68</f>
        <v>37197.999999999753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47">
        <v>51491618</v>
      </c>
      <c r="D69" s="148" t="s">
        <v>64</v>
      </c>
      <c r="E69" s="147">
        <v>40</v>
      </c>
      <c r="F69" s="28">
        <v>1063.529</v>
      </c>
      <c r="G69" s="28">
        <v>1063.529</v>
      </c>
      <c r="H69" s="18">
        <f>(G69-F69)*E69</f>
        <v>0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47">
        <v>51491624</v>
      </c>
      <c r="D70" s="148" t="s">
        <v>64</v>
      </c>
      <c r="E70" s="147">
        <v>40</v>
      </c>
      <c r="F70" s="28">
        <v>142.577</v>
      </c>
      <c r="G70" s="28">
        <v>155.47999999999999</v>
      </c>
      <c r="H70" s="18">
        <f>(G70-F70)*E70</f>
        <v>516.11999999999966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37491.999999999964</v>
      </c>
      <c r="I71" s="85">
        <f>H71-H74-H69-H70</f>
        <v>135.88000000004399</v>
      </c>
      <c r="J71" s="25">
        <f>I71/H71</f>
        <v>3.6242398378332477E-3</v>
      </c>
    </row>
    <row r="72" spans="1:10" ht="15.75" x14ac:dyDescent="0.25">
      <c r="A72" s="27" t="s">
        <v>92</v>
      </c>
      <c r="B72" s="147" t="s">
        <v>53</v>
      </c>
      <c r="C72" s="86">
        <v>51097588</v>
      </c>
      <c r="D72" s="148" t="s">
        <v>76</v>
      </c>
      <c r="E72" s="147">
        <v>12000</v>
      </c>
      <c r="F72" s="21">
        <v>306.59500000000003</v>
      </c>
      <c r="G72" s="21">
        <v>306.59500000000003</v>
      </c>
      <c r="H72" s="18">
        <f>(G72-F72)*E72</f>
        <v>0</v>
      </c>
      <c r="I72" s="51"/>
      <c r="J72" s="58"/>
    </row>
    <row r="73" spans="1:10" ht="15.75" x14ac:dyDescent="0.25">
      <c r="A73" s="27" t="s">
        <v>93</v>
      </c>
      <c r="B73" s="147" t="s">
        <v>53</v>
      </c>
      <c r="C73" s="86">
        <v>51431335</v>
      </c>
      <c r="D73" s="148" t="s">
        <v>76</v>
      </c>
      <c r="E73" s="147">
        <v>12000</v>
      </c>
      <c r="F73" s="21">
        <v>239.57599999999999</v>
      </c>
      <c r="G73" s="21">
        <v>242.64599999999999</v>
      </c>
      <c r="H73" s="18">
        <f>(G73-F73)*E73</f>
        <v>36839.99999999992</v>
      </c>
      <c r="I73" s="51"/>
      <c r="J73" s="58"/>
    </row>
    <row r="74" spans="1:10" ht="15.75" x14ac:dyDescent="0.25">
      <c r="A74" s="87" t="s">
        <v>94</v>
      </c>
      <c r="B74" s="147" t="s">
        <v>28</v>
      </c>
      <c r="C74" s="147"/>
      <c r="D74" s="148"/>
      <c r="E74" s="147"/>
      <c r="F74" s="21"/>
      <c r="G74" s="21"/>
      <c r="H74" s="48">
        <f>H72+ H73</f>
        <v>36839.99999999992</v>
      </c>
      <c r="I74" s="85">
        <f>H74-H82</f>
        <v>-28.200000000455475</v>
      </c>
      <c r="J74" s="25">
        <f>I74/H74</f>
        <v>-7.654723127159483E-4</v>
      </c>
    </row>
    <row r="75" spans="1:10" ht="15.75" x14ac:dyDescent="0.25">
      <c r="A75" s="27" t="s">
        <v>95</v>
      </c>
      <c r="B75" s="147" t="s">
        <v>53</v>
      </c>
      <c r="C75" s="86">
        <v>51097676</v>
      </c>
      <c r="D75" s="88" t="s">
        <v>64</v>
      </c>
      <c r="E75" s="147">
        <v>2400</v>
      </c>
      <c r="F75" s="21">
        <v>634.00099999999998</v>
      </c>
      <c r="G75" s="21">
        <v>638.00099999999998</v>
      </c>
      <c r="H75" s="18">
        <f>(G75-F75)*E75</f>
        <v>9600</v>
      </c>
      <c r="I75" s="51"/>
      <c r="J75" s="58"/>
    </row>
    <row r="76" spans="1:10" ht="15.75" x14ac:dyDescent="0.25">
      <c r="A76" s="27" t="s">
        <v>96</v>
      </c>
      <c r="B76" s="147" t="s">
        <v>53</v>
      </c>
      <c r="C76" s="86">
        <v>51431355</v>
      </c>
      <c r="D76" s="148" t="s">
        <v>22</v>
      </c>
      <c r="E76" s="148">
        <v>3600</v>
      </c>
      <c r="F76" s="21">
        <v>340.15699999999998</v>
      </c>
      <c r="G76" s="21">
        <v>341.59199999999998</v>
      </c>
      <c r="H76" s="18">
        <f>(G76-F76)*E76</f>
        <v>5166.0000000000082</v>
      </c>
      <c r="I76" s="51"/>
      <c r="J76" s="52"/>
    </row>
    <row r="77" spans="1:10" ht="15.75" x14ac:dyDescent="0.25">
      <c r="A77" s="27" t="s">
        <v>97</v>
      </c>
      <c r="B77" s="147" t="s">
        <v>53</v>
      </c>
      <c r="C77" s="86">
        <v>51259331</v>
      </c>
      <c r="D77" s="88" t="s">
        <v>38</v>
      </c>
      <c r="E77" s="147">
        <v>600</v>
      </c>
      <c r="F77" s="21">
        <v>148.625</v>
      </c>
      <c r="G77" s="21">
        <v>149.47399999999999</v>
      </c>
      <c r="H77" s="18">
        <f>(G77-F77)*E77</f>
        <v>509.39999999999372</v>
      </c>
      <c r="I77" s="51"/>
      <c r="J77" s="52"/>
    </row>
    <row r="78" spans="1:10" ht="15.75" x14ac:dyDescent="0.25">
      <c r="A78" s="27" t="s">
        <v>98</v>
      </c>
      <c r="B78" s="147" t="s">
        <v>53</v>
      </c>
      <c r="C78" s="86">
        <v>51259326</v>
      </c>
      <c r="D78" s="88" t="s">
        <v>15</v>
      </c>
      <c r="E78" s="147">
        <v>7200</v>
      </c>
      <c r="F78" s="21">
        <v>304.50799999999998</v>
      </c>
      <c r="G78" s="21">
        <v>306.05700000000002</v>
      </c>
      <c r="H78" s="18">
        <f>(G78-F78)*E78</f>
        <v>11152.800000000252</v>
      </c>
      <c r="I78" s="51"/>
      <c r="J78" s="52"/>
    </row>
    <row r="79" spans="1:10" ht="15.75" x14ac:dyDescent="0.25">
      <c r="A79" s="27" t="s">
        <v>99</v>
      </c>
      <c r="B79" s="147" t="s">
        <v>53</v>
      </c>
      <c r="C79" s="86">
        <v>51431351</v>
      </c>
      <c r="D79" s="88" t="s">
        <v>15</v>
      </c>
      <c r="E79" s="147">
        <v>7200</v>
      </c>
      <c r="F79" s="21">
        <v>213.68199999999999</v>
      </c>
      <c r="G79" s="21">
        <v>215.13200000000001</v>
      </c>
      <c r="H79" s="18">
        <f>(G79-F79)*E79</f>
        <v>10440.000000000124</v>
      </c>
      <c r="I79" s="51"/>
      <c r="J79" s="52"/>
    </row>
    <row r="80" spans="1:10" ht="15.75" x14ac:dyDescent="0.25">
      <c r="A80" s="89" t="s">
        <v>100</v>
      </c>
      <c r="B80" s="147" t="s">
        <v>53</v>
      </c>
      <c r="C80" s="90">
        <v>51097666</v>
      </c>
      <c r="D80" s="88" t="s">
        <v>64</v>
      </c>
      <c r="E80" s="147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47" t="s">
        <v>53</v>
      </c>
      <c r="C81" s="90">
        <v>51259323</v>
      </c>
      <c r="D81" s="88" t="s">
        <v>64</v>
      </c>
      <c r="E81" s="147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36868.200000000375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47" t="s">
        <v>53</v>
      </c>
      <c r="C84" s="106">
        <v>51431297</v>
      </c>
      <c r="D84" s="148" t="s">
        <v>54</v>
      </c>
      <c r="E84" s="100">
        <v>7000</v>
      </c>
      <c r="F84" s="17">
        <v>247.77099999999999</v>
      </c>
      <c r="G84" s="17">
        <v>248.7748</v>
      </c>
      <c r="H84" s="18">
        <f>(G84-F84)*E84</f>
        <v>7026.6000000000877</v>
      </c>
      <c r="I84" s="107"/>
      <c r="J84" s="108"/>
    </row>
    <row r="85" spans="1:10" ht="15.75" x14ac:dyDescent="0.25">
      <c r="A85" s="105" t="s">
        <v>87</v>
      </c>
      <c r="B85" s="147" t="s">
        <v>53</v>
      </c>
      <c r="C85" s="106">
        <v>51431332</v>
      </c>
      <c r="D85" s="148" t="s">
        <v>54</v>
      </c>
      <c r="E85" s="100">
        <v>7000</v>
      </c>
      <c r="F85" s="21">
        <v>339.36599999999999</v>
      </c>
      <c r="G85" s="21">
        <v>341.0933</v>
      </c>
      <c r="H85" s="18">
        <f>(G85-F85)*E85</f>
        <v>12091.100000000097</v>
      </c>
      <c r="I85" s="147"/>
      <c r="J85" s="58"/>
    </row>
    <row r="86" spans="1:10" ht="15.75" x14ac:dyDescent="0.25">
      <c r="A86" s="27" t="s">
        <v>88</v>
      </c>
      <c r="B86" s="147" t="s">
        <v>104</v>
      </c>
      <c r="C86" s="109">
        <v>150773</v>
      </c>
      <c r="D86" s="148" t="s">
        <v>54</v>
      </c>
      <c r="E86" s="109">
        <v>20</v>
      </c>
      <c r="F86" s="17">
        <v>15507.5</v>
      </c>
      <c r="G86" s="17">
        <v>15532.3</v>
      </c>
      <c r="H86" s="18">
        <f>(G86-F86)*E86</f>
        <v>495.99999999998545</v>
      </c>
      <c r="I86" s="51"/>
      <c r="J86" s="58"/>
    </row>
    <row r="87" spans="1:10" ht="15.75" x14ac:dyDescent="0.25">
      <c r="A87" s="27" t="s">
        <v>90</v>
      </c>
      <c r="B87" s="147" t="s">
        <v>104</v>
      </c>
      <c r="C87" s="109">
        <v>150791</v>
      </c>
      <c r="D87" s="148" t="s">
        <v>54</v>
      </c>
      <c r="E87" s="109">
        <v>20</v>
      </c>
      <c r="F87" s="21">
        <v>231.7</v>
      </c>
      <c r="G87" s="21">
        <v>231.7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49"/>
      <c r="C88" s="32"/>
      <c r="D88" s="82"/>
      <c r="E88" s="82"/>
      <c r="F88" s="21"/>
      <c r="G88" s="21"/>
      <c r="H88" s="48">
        <f>H84+H85</f>
        <v>19117.700000000186</v>
      </c>
      <c r="I88" s="85">
        <f>H88-H91-H86-H87</f>
        <v>189.70000000004802</v>
      </c>
      <c r="J88" s="25">
        <f>I88/H88</f>
        <v>9.9227417524098693E-3</v>
      </c>
    </row>
    <row r="89" spans="1:10" ht="15.75" x14ac:dyDescent="0.25">
      <c r="A89" s="27" t="s">
        <v>105</v>
      </c>
      <c r="B89" s="147" t="s">
        <v>53</v>
      </c>
      <c r="C89" s="106">
        <v>51431342</v>
      </c>
      <c r="D89" s="88" t="s">
        <v>35</v>
      </c>
      <c r="E89" s="147">
        <v>4800</v>
      </c>
      <c r="F89" s="21">
        <v>351.03699999999998</v>
      </c>
      <c r="G89" s="21">
        <v>352.61410000000001</v>
      </c>
      <c r="H89" s="18">
        <f>(G89-F89)*E89</f>
        <v>7570.0800000001436</v>
      </c>
      <c r="I89" s="51"/>
      <c r="J89" s="52"/>
    </row>
    <row r="90" spans="1:10" ht="15.75" x14ac:dyDescent="0.25">
      <c r="A90" s="27" t="s">
        <v>106</v>
      </c>
      <c r="B90" s="147" t="s">
        <v>53</v>
      </c>
      <c r="C90" s="106">
        <v>51431343</v>
      </c>
      <c r="D90" s="88" t="s">
        <v>35</v>
      </c>
      <c r="E90" s="147">
        <v>4800</v>
      </c>
      <c r="F90" s="21">
        <v>480.24200000000002</v>
      </c>
      <c r="G90" s="21">
        <v>482.50490000000002</v>
      </c>
      <c r="H90" s="18">
        <f>(G90-F90)*E90</f>
        <v>10861.920000000009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18432.000000000153</v>
      </c>
      <c r="I91" s="85">
        <f>H91-H99</f>
        <v>-478.29999999978099</v>
      </c>
      <c r="J91" s="25">
        <f>I91/H91</f>
        <v>-2.5949435763876792E-2</v>
      </c>
    </row>
    <row r="92" spans="1:10" ht="15.75" x14ac:dyDescent="0.25">
      <c r="A92" s="27" t="s">
        <v>108</v>
      </c>
      <c r="B92" s="147" t="s">
        <v>53</v>
      </c>
      <c r="C92" s="106">
        <v>51431347</v>
      </c>
      <c r="D92" s="148" t="s">
        <v>54</v>
      </c>
      <c r="E92" s="147">
        <v>1200</v>
      </c>
      <c r="F92" s="21">
        <v>1116.3109999999999</v>
      </c>
      <c r="G92" s="21">
        <v>1124.8055999999999</v>
      </c>
      <c r="H92" s="18">
        <f t="shared" ref="H92:H100" si="4">(G92-F92)*E92</f>
        <v>10193.51999999999</v>
      </c>
      <c r="I92" s="51"/>
      <c r="J92" s="52"/>
    </row>
    <row r="93" spans="1:10" ht="15.75" x14ac:dyDescent="0.25">
      <c r="A93" s="27" t="s">
        <v>109</v>
      </c>
      <c r="B93" s="147" t="s">
        <v>53</v>
      </c>
      <c r="C93" s="106">
        <v>51431339</v>
      </c>
      <c r="D93" s="148" t="s">
        <v>54</v>
      </c>
      <c r="E93" s="147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47" t="s">
        <v>53</v>
      </c>
      <c r="C94" s="106">
        <v>51217244</v>
      </c>
      <c r="D94" s="147" t="s">
        <v>38</v>
      </c>
      <c r="E94" s="147">
        <v>600</v>
      </c>
      <c r="F94" s="30">
        <v>307.21199999999999</v>
      </c>
      <c r="G94" s="30">
        <v>308.2242</v>
      </c>
      <c r="H94" s="18">
        <f t="shared" si="4"/>
        <v>607.32000000000426</v>
      </c>
      <c r="I94" s="51"/>
      <c r="J94" s="52"/>
    </row>
    <row r="95" spans="1:10" ht="15.75" x14ac:dyDescent="0.25">
      <c r="A95" s="27" t="s">
        <v>111</v>
      </c>
      <c r="B95" s="147" t="s">
        <v>53</v>
      </c>
      <c r="C95" s="106">
        <v>51217267</v>
      </c>
      <c r="D95" s="88" t="s">
        <v>64</v>
      </c>
      <c r="E95" s="147">
        <v>2400</v>
      </c>
      <c r="F95" s="30">
        <v>19.702000000000002</v>
      </c>
      <c r="G95" s="30">
        <v>19.7333</v>
      </c>
      <c r="H95" s="18">
        <f t="shared" si="4"/>
        <v>75.119999999995457</v>
      </c>
      <c r="I95" s="51"/>
      <c r="J95" s="52"/>
    </row>
    <row r="96" spans="1:10" ht="15.75" x14ac:dyDescent="0.25">
      <c r="A96" s="27" t="s">
        <v>112</v>
      </c>
      <c r="B96" s="147" t="s">
        <v>53</v>
      </c>
      <c r="C96" s="147">
        <v>51555165</v>
      </c>
      <c r="D96" s="148" t="s">
        <v>54</v>
      </c>
      <c r="E96" s="147">
        <v>1200</v>
      </c>
      <c r="F96" s="30">
        <v>771.62699999999995</v>
      </c>
      <c r="G96" s="30">
        <v>771.62699999999995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47" t="s">
        <v>53</v>
      </c>
      <c r="C97" s="106">
        <v>51431346</v>
      </c>
      <c r="D97" s="114" t="s">
        <v>38</v>
      </c>
      <c r="E97" s="114">
        <v>600</v>
      </c>
      <c r="F97" s="30">
        <v>321.65800000000002</v>
      </c>
      <c r="G97" s="30">
        <v>323.64089999999999</v>
      </c>
      <c r="H97" s="115">
        <f t="shared" si="4"/>
        <v>1189.7399999999834</v>
      </c>
      <c r="I97" s="116"/>
      <c r="J97" s="117"/>
    </row>
    <row r="98" spans="1:10" ht="15.75" x14ac:dyDescent="0.25">
      <c r="A98" s="27" t="s">
        <v>114</v>
      </c>
      <c r="B98" s="147" t="s">
        <v>53</v>
      </c>
      <c r="C98" s="106">
        <v>51431352</v>
      </c>
      <c r="D98" s="88" t="s">
        <v>22</v>
      </c>
      <c r="E98" s="147">
        <v>3600</v>
      </c>
      <c r="F98" s="21">
        <v>197.852</v>
      </c>
      <c r="G98" s="21">
        <v>199.6155</v>
      </c>
      <c r="H98" s="18">
        <f t="shared" si="4"/>
        <v>6348.5999999999767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18910.299999999934</v>
      </c>
      <c r="I99" s="51"/>
      <c r="J99" s="52"/>
    </row>
    <row r="100" spans="1:10" ht="15.75" x14ac:dyDescent="0.25">
      <c r="A100" s="45" t="s">
        <v>115</v>
      </c>
      <c r="B100" s="147" t="s">
        <v>53</v>
      </c>
      <c r="C100" s="120">
        <v>51431357</v>
      </c>
      <c r="D100" s="148" t="s">
        <v>64</v>
      </c>
      <c r="E100" s="148">
        <v>14000</v>
      </c>
      <c r="F100" s="28">
        <v>772.56600000000003</v>
      </c>
      <c r="G100" s="28">
        <v>778.13580000000002</v>
      </c>
      <c r="H100" s="121">
        <f t="shared" si="4"/>
        <v>77977.199999999808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A55" workbookViewId="0">
      <selection activeCell="O19" sqref="O19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126</v>
      </c>
      <c r="G3" s="4" t="s">
        <v>127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50" t="s">
        <v>14</v>
      </c>
      <c r="C5" s="150">
        <v>51555166</v>
      </c>
      <c r="D5" s="150" t="s">
        <v>15</v>
      </c>
      <c r="E5" s="150">
        <v>132000</v>
      </c>
      <c r="F5" s="17">
        <v>2.9329999999999998</v>
      </c>
      <c r="G5" s="17">
        <v>2.9420999999999999</v>
      </c>
      <c r="H5" s="18">
        <f>(G5-F5)*E5</f>
        <v>1201.2000000000144</v>
      </c>
      <c r="I5" s="19"/>
      <c r="J5" s="20"/>
    </row>
    <row r="6" spans="1:10" ht="15.75" x14ac:dyDescent="0.25">
      <c r="A6" s="15" t="s">
        <v>16</v>
      </c>
      <c r="B6" s="150" t="s">
        <v>14</v>
      </c>
      <c r="C6" s="150">
        <v>51555191</v>
      </c>
      <c r="D6" s="150" t="s">
        <v>15</v>
      </c>
      <c r="E6" s="150">
        <v>132000</v>
      </c>
      <c r="F6" s="21">
        <v>336.36500000000001</v>
      </c>
      <c r="G6" s="21">
        <v>338.32690000000002</v>
      </c>
      <c r="H6" s="18">
        <f>(G6-F6)*E6</f>
        <v>258970.80000000188</v>
      </c>
      <c r="I6" s="19"/>
      <c r="J6" s="20"/>
    </row>
    <row r="7" spans="1:10" ht="15.75" x14ac:dyDescent="0.25">
      <c r="A7" s="207" t="s">
        <v>17</v>
      </c>
      <c r="B7" s="208"/>
      <c r="C7" s="150"/>
      <c r="D7" s="151"/>
      <c r="E7" s="150"/>
      <c r="H7" s="23">
        <f>H5+H6</f>
        <v>260172.00000000189</v>
      </c>
      <c r="I7" s="24">
        <f>H7-H10-H20</f>
        <v>2156.4000000022934</v>
      </c>
      <c r="J7" s="25">
        <f>I7/H7</f>
        <v>8.2883630828923856E-3</v>
      </c>
    </row>
    <row r="8" spans="1:10" ht="15.75" x14ac:dyDescent="0.25">
      <c r="A8" s="26" t="s">
        <v>18</v>
      </c>
      <c r="B8" s="150" t="s">
        <v>14</v>
      </c>
      <c r="C8" s="150">
        <v>51097629</v>
      </c>
      <c r="D8" s="151" t="s">
        <v>15</v>
      </c>
      <c r="E8" s="150">
        <v>42000</v>
      </c>
      <c r="F8" s="21">
        <v>1024.4100000000001</v>
      </c>
      <c r="G8" s="21">
        <v>1028.7116000000001</v>
      </c>
      <c r="H8" s="18">
        <f>(G8-F8)*E8</f>
        <v>180667.20000000033</v>
      </c>
      <c r="I8" s="19"/>
      <c r="J8" s="20"/>
    </row>
    <row r="9" spans="1:10" ht="15.75" x14ac:dyDescent="0.25">
      <c r="A9" s="26" t="s">
        <v>19</v>
      </c>
      <c r="B9" s="150" t="s">
        <v>14</v>
      </c>
      <c r="C9" s="150">
        <v>51616820</v>
      </c>
      <c r="D9" s="151" t="s">
        <v>15</v>
      </c>
      <c r="E9" s="150">
        <v>42000</v>
      </c>
      <c r="F9" s="21">
        <v>5.0199999999999996</v>
      </c>
      <c r="G9" s="21">
        <v>5.0377999999999998</v>
      </c>
      <c r="H9" s="18">
        <f>(G9-F9)*E9</f>
        <v>747.60000000001094</v>
      </c>
      <c r="I9" s="19"/>
      <c r="J9" s="20"/>
    </row>
    <row r="10" spans="1:10" ht="15.75" x14ac:dyDescent="0.25">
      <c r="A10" s="207" t="s">
        <v>20</v>
      </c>
      <c r="B10" s="208"/>
      <c r="C10" s="150"/>
      <c r="D10" s="151"/>
      <c r="E10" s="150"/>
      <c r="F10" s="21"/>
      <c r="G10" s="21"/>
      <c r="H10" s="23">
        <f>H8+H9</f>
        <v>181414.80000000034</v>
      </c>
      <c r="I10" s="24">
        <f>H10-H17</f>
        <v>58.800000002316665</v>
      </c>
      <c r="J10" s="25">
        <f>I10/H10</f>
        <v>3.2411909062720658E-4</v>
      </c>
    </row>
    <row r="11" spans="1:10" ht="15.75" x14ac:dyDescent="0.25">
      <c r="A11" s="27" t="s">
        <v>21</v>
      </c>
      <c r="B11" s="150" t="s">
        <v>14</v>
      </c>
      <c r="C11" s="150">
        <v>51217286</v>
      </c>
      <c r="D11" s="151" t="s">
        <v>22</v>
      </c>
      <c r="E11" s="150">
        <v>21000</v>
      </c>
      <c r="F11" s="21">
        <v>811.74</v>
      </c>
      <c r="G11" s="21">
        <v>815.06020000000001</v>
      </c>
      <c r="H11" s="18">
        <f t="shared" ref="H11:H16" si="0">(G11-F11)*E11</f>
        <v>69724.2</v>
      </c>
      <c r="I11" s="19"/>
      <c r="J11" s="20"/>
    </row>
    <row r="12" spans="1:10" ht="15.75" x14ac:dyDescent="0.25">
      <c r="A12" s="27" t="s">
        <v>23</v>
      </c>
      <c r="B12" s="150" t="s">
        <v>14</v>
      </c>
      <c r="C12" s="150">
        <v>51217292</v>
      </c>
      <c r="D12" s="151" t="s">
        <v>22</v>
      </c>
      <c r="E12" s="150">
        <v>21000</v>
      </c>
      <c r="F12" s="28">
        <v>3.488</v>
      </c>
      <c r="G12" s="28">
        <v>3.5081000000000002</v>
      </c>
      <c r="H12" s="18">
        <f>(G12-F12)*E12</f>
        <v>422.1000000000048</v>
      </c>
      <c r="I12" s="19"/>
      <c r="J12" s="20"/>
    </row>
    <row r="13" spans="1:10" ht="15.75" x14ac:dyDescent="0.25">
      <c r="A13" s="27" t="s">
        <v>24</v>
      </c>
      <c r="B13" s="150" t="s">
        <v>14</v>
      </c>
      <c r="C13" s="150">
        <v>51217271</v>
      </c>
      <c r="D13" s="151" t="s">
        <v>22</v>
      </c>
      <c r="E13" s="150">
        <v>21000</v>
      </c>
      <c r="F13" s="21">
        <v>593.63300000000004</v>
      </c>
      <c r="G13" s="21">
        <v>595.9538</v>
      </c>
      <c r="H13" s="18">
        <f t="shared" si="0"/>
        <v>48736.799999999217</v>
      </c>
      <c r="I13" s="19"/>
      <c r="J13" s="20"/>
    </row>
    <row r="14" spans="1:10" ht="15.75" x14ac:dyDescent="0.25">
      <c r="A14" s="27" t="s">
        <v>25</v>
      </c>
      <c r="B14" s="150" t="s">
        <v>14</v>
      </c>
      <c r="C14" s="150">
        <v>51217276</v>
      </c>
      <c r="D14" s="151" t="s">
        <v>22</v>
      </c>
      <c r="E14" s="150">
        <v>21000</v>
      </c>
      <c r="F14" s="28">
        <v>0.51900000000000002</v>
      </c>
      <c r="G14" s="28">
        <v>0.52400000000000002</v>
      </c>
      <c r="H14" s="18">
        <f>(G14-F14)*E14</f>
        <v>105.0000000000001</v>
      </c>
      <c r="I14" s="19"/>
      <c r="J14" s="20"/>
    </row>
    <row r="15" spans="1:10" ht="15.75" x14ac:dyDescent="0.25">
      <c r="A15" s="27" t="s">
        <v>26</v>
      </c>
      <c r="B15" s="150" t="s">
        <v>14</v>
      </c>
      <c r="C15" s="150">
        <v>51100990</v>
      </c>
      <c r="D15" s="151" t="s">
        <v>22</v>
      </c>
      <c r="E15" s="150">
        <v>21000</v>
      </c>
      <c r="F15" s="29">
        <v>649.14700000000005</v>
      </c>
      <c r="G15" s="29">
        <v>652.10419999999999</v>
      </c>
      <c r="H15" s="18">
        <f t="shared" si="0"/>
        <v>62101.199999998811</v>
      </c>
      <c r="I15" s="19"/>
      <c r="J15" s="20"/>
    </row>
    <row r="16" spans="1:10" ht="15.75" x14ac:dyDescent="0.25">
      <c r="A16" s="27" t="s">
        <v>27</v>
      </c>
      <c r="B16" s="150" t="s">
        <v>14</v>
      </c>
      <c r="C16" s="150">
        <v>51097622</v>
      </c>
      <c r="D16" s="151" t="s">
        <v>22</v>
      </c>
      <c r="E16" s="150">
        <v>21000</v>
      </c>
      <c r="F16" s="21">
        <v>2.85</v>
      </c>
      <c r="G16" s="21">
        <v>2.8626999999999998</v>
      </c>
      <c r="H16" s="18">
        <f t="shared" si="0"/>
        <v>266.69999999999396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50"/>
      <c r="D17" s="151"/>
      <c r="E17" s="150"/>
      <c r="F17" s="21"/>
      <c r="G17" s="21"/>
      <c r="H17" s="23">
        <f>H11+H12+H13+H14+H15+H16</f>
        <v>181355.99999999802</v>
      </c>
      <c r="I17" s="19"/>
      <c r="J17" s="20"/>
    </row>
    <row r="18" spans="1:10" ht="15.75" x14ac:dyDescent="0.25">
      <c r="A18" s="26" t="s">
        <v>30</v>
      </c>
      <c r="B18" s="150" t="s">
        <v>14</v>
      </c>
      <c r="C18" s="150">
        <v>51097617</v>
      </c>
      <c r="D18" s="151" t="s">
        <v>31</v>
      </c>
      <c r="E18" s="150">
        <v>18000</v>
      </c>
      <c r="F18" s="30">
        <v>781.34</v>
      </c>
      <c r="G18" s="30">
        <v>785.59559999999999</v>
      </c>
      <c r="H18" s="18">
        <f>(G18-F18)*E18</f>
        <v>76600.799999999261</v>
      </c>
      <c r="I18" s="19"/>
      <c r="J18" s="20"/>
    </row>
    <row r="19" spans="1:10" ht="15.75" x14ac:dyDescent="0.25">
      <c r="A19" s="26" t="s">
        <v>32</v>
      </c>
      <c r="B19" s="150" t="s">
        <v>14</v>
      </c>
      <c r="C19" s="150">
        <v>51097655</v>
      </c>
      <c r="D19" s="151" t="s">
        <v>31</v>
      </c>
      <c r="E19" s="150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50"/>
      <c r="D20" s="151"/>
      <c r="E20" s="150"/>
      <c r="F20" s="30"/>
      <c r="G20" s="30"/>
      <c r="H20" s="23">
        <f>H18+H19</f>
        <v>76600.799999999261</v>
      </c>
      <c r="I20" s="24">
        <f>H20-H35</f>
        <v>4061.8799999991606</v>
      </c>
      <c r="J20" s="25">
        <f>I20/H20</f>
        <v>5.3026600244373424E-2</v>
      </c>
    </row>
    <row r="21" spans="1:10" ht="15.75" x14ac:dyDescent="0.25">
      <c r="A21" s="15" t="s">
        <v>34</v>
      </c>
      <c r="B21" s="150" t="s">
        <v>14</v>
      </c>
      <c r="C21" s="150">
        <v>51217282</v>
      </c>
      <c r="D21" s="151" t="s">
        <v>35</v>
      </c>
      <c r="E21" s="150">
        <v>4800</v>
      </c>
      <c r="F21" s="21">
        <v>379.66199999999998</v>
      </c>
      <c r="G21" s="21">
        <v>379.70780000000002</v>
      </c>
      <c r="H21" s="18">
        <f t="shared" ref="H21:H34" si="1">(G21-F21)*E21</f>
        <v>219.84000000020387</v>
      </c>
      <c r="I21" s="19" t="s">
        <v>28</v>
      </c>
      <c r="J21" s="20"/>
    </row>
    <row r="22" spans="1:10" ht="15.75" x14ac:dyDescent="0.25">
      <c r="A22" s="15" t="s">
        <v>36</v>
      </c>
      <c r="B22" s="150" t="s">
        <v>14</v>
      </c>
      <c r="C22" s="150">
        <v>51217274</v>
      </c>
      <c r="D22" s="151" t="s">
        <v>35</v>
      </c>
      <c r="E22" s="150">
        <v>4800</v>
      </c>
      <c r="F22" s="21">
        <v>1227.665</v>
      </c>
      <c r="G22" s="21">
        <v>1233.5282999999999</v>
      </c>
      <c r="H22" s="18">
        <f t="shared" si="1"/>
        <v>28143.839999999909</v>
      </c>
      <c r="I22" s="19"/>
      <c r="J22" s="20"/>
    </row>
    <row r="23" spans="1:10" ht="15.75" x14ac:dyDescent="0.25">
      <c r="A23" s="15" t="s">
        <v>37</v>
      </c>
      <c r="B23" s="150" t="s">
        <v>14</v>
      </c>
      <c r="C23" s="150">
        <v>51097664</v>
      </c>
      <c r="D23" s="151" t="s">
        <v>38</v>
      </c>
      <c r="E23" s="150">
        <v>600</v>
      </c>
      <c r="F23" s="21">
        <v>4.4409999999999998</v>
      </c>
      <c r="G23" s="21">
        <v>4.4409999999999998</v>
      </c>
      <c r="H23" s="18">
        <f t="shared" si="1"/>
        <v>0</v>
      </c>
      <c r="I23" s="19"/>
      <c r="J23" s="20"/>
    </row>
    <row r="24" spans="1:10" ht="15.75" x14ac:dyDescent="0.25">
      <c r="A24" s="15" t="s">
        <v>39</v>
      </c>
      <c r="B24" s="150" t="s">
        <v>14</v>
      </c>
      <c r="C24" s="150">
        <v>51097615</v>
      </c>
      <c r="D24" s="151" t="s">
        <v>38</v>
      </c>
      <c r="E24" s="150">
        <v>600</v>
      </c>
      <c r="F24" s="21">
        <v>37.445999999999998</v>
      </c>
      <c r="G24" s="21">
        <v>37.848100000000002</v>
      </c>
      <c r="H24" s="18">
        <f t="shared" si="1"/>
        <v>241.26000000000261</v>
      </c>
      <c r="I24" s="19"/>
      <c r="J24" s="20"/>
    </row>
    <row r="25" spans="1:10" ht="15.75" x14ac:dyDescent="0.25">
      <c r="A25" s="15" t="s">
        <v>40</v>
      </c>
      <c r="B25" s="150" t="s">
        <v>14</v>
      </c>
      <c r="C25" s="150">
        <v>51217264</v>
      </c>
      <c r="D25" s="151" t="s">
        <v>38</v>
      </c>
      <c r="E25" s="150">
        <v>600</v>
      </c>
      <c r="F25" s="21">
        <v>90.082999999999998</v>
      </c>
      <c r="G25" s="21">
        <v>90.778400000000005</v>
      </c>
      <c r="H25" s="18">
        <f t="shared" si="1"/>
        <v>417.24000000000387</v>
      </c>
      <c r="I25" s="19"/>
      <c r="J25" s="20"/>
    </row>
    <row r="26" spans="1:10" ht="15.75" x14ac:dyDescent="0.25">
      <c r="A26" s="15" t="s">
        <v>41</v>
      </c>
      <c r="B26" s="150" t="s">
        <v>14</v>
      </c>
      <c r="C26" s="150">
        <v>51217288</v>
      </c>
      <c r="D26" s="151" t="s">
        <v>38</v>
      </c>
      <c r="E26" s="150">
        <v>600</v>
      </c>
      <c r="F26" s="21">
        <v>19.838999999999999</v>
      </c>
      <c r="G26" s="21">
        <v>19.870200000000001</v>
      </c>
      <c r="H26" s="18">
        <f t="shared" si="1"/>
        <v>18.720000000001136</v>
      </c>
      <c r="I26" s="19" t="s">
        <v>28</v>
      </c>
      <c r="J26" s="20"/>
    </row>
    <row r="27" spans="1:10" ht="15.75" x14ac:dyDescent="0.25">
      <c r="A27" s="15" t="s">
        <v>42</v>
      </c>
      <c r="B27" s="150" t="s">
        <v>14</v>
      </c>
      <c r="C27" s="150">
        <v>51217279</v>
      </c>
      <c r="D27" s="151" t="s">
        <v>38</v>
      </c>
      <c r="E27" s="150">
        <v>600</v>
      </c>
      <c r="F27" s="21">
        <v>14.189</v>
      </c>
      <c r="G27" s="21">
        <v>14.242800000000001</v>
      </c>
      <c r="H27" s="18">
        <f t="shared" si="1"/>
        <v>32.280000000000442</v>
      </c>
      <c r="I27" s="19" t="s">
        <v>28</v>
      </c>
      <c r="J27" s="20"/>
    </row>
    <row r="28" spans="1:10" ht="15.75" x14ac:dyDescent="0.25">
      <c r="A28" s="15" t="s">
        <v>43</v>
      </c>
      <c r="B28" s="150" t="s">
        <v>14</v>
      </c>
      <c r="C28" s="150">
        <v>51217272</v>
      </c>
      <c r="D28" s="151" t="s">
        <v>38</v>
      </c>
      <c r="E28" s="150">
        <v>600</v>
      </c>
      <c r="F28" s="31">
        <v>13.919</v>
      </c>
      <c r="G28" s="31">
        <v>13.971299999999999</v>
      </c>
      <c r="H28" s="18">
        <f t="shared" si="1"/>
        <v>31.379999999999342</v>
      </c>
      <c r="I28" s="19"/>
      <c r="J28" s="20"/>
    </row>
    <row r="29" spans="1:10" ht="15.75" x14ac:dyDescent="0.25">
      <c r="A29" s="15" t="s">
        <v>44</v>
      </c>
      <c r="B29" s="150" t="s">
        <v>14</v>
      </c>
      <c r="C29" s="150">
        <v>51616744</v>
      </c>
      <c r="D29" s="151">
        <f>300/5</f>
        <v>60</v>
      </c>
      <c r="E29" s="150">
        <v>3600</v>
      </c>
      <c r="F29" s="31">
        <v>109.78400000000001</v>
      </c>
      <c r="G29" s="31">
        <v>109.78489999999999</v>
      </c>
      <c r="H29" s="18">
        <f t="shared" si="1"/>
        <v>3.2399999999540796</v>
      </c>
      <c r="I29" s="19"/>
      <c r="J29" s="20"/>
    </row>
    <row r="30" spans="1:10" ht="15.75" x14ac:dyDescent="0.25">
      <c r="A30" s="15" t="s">
        <v>45</v>
      </c>
      <c r="B30" s="150" t="s">
        <v>14</v>
      </c>
      <c r="C30" s="150">
        <v>51555226</v>
      </c>
      <c r="D30" s="151">
        <f>300/5</f>
        <v>60</v>
      </c>
      <c r="E30" s="150">
        <v>3600</v>
      </c>
      <c r="F30" s="31">
        <v>434.976</v>
      </c>
      <c r="G30" s="31">
        <v>439.03059999999999</v>
      </c>
      <c r="H30" s="18">
        <f>(G30-F30)*E30</f>
        <v>14596.559999999976</v>
      </c>
      <c r="I30" s="19"/>
      <c r="J30" s="20"/>
    </row>
    <row r="31" spans="1:10" ht="15.75" x14ac:dyDescent="0.25">
      <c r="A31" s="15" t="s">
        <v>46</v>
      </c>
      <c r="B31" s="150" t="s">
        <v>14</v>
      </c>
      <c r="C31" s="150">
        <v>51097658</v>
      </c>
      <c r="D31" s="151" t="s">
        <v>35</v>
      </c>
      <c r="E31" s="150">
        <v>4800</v>
      </c>
      <c r="F31" s="31">
        <v>598.01099999999997</v>
      </c>
      <c r="G31" s="31">
        <v>601.42989999999998</v>
      </c>
      <c r="H31" s="18">
        <f t="shared" si="1"/>
        <v>16410.720000000038</v>
      </c>
      <c r="I31" s="19"/>
      <c r="J31" s="20"/>
    </row>
    <row r="32" spans="1:10" ht="15.75" x14ac:dyDescent="0.25">
      <c r="A32" s="15" t="s">
        <v>47</v>
      </c>
      <c r="B32" s="150" t="s">
        <v>14</v>
      </c>
      <c r="C32" s="150">
        <v>51097635</v>
      </c>
      <c r="D32" s="151" t="s">
        <v>35</v>
      </c>
      <c r="E32" s="150">
        <v>4800</v>
      </c>
      <c r="F32" s="31">
        <v>48.448</v>
      </c>
      <c r="G32" s="31">
        <v>48.448700000000002</v>
      </c>
      <c r="H32" s="18">
        <f t="shared" si="1"/>
        <v>3.3600000000092223</v>
      </c>
      <c r="I32" s="19"/>
      <c r="J32" s="20"/>
    </row>
    <row r="33" spans="1:10" ht="15.75" x14ac:dyDescent="0.25">
      <c r="A33" s="15" t="s">
        <v>48</v>
      </c>
      <c r="B33" s="150" t="s">
        <v>14</v>
      </c>
      <c r="C33" s="32">
        <v>51097633</v>
      </c>
      <c r="D33" s="151" t="s">
        <v>35</v>
      </c>
      <c r="E33" s="150">
        <v>4800</v>
      </c>
      <c r="F33" s="31">
        <v>141.03899999999999</v>
      </c>
      <c r="G33" s="31">
        <v>143.54669999999999</v>
      </c>
      <c r="H33" s="33">
        <f t="shared" si="1"/>
        <v>12036.96</v>
      </c>
      <c r="I33" s="34"/>
      <c r="J33" s="35"/>
    </row>
    <row r="34" spans="1:10" ht="15.75" x14ac:dyDescent="0.25">
      <c r="A34" s="15" t="s">
        <v>49</v>
      </c>
      <c r="B34" s="150" t="s">
        <v>14</v>
      </c>
      <c r="C34" s="32">
        <v>51097662</v>
      </c>
      <c r="D34" s="151" t="s">
        <v>35</v>
      </c>
      <c r="E34" s="150">
        <v>4800</v>
      </c>
      <c r="F34" s="31">
        <v>2.6840000000000002</v>
      </c>
      <c r="G34" s="31">
        <v>2.7639</v>
      </c>
      <c r="H34" s="33">
        <f t="shared" si="1"/>
        <v>383.5199999999993</v>
      </c>
      <c r="I34" s="34"/>
      <c r="J34" s="35"/>
    </row>
    <row r="35" spans="1:10" ht="15.75" x14ac:dyDescent="0.25">
      <c r="A35" s="207" t="s">
        <v>50</v>
      </c>
      <c r="B35" s="208"/>
      <c r="C35" s="150"/>
      <c r="D35" s="151"/>
      <c r="E35" s="150"/>
      <c r="F35" s="36"/>
      <c r="G35" s="36"/>
      <c r="H35" s="23">
        <f>H21+H22+H23+H24+H25+H26+H27+H28+H29+H30+H31+H32+H33+H34</f>
        <v>72538.9200000001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50" t="s">
        <v>53</v>
      </c>
      <c r="C37" s="150">
        <v>51555209</v>
      </c>
      <c r="D37" s="151" t="s">
        <v>54</v>
      </c>
      <c r="E37" s="150">
        <v>7000</v>
      </c>
      <c r="F37" s="17">
        <v>4.9930000000000003</v>
      </c>
      <c r="G37" s="17">
        <v>5.0458999999999996</v>
      </c>
      <c r="H37" s="41">
        <f>(G37-F37)*E37</f>
        <v>370.29999999999495</v>
      </c>
      <c r="I37" s="42"/>
      <c r="J37" s="14"/>
    </row>
    <row r="38" spans="1:10" ht="15.75" x14ac:dyDescent="0.25">
      <c r="A38" s="15" t="s">
        <v>55</v>
      </c>
      <c r="B38" s="150" t="s">
        <v>53</v>
      </c>
      <c r="C38" s="150">
        <v>51555209</v>
      </c>
      <c r="D38" s="151" t="s">
        <v>54</v>
      </c>
      <c r="E38" s="150">
        <v>7000</v>
      </c>
      <c r="F38" s="21">
        <v>9.5960000000000001</v>
      </c>
      <c r="G38" s="21">
        <v>9.6356000000000002</v>
      </c>
      <c r="H38" s="18">
        <f>(G38-F38)*E38</f>
        <v>277.20000000000056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50" t="s">
        <v>53</v>
      </c>
      <c r="C40" s="150">
        <v>51097674</v>
      </c>
      <c r="D40" s="150" t="s">
        <v>15</v>
      </c>
      <c r="E40" s="150">
        <v>7200</v>
      </c>
      <c r="F40" s="21">
        <v>551.505</v>
      </c>
      <c r="G40" s="21">
        <v>553.95529999999997</v>
      </c>
      <c r="H40" s="18">
        <f>(G40-F40)*E40</f>
        <v>17642.159999999785</v>
      </c>
      <c r="I40" s="47"/>
      <c r="J40" s="20"/>
    </row>
    <row r="41" spans="1:10" ht="15.75" x14ac:dyDescent="0.25">
      <c r="A41" s="27" t="s">
        <v>58</v>
      </c>
      <c r="B41" s="150" t="s">
        <v>53</v>
      </c>
      <c r="C41" s="150">
        <v>51259257</v>
      </c>
      <c r="D41" s="150" t="s">
        <v>15</v>
      </c>
      <c r="E41" s="150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50"/>
      <c r="C42" s="150"/>
      <c r="D42" s="150"/>
      <c r="E42" s="150"/>
      <c r="F42" s="21"/>
      <c r="G42" s="21"/>
      <c r="H42" s="48">
        <f>H40+H41</f>
        <v>17642.159999999785</v>
      </c>
      <c r="I42" s="24">
        <f>H42-H50</f>
        <v>-119.48000000036336</v>
      </c>
      <c r="J42" s="25">
        <f>I42/H42</f>
        <v>-6.7724133553014381E-3</v>
      </c>
    </row>
    <row r="43" spans="1:10" ht="15.75" x14ac:dyDescent="0.25">
      <c r="A43" s="15" t="s">
        <v>60</v>
      </c>
      <c r="B43" s="150"/>
      <c r="C43" s="150"/>
      <c r="D43" s="151"/>
      <c r="E43" s="150"/>
      <c r="H43" s="18"/>
      <c r="I43" s="43"/>
      <c r="J43" s="20"/>
    </row>
    <row r="44" spans="1:10" ht="15.75" x14ac:dyDescent="0.25">
      <c r="A44" s="27" t="s">
        <v>61</v>
      </c>
      <c r="B44" s="150" t="s">
        <v>53</v>
      </c>
      <c r="C44" s="32">
        <v>51097648</v>
      </c>
      <c r="D44" s="150" t="s">
        <v>54</v>
      </c>
      <c r="E44" s="150">
        <v>1200</v>
      </c>
      <c r="F44" s="21">
        <v>452.35399999999998</v>
      </c>
      <c r="G44" s="21">
        <v>454.34469999999999</v>
      </c>
      <c r="H44" s="33">
        <f>(G44-F44)*E44</f>
        <v>2388.8400000000047</v>
      </c>
      <c r="I44" s="43"/>
      <c r="J44" s="20"/>
    </row>
    <row r="45" spans="1:10" ht="15.75" x14ac:dyDescent="0.25">
      <c r="A45" s="27" t="s">
        <v>62</v>
      </c>
      <c r="B45" s="150" t="s">
        <v>53</v>
      </c>
      <c r="C45" s="32">
        <v>50555043</v>
      </c>
      <c r="D45" s="150" t="s">
        <v>54</v>
      </c>
      <c r="E45" s="150">
        <v>1200</v>
      </c>
      <c r="F45" s="21">
        <v>1889.7739999999999</v>
      </c>
      <c r="G45" s="21">
        <v>1898.0862</v>
      </c>
      <c r="H45" s="33">
        <f>(G45-F45)*E45</f>
        <v>9974.6400000000904</v>
      </c>
      <c r="I45" s="43"/>
      <c r="J45" s="20"/>
    </row>
    <row r="46" spans="1:10" ht="15.75" x14ac:dyDescent="0.25">
      <c r="A46" s="27" t="s">
        <v>63</v>
      </c>
      <c r="B46" s="150" t="s">
        <v>53</v>
      </c>
      <c r="C46" s="32">
        <v>51259336</v>
      </c>
      <c r="D46" s="150" t="s">
        <v>64</v>
      </c>
      <c r="E46" s="150">
        <v>2400</v>
      </c>
      <c r="F46" s="21">
        <v>3.8889999999999998</v>
      </c>
      <c r="G46" s="21">
        <v>3.9032</v>
      </c>
      <c r="H46" s="33">
        <f>(G46-F46)*E46</f>
        <v>34.08000000000051</v>
      </c>
      <c r="I46" s="43"/>
      <c r="J46" s="20"/>
    </row>
    <row r="47" spans="1:10" ht="15.75" x14ac:dyDescent="0.25">
      <c r="A47" s="27" t="s">
        <v>65</v>
      </c>
      <c r="B47" s="150" t="s">
        <v>53</v>
      </c>
      <c r="C47" s="32">
        <v>51259266</v>
      </c>
      <c r="D47" s="150" t="s">
        <v>54</v>
      </c>
      <c r="E47" s="150">
        <v>1200</v>
      </c>
      <c r="F47" s="21">
        <v>916.56</v>
      </c>
      <c r="G47" s="21">
        <v>920.68389999999999</v>
      </c>
      <c r="H47" s="33">
        <f>(G47-F47)*E47</f>
        <v>4948.6800000000585</v>
      </c>
      <c r="I47" s="43"/>
      <c r="J47" s="20"/>
    </row>
    <row r="48" spans="1:10" ht="15.75" x14ac:dyDescent="0.25">
      <c r="A48" s="27" t="s">
        <v>66</v>
      </c>
      <c r="B48" s="150" t="s">
        <v>53</v>
      </c>
      <c r="C48" s="32">
        <v>51431336</v>
      </c>
      <c r="D48" s="150" t="s">
        <v>54</v>
      </c>
      <c r="E48" s="150">
        <v>1200</v>
      </c>
      <c r="F48" s="21">
        <v>51.859000000000002</v>
      </c>
      <c r="G48" s="21">
        <v>52.163499999999999</v>
      </c>
      <c r="H48" s="33">
        <f>(G48-F48)*E48</f>
        <v>365.39999999999679</v>
      </c>
      <c r="I48" s="43"/>
      <c r="J48" s="20"/>
    </row>
    <row r="49" spans="1:10" ht="15.75" x14ac:dyDescent="0.25">
      <c r="A49" s="15" t="s">
        <v>67</v>
      </c>
      <c r="B49" s="150" t="s">
        <v>68</v>
      </c>
      <c r="C49" s="150">
        <v>49174</v>
      </c>
      <c r="D49" s="151" t="s">
        <v>54</v>
      </c>
      <c r="E49" s="150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17761.640000000149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50" t="s">
        <v>53</v>
      </c>
      <c r="C52" s="150">
        <v>51097603</v>
      </c>
      <c r="D52" s="151" t="s">
        <v>54</v>
      </c>
      <c r="E52" s="150">
        <v>7000</v>
      </c>
      <c r="F52" s="17">
        <v>1817.319</v>
      </c>
      <c r="G52" s="17">
        <v>1824.5395000000001</v>
      </c>
      <c r="H52" s="18">
        <f>(G52-F52)*E52</f>
        <v>50543.500000000902</v>
      </c>
      <c r="I52" s="43"/>
      <c r="J52" s="20"/>
    </row>
    <row r="53" spans="1:10" ht="15.75" x14ac:dyDescent="0.25">
      <c r="A53" s="27" t="s">
        <v>73</v>
      </c>
      <c r="B53" s="150" t="s">
        <v>53</v>
      </c>
      <c r="C53" s="150">
        <v>51097590</v>
      </c>
      <c r="D53" s="151" t="s">
        <v>54</v>
      </c>
      <c r="E53" s="150">
        <v>7000</v>
      </c>
      <c r="F53" s="21">
        <v>11.443</v>
      </c>
      <c r="G53" s="21">
        <v>11.5116</v>
      </c>
      <c r="H53" s="18">
        <f>(G53-F53)*E53</f>
        <v>480.19999999999993</v>
      </c>
      <c r="I53" s="43"/>
      <c r="J53" s="20"/>
    </row>
    <row r="54" spans="1:10" ht="15.75" x14ac:dyDescent="0.25">
      <c r="A54" s="15" t="s">
        <v>67</v>
      </c>
      <c r="B54" s="150" t="s">
        <v>68</v>
      </c>
      <c r="C54" s="150">
        <v>49174</v>
      </c>
      <c r="D54" s="151" t="s">
        <v>54</v>
      </c>
      <c r="E54" s="150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50"/>
      <c r="D55" s="151"/>
      <c r="E55" s="150"/>
      <c r="F55" s="21"/>
      <c r="G55" s="21"/>
      <c r="H55" s="48">
        <f>H52+H53+H54</f>
        <v>51123.700000000899</v>
      </c>
      <c r="I55" s="47"/>
      <c r="J55" s="59"/>
    </row>
    <row r="56" spans="1:10" ht="15.75" x14ac:dyDescent="0.25">
      <c r="A56" s="27" t="s">
        <v>75</v>
      </c>
      <c r="B56" s="150" t="s">
        <v>53</v>
      </c>
      <c r="C56" s="150">
        <v>51100980</v>
      </c>
      <c r="D56" s="150" t="s">
        <v>76</v>
      </c>
      <c r="E56" s="150">
        <v>12000</v>
      </c>
      <c r="F56" s="21">
        <v>1069.1679999999999</v>
      </c>
      <c r="G56" s="21">
        <v>1073.4294</v>
      </c>
      <c r="H56" s="18">
        <f>(G56-F56)*E56</f>
        <v>51136.800000001131</v>
      </c>
      <c r="I56" s="47"/>
      <c r="J56" s="58"/>
    </row>
    <row r="57" spans="1:10" ht="15.75" x14ac:dyDescent="0.25">
      <c r="A57" s="27" t="s">
        <v>77</v>
      </c>
      <c r="B57" s="150" t="s">
        <v>53</v>
      </c>
      <c r="C57" s="150">
        <v>51097623</v>
      </c>
      <c r="D57" s="150" t="s">
        <v>76</v>
      </c>
      <c r="E57" s="150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50"/>
      <c r="C58" s="150"/>
      <c r="D58" s="150"/>
      <c r="E58" s="150"/>
      <c r="F58" s="21"/>
      <c r="G58" s="21"/>
      <c r="H58" s="48">
        <f>H56+H57</f>
        <v>51136.800000001131</v>
      </c>
      <c r="I58" s="61">
        <f>H55-H65-H54</f>
        <v>-196.01999999894178</v>
      </c>
      <c r="J58" s="25">
        <f>I58/H58</f>
        <v>-3.83324728960235E-3</v>
      </c>
    </row>
    <row r="59" spans="1:10" ht="15.75" x14ac:dyDescent="0.25">
      <c r="A59" s="27" t="s">
        <v>79</v>
      </c>
      <c r="B59" s="150" t="s">
        <v>53</v>
      </c>
      <c r="C59" s="150">
        <v>51097675</v>
      </c>
      <c r="D59" s="150" t="s">
        <v>35</v>
      </c>
      <c r="E59" s="150">
        <v>4800</v>
      </c>
      <c r="F59" s="21">
        <v>457.62</v>
      </c>
      <c r="G59" s="21">
        <v>461.05020000000002</v>
      </c>
      <c r="H59" s="18">
        <f t="shared" ref="H59:H64" si="2">(G59-F59)*E59</f>
        <v>16464.960000000065</v>
      </c>
      <c r="I59" s="62"/>
      <c r="J59" s="59"/>
    </row>
    <row r="60" spans="1:10" ht="15.75" x14ac:dyDescent="0.25">
      <c r="A60" s="27" t="s">
        <v>80</v>
      </c>
      <c r="B60" s="150" t="s">
        <v>53</v>
      </c>
      <c r="C60" s="150">
        <v>51100997</v>
      </c>
      <c r="D60" s="150" t="s">
        <v>22</v>
      </c>
      <c r="E60" s="150">
        <v>3600</v>
      </c>
      <c r="F60" s="21">
        <v>1317.566</v>
      </c>
      <c r="G60" s="21">
        <v>1320.5553</v>
      </c>
      <c r="H60" s="18">
        <f t="shared" si="2"/>
        <v>10761.479999999847</v>
      </c>
      <c r="I60" s="62"/>
      <c r="J60" s="59"/>
    </row>
    <row r="61" spans="1:10" ht="15.75" x14ac:dyDescent="0.25">
      <c r="A61" s="27" t="s">
        <v>81</v>
      </c>
      <c r="B61" s="150" t="s">
        <v>53</v>
      </c>
      <c r="C61" s="150">
        <v>51555218</v>
      </c>
      <c r="D61" s="150">
        <f>400/5</f>
        <v>80</v>
      </c>
      <c r="E61" s="150">
        <v>4800</v>
      </c>
      <c r="F61" s="21">
        <v>55.478999999999999</v>
      </c>
      <c r="G61" s="21">
        <v>56.057899999999997</v>
      </c>
      <c r="H61" s="18">
        <f t="shared" si="2"/>
        <v>2778.7199999999871</v>
      </c>
      <c r="I61" s="62"/>
      <c r="J61" s="59"/>
    </row>
    <row r="62" spans="1:10" ht="15.75" x14ac:dyDescent="0.25">
      <c r="A62" s="27" t="s">
        <v>82</v>
      </c>
      <c r="B62" s="150" t="s">
        <v>53</v>
      </c>
      <c r="C62" s="150">
        <v>51555151</v>
      </c>
      <c r="D62" s="150">
        <f>400/5</f>
        <v>80</v>
      </c>
      <c r="E62" s="150">
        <v>4800</v>
      </c>
      <c r="F62" s="63">
        <v>0.30599999999999999</v>
      </c>
      <c r="G62" s="63">
        <v>0.30649999999999999</v>
      </c>
      <c r="H62" s="18">
        <f t="shared" si="2"/>
        <v>2.4000000000000021</v>
      </c>
      <c r="I62" s="62"/>
      <c r="J62" s="59"/>
    </row>
    <row r="63" spans="1:10" ht="15.75" x14ac:dyDescent="0.25">
      <c r="A63" s="27" t="s">
        <v>83</v>
      </c>
      <c r="B63" s="150" t="s">
        <v>53</v>
      </c>
      <c r="C63" s="150">
        <v>51097599</v>
      </c>
      <c r="D63" s="150" t="s">
        <v>22</v>
      </c>
      <c r="E63" s="150">
        <v>3600</v>
      </c>
      <c r="F63" s="21">
        <v>923.79700000000003</v>
      </c>
      <c r="G63" s="21">
        <v>926.12660000000005</v>
      </c>
      <c r="H63" s="18">
        <f t="shared" si="2"/>
        <v>8386.5600000000995</v>
      </c>
      <c r="I63" s="62"/>
      <c r="J63" s="59"/>
    </row>
    <row r="64" spans="1:10" ht="15.75" x14ac:dyDescent="0.25">
      <c r="A64" s="27" t="s">
        <v>84</v>
      </c>
      <c r="B64" s="150" t="s">
        <v>53</v>
      </c>
      <c r="C64" s="150">
        <v>51097620</v>
      </c>
      <c r="D64" s="150" t="s">
        <v>35</v>
      </c>
      <c r="E64" s="150">
        <v>4800</v>
      </c>
      <c r="F64" s="21">
        <v>468.00400000000002</v>
      </c>
      <c r="G64" s="21">
        <v>470.67599999999999</v>
      </c>
      <c r="H64" s="18">
        <f t="shared" si="2"/>
        <v>12825.599999999849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51219.719999999841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50" t="s">
        <v>53</v>
      </c>
      <c r="C67" s="9">
        <v>51259238</v>
      </c>
      <c r="D67" s="74" t="s">
        <v>54</v>
      </c>
      <c r="E67" s="74">
        <v>7000</v>
      </c>
      <c r="F67" s="75">
        <v>509.30500000000001</v>
      </c>
      <c r="G67" s="75">
        <v>511.48149999999998</v>
      </c>
      <c r="H67" s="76">
        <f>(G67-F67)*E67</f>
        <v>15235.499999999831</v>
      </c>
      <c r="I67" s="77"/>
      <c r="J67" s="78"/>
    </row>
    <row r="68" spans="1:10" ht="15.75" x14ac:dyDescent="0.25">
      <c r="A68" s="27" t="s">
        <v>87</v>
      </c>
      <c r="B68" s="150" t="s">
        <v>53</v>
      </c>
      <c r="C68" s="150">
        <v>51259324</v>
      </c>
      <c r="D68" s="151" t="s">
        <v>54</v>
      </c>
      <c r="E68" s="151">
        <v>7000</v>
      </c>
      <c r="F68" s="21">
        <v>395.96699999999998</v>
      </c>
      <c r="G68" s="21">
        <v>398.96620000000001</v>
      </c>
      <c r="H68" s="18">
        <f>(G68-F68)*E68</f>
        <v>20994.400000000212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50">
        <v>51491618</v>
      </c>
      <c r="D69" s="151" t="s">
        <v>64</v>
      </c>
      <c r="E69" s="150">
        <v>40</v>
      </c>
      <c r="F69" s="28">
        <v>1063.529</v>
      </c>
      <c r="G69" s="28">
        <v>1072.3135</v>
      </c>
      <c r="H69" s="18">
        <f>(G69-F69)*E69</f>
        <v>351.3799999999992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50">
        <v>51491624</v>
      </c>
      <c r="D70" s="151" t="s">
        <v>64</v>
      </c>
      <c r="E70" s="150">
        <v>40</v>
      </c>
      <c r="F70" s="28">
        <v>155.47999999999999</v>
      </c>
      <c r="G70" s="28">
        <v>159.20650000000001</v>
      </c>
      <c r="H70" s="18">
        <f>(G70-F70)*E70</f>
        <v>149.06000000000063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36229.900000000045</v>
      </c>
      <c r="I71" s="85">
        <f>H71-H74-H69-H70</f>
        <v>-451.73999999949342</v>
      </c>
      <c r="J71" s="25">
        <f>I71/H71</f>
        <v>-1.2468706786369625E-2</v>
      </c>
    </row>
    <row r="72" spans="1:10" ht="15.75" x14ac:dyDescent="0.25">
      <c r="A72" s="27" t="s">
        <v>92</v>
      </c>
      <c r="B72" s="150" t="s">
        <v>53</v>
      </c>
      <c r="C72" s="86">
        <v>51097588</v>
      </c>
      <c r="D72" s="151" t="s">
        <v>76</v>
      </c>
      <c r="E72" s="150">
        <v>12000</v>
      </c>
      <c r="F72" s="21">
        <v>306.59500000000003</v>
      </c>
      <c r="G72" s="21">
        <v>307.83269999999999</v>
      </c>
      <c r="H72" s="18">
        <f>(G72-F72)*E72</f>
        <v>14852.399999999534</v>
      </c>
      <c r="I72" s="51"/>
      <c r="J72" s="58"/>
    </row>
    <row r="73" spans="1:10" ht="15.75" x14ac:dyDescent="0.25">
      <c r="A73" s="27" t="s">
        <v>93</v>
      </c>
      <c r="B73" s="150" t="s">
        <v>53</v>
      </c>
      <c r="C73" s="86">
        <v>51431335</v>
      </c>
      <c r="D73" s="151" t="s">
        <v>76</v>
      </c>
      <c r="E73" s="150">
        <v>12000</v>
      </c>
      <c r="F73" s="21">
        <v>242.64599999999999</v>
      </c>
      <c r="G73" s="21">
        <v>244.42339999999999</v>
      </c>
      <c r="H73" s="18">
        <f>(G73-F73)*E73</f>
        <v>21328.800000000003</v>
      </c>
      <c r="I73" s="51"/>
      <c r="J73" s="58"/>
    </row>
    <row r="74" spans="1:10" ht="15.75" x14ac:dyDescent="0.25">
      <c r="A74" s="87" t="s">
        <v>94</v>
      </c>
      <c r="B74" s="150" t="s">
        <v>28</v>
      </c>
      <c r="C74" s="150"/>
      <c r="D74" s="151"/>
      <c r="E74" s="150"/>
      <c r="F74" s="21"/>
      <c r="G74" s="21"/>
      <c r="H74" s="48">
        <f>H72+ H73</f>
        <v>36181.199999999539</v>
      </c>
      <c r="I74" s="85">
        <f>H74-H82</f>
        <v>-75.060000000426953</v>
      </c>
      <c r="J74" s="25">
        <f>I74/H74</f>
        <v>-2.0745580577876885E-3</v>
      </c>
    </row>
    <row r="75" spans="1:10" ht="15.75" x14ac:dyDescent="0.25">
      <c r="A75" s="27" t="s">
        <v>95</v>
      </c>
      <c r="B75" s="150" t="s">
        <v>53</v>
      </c>
      <c r="C75" s="86">
        <v>51097676</v>
      </c>
      <c r="D75" s="88" t="s">
        <v>64</v>
      </c>
      <c r="E75" s="150">
        <v>2400</v>
      </c>
      <c r="F75" s="21">
        <v>638.00099999999998</v>
      </c>
      <c r="G75" s="21">
        <v>641.83190000000002</v>
      </c>
      <c r="H75" s="18">
        <f>(G75-F75)*E75</f>
        <v>9194.1600000001017</v>
      </c>
      <c r="I75" s="51"/>
      <c r="J75" s="58"/>
    </row>
    <row r="76" spans="1:10" ht="15.75" x14ac:dyDescent="0.25">
      <c r="A76" s="27" t="s">
        <v>96</v>
      </c>
      <c r="B76" s="150" t="s">
        <v>53</v>
      </c>
      <c r="C76" s="86">
        <v>51431355</v>
      </c>
      <c r="D76" s="151" t="s">
        <v>22</v>
      </c>
      <c r="E76" s="151">
        <v>3600</v>
      </c>
      <c r="F76" s="21">
        <v>341.59199999999998</v>
      </c>
      <c r="G76" s="21">
        <v>343.01909999999998</v>
      </c>
      <c r="H76" s="18">
        <f>(G76-F76)*E76</f>
        <v>5137.5599999999849</v>
      </c>
      <c r="I76" s="51"/>
      <c r="J76" s="52"/>
    </row>
    <row r="77" spans="1:10" ht="15.75" x14ac:dyDescent="0.25">
      <c r="A77" s="27" t="s">
        <v>97</v>
      </c>
      <c r="B77" s="150" t="s">
        <v>53</v>
      </c>
      <c r="C77" s="86">
        <v>51259331</v>
      </c>
      <c r="D77" s="88" t="s">
        <v>38</v>
      </c>
      <c r="E77" s="150">
        <v>600</v>
      </c>
      <c r="F77" s="21">
        <v>149.47399999999999</v>
      </c>
      <c r="G77" s="21">
        <v>150.3997</v>
      </c>
      <c r="H77" s="18">
        <f>(G77-F77)*E77</f>
        <v>555.42000000000371</v>
      </c>
      <c r="I77" s="51"/>
      <c r="J77" s="52"/>
    </row>
    <row r="78" spans="1:10" ht="15.75" x14ac:dyDescent="0.25">
      <c r="A78" s="27" t="s">
        <v>98</v>
      </c>
      <c r="B78" s="150" t="s">
        <v>53</v>
      </c>
      <c r="C78" s="86">
        <v>51259326</v>
      </c>
      <c r="D78" s="88" t="s">
        <v>15</v>
      </c>
      <c r="E78" s="150">
        <v>7200</v>
      </c>
      <c r="F78" s="21">
        <v>306.05700000000002</v>
      </c>
      <c r="G78" s="21">
        <v>307.58600000000001</v>
      </c>
      <c r="H78" s="18">
        <f>(G78-F78)*E78</f>
        <v>11008.799999999974</v>
      </c>
      <c r="I78" s="51"/>
      <c r="J78" s="52"/>
    </row>
    <row r="79" spans="1:10" ht="15.75" x14ac:dyDescent="0.25">
      <c r="A79" s="27" t="s">
        <v>99</v>
      </c>
      <c r="B79" s="150" t="s">
        <v>53</v>
      </c>
      <c r="C79" s="86">
        <v>51431351</v>
      </c>
      <c r="D79" s="88" t="s">
        <v>15</v>
      </c>
      <c r="E79" s="150">
        <v>7200</v>
      </c>
      <c r="F79" s="21">
        <v>215.13200000000001</v>
      </c>
      <c r="G79" s="21">
        <v>216.57079999999999</v>
      </c>
      <c r="H79" s="18">
        <f>(G79-F79)*E79</f>
        <v>10359.359999999902</v>
      </c>
      <c r="I79" s="51"/>
      <c r="J79" s="52"/>
    </row>
    <row r="80" spans="1:10" ht="15.75" x14ac:dyDescent="0.25">
      <c r="A80" s="89" t="s">
        <v>100</v>
      </c>
      <c r="B80" s="150" t="s">
        <v>53</v>
      </c>
      <c r="C80" s="90">
        <v>51097666</v>
      </c>
      <c r="D80" s="88" t="s">
        <v>64</v>
      </c>
      <c r="E80" s="150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50" t="s">
        <v>53</v>
      </c>
      <c r="C81" s="90">
        <v>51259323</v>
      </c>
      <c r="D81" s="88" t="s">
        <v>64</v>
      </c>
      <c r="E81" s="150">
        <v>2400</v>
      </c>
      <c r="F81" s="31">
        <v>7.5999999999999998E-2</v>
      </c>
      <c r="G81" s="31">
        <v>7.6399999999999996E-2</v>
      </c>
      <c r="H81" s="33">
        <f t="shared" si="3"/>
        <v>0.95999999999999419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36256.259999999966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50" t="s">
        <v>53</v>
      </c>
      <c r="C84" s="106">
        <v>51431297</v>
      </c>
      <c r="D84" s="151" t="s">
        <v>54</v>
      </c>
      <c r="E84" s="100">
        <v>7000</v>
      </c>
      <c r="F84" s="17">
        <v>248.7748</v>
      </c>
      <c r="G84" s="17">
        <v>249.83279999999999</v>
      </c>
      <c r="H84" s="18">
        <f>(G84-F84)*E84</f>
        <v>7405.9999999999491</v>
      </c>
      <c r="I84" s="107"/>
      <c r="J84" s="108"/>
    </row>
    <row r="85" spans="1:10" ht="15.75" x14ac:dyDescent="0.25">
      <c r="A85" s="105" t="s">
        <v>87</v>
      </c>
      <c r="B85" s="150" t="s">
        <v>53</v>
      </c>
      <c r="C85" s="106">
        <v>51431332</v>
      </c>
      <c r="D85" s="151" t="s">
        <v>54</v>
      </c>
      <c r="E85" s="100">
        <v>7000</v>
      </c>
      <c r="F85" s="21">
        <v>341.0933</v>
      </c>
      <c r="G85" s="21">
        <v>342.71980000000002</v>
      </c>
      <c r="H85" s="18">
        <f>(G85-F85)*E85</f>
        <v>11385.500000000149</v>
      </c>
      <c r="I85" s="150"/>
      <c r="J85" s="58"/>
    </row>
    <row r="86" spans="1:10" ht="15.75" x14ac:dyDescent="0.25">
      <c r="A86" s="27" t="s">
        <v>88</v>
      </c>
      <c r="B86" s="150" t="s">
        <v>104</v>
      </c>
      <c r="C86" s="109">
        <v>150773</v>
      </c>
      <c r="D86" s="151" t="s">
        <v>54</v>
      </c>
      <c r="E86" s="109">
        <v>20</v>
      </c>
      <c r="F86" s="17">
        <v>15532.3</v>
      </c>
      <c r="G86" s="17">
        <v>15542.8</v>
      </c>
      <c r="H86" s="18">
        <f>(G86-F86)*E86</f>
        <v>210</v>
      </c>
      <c r="I86" s="51"/>
      <c r="J86" s="58"/>
    </row>
    <row r="87" spans="1:10" ht="15.75" x14ac:dyDescent="0.25">
      <c r="A87" s="27" t="s">
        <v>90</v>
      </c>
      <c r="B87" s="150" t="s">
        <v>104</v>
      </c>
      <c r="C87" s="109">
        <v>150791</v>
      </c>
      <c r="D87" s="151" t="s">
        <v>54</v>
      </c>
      <c r="E87" s="109">
        <v>20</v>
      </c>
      <c r="F87" s="21">
        <v>231.7</v>
      </c>
      <c r="G87" s="21">
        <v>231.7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52"/>
      <c r="C88" s="32"/>
      <c r="D88" s="82"/>
      <c r="E88" s="82"/>
      <c r="F88" s="21"/>
      <c r="G88" s="21"/>
      <c r="H88" s="48">
        <f>H84+H85</f>
        <v>18791.500000000098</v>
      </c>
      <c r="I88" s="85">
        <f>H88-H91-H86-H87</f>
        <v>369.82000000030166</v>
      </c>
      <c r="J88" s="25">
        <f>I88/H88</f>
        <v>1.9680174547018585E-2</v>
      </c>
    </row>
    <row r="89" spans="1:10" ht="15.75" x14ac:dyDescent="0.25">
      <c r="A89" s="27" t="s">
        <v>105</v>
      </c>
      <c r="B89" s="150" t="s">
        <v>53</v>
      </c>
      <c r="C89" s="106">
        <v>51431342</v>
      </c>
      <c r="D89" s="88" t="s">
        <v>35</v>
      </c>
      <c r="E89" s="150">
        <v>4800</v>
      </c>
      <c r="F89" s="21">
        <v>352.61410000000001</v>
      </c>
      <c r="G89" s="21">
        <v>354.14789999999999</v>
      </c>
      <c r="H89" s="18">
        <f>(G89-F89)*E89</f>
        <v>7362.2399999999288</v>
      </c>
      <c r="I89" s="51"/>
      <c r="J89" s="52"/>
    </row>
    <row r="90" spans="1:10" ht="15.75" x14ac:dyDescent="0.25">
      <c r="A90" s="27" t="s">
        <v>106</v>
      </c>
      <c r="B90" s="150" t="s">
        <v>53</v>
      </c>
      <c r="C90" s="106">
        <v>51431343</v>
      </c>
      <c r="D90" s="88" t="s">
        <v>35</v>
      </c>
      <c r="E90" s="150">
        <v>4800</v>
      </c>
      <c r="F90" s="21">
        <v>482.50490000000002</v>
      </c>
      <c r="G90" s="21">
        <v>484.76519999999999</v>
      </c>
      <c r="H90" s="18">
        <f>(G90-F90)*E90</f>
        <v>10849.439999999868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18211.679999999797</v>
      </c>
      <c r="I91" s="85">
        <f>H91-H99</f>
        <v>-198.18000000040047</v>
      </c>
      <c r="J91" s="25">
        <f>I91/H91</f>
        <v>-1.0882027358288894E-2</v>
      </c>
    </row>
    <row r="92" spans="1:10" ht="15.75" x14ac:dyDescent="0.25">
      <c r="A92" s="27" t="s">
        <v>108</v>
      </c>
      <c r="B92" s="150" t="s">
        <v>53</v>
      </c>
      <c r="C92" s="106">
        <v>51431347</v>
      </c>
      <c r="D92" s="151" t="s">
        <v>54</v>
      </c>
      <c r="E92" s="150">
        <v>1200</v>
      </c>
      <c r="F92" s="21">
        <v>1124.8055999999999</v>
      </c>
      <c r="G92" s="21">
        <v>1133.2742000000001</v>
      </c>
      <c r="H92" s="18">
        <f t="shared" ref="H92:H100" si="4">(G92-F92)*E92</f>
        <v>10162.320000000182</v>
      </c>
      <c r="I92" s="51"/>
      <c r="J92" s="52"/>
    </row>
    <row r="93" spans="1:10" ht="15.75" x14ac:dyDescent="0.25">
      <c r="A93" s="27" t="s">
        <v>109</v>
      </c>
      <c r="B93" s="150" t="s">
        <v>53</v>
      </c>
      <c r="C93" s="106">
        <v>51431339</v>
      </c>
      <c r="D93" s="151" t="s">
        <v>54</v>
      </c>
      <c r="E93" s="150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50" t="s">
        <v>53</v>
      </c>
      <c r="C94" s="106">
        <v>51217244</v>
      </c>
      <c r="D94" s="150" t="s">
        <v>38</v>
      </c>
      <c r="E94" s="150">
        <v>600</v>
      </c>
      <c r="F94" s="30">
        <v>308.2242</v>
      </c>
      <c r="G94" s="30">
        <v>309.28030000000001</v>
      </c>
      <c r="H94" s="18">
        <f t="shared" si="4"/>
        <v>633.66000000000895</v>
      </c>
      <c r="I94" s="51"/>
      <c r="J94" s="52"/>
    </row>
    <row r="95" spans="1:10" ht="15.75" x14ac:dyDescent="0.25">
      <c r="A95" s="27" t="s">
        <v>111</v>
      </c>
      <c r="B95" s="150" t="s">
        <v>53</v>
      </c>
      <c r="C95" s="106">
        <v>51217267</v>
      </c>
      <c r="D95" s="88" t="s">
        <v>64</v>
      </c>
      <c r="E95" s="150">
        <v>2400</v>
      </c>
      <c r="F95" s="30">
        <v>19.7333</v>
      </c>
      <c r="G95" s="30">
        <v>19.762899999999998</v>
      </c>
      <c r="H95" s="18">
        <f t="shared" si="4"/>
        <v>71.039999999996439</v>
      </c>
      <c r="I95" s="51"/>
      <c r="J95" s="52"/>
    </row>
    <row r="96" spans="1:10" ht="15.75" x14ac:dyDescent="0.25">
      <c r="A96" s="27" t="s">
        <v>112</v>
      </c>
      <c r="B96" s="150" t="s">
        <v>53</v>
      </c>
      <c r="C96" s="150">
        <v>51555165</v>
      </c>
      <c r="D96" s="151" t="s">
        <v>54</v>
      </c>
      <c r="E96" s="150">
        <v>1200</v>
      </c>
      <c r="F96" s="30">
        <v>771.62699999999995</v>
      </c>
      <c r="G96" s="30">
        <v>771.62789999999995</v>
      </c>
      <c r="H96" s="18">
        <f t="shared" si="4"/>
        <v>1.0800000000017462</v>
      </c>
      <c r="I96" s="51" t="s">
        <v>28</v>
      </c>
      <c r="J96" s="52"/>
    </row>
    <row r="97" spans="1:10" ht="15.75" x14ac:dyDescent="0.25">
      <c r="A97" s="113" t="s">
        <v>113</v>
      </c>
      <c r="B97" s="150" t="s">
        <v>53</v>
      </c>
      <c r="C97" s="106">
        <v>51431346</v>
      </c>
      <c r="D97" s="114" t="s">
        <v>38</v>
      </c>
      <c r="E97" s="114">
        <v>600</v>
      </c>
      <c r="F97" s="30">
        <v>323.64089999999999</v>
      </c>
      <c r="G97" s="30">
        <v>325.6275</v>
      </c>
      <c r="H97" s="115">
        <f t="shared" si="4"/>
        <v>1191.9600000000059</v>
      </c>
      <c r="I97" s="116"/>
      <c r="J97" s="117"/>
    </row>
    <row r="98" spans="1:10" ht="15.75" x14ac:dyDescent="0.25">
      <c r="A98" s="27" t="s">
        <v>114</v>
      </c>
      <c r="B98" s="150" t="s">
        <v>53</v>
      </c>
      <c r="C98" s="106">
        <v>51431352</v>
      </c>
      <c r="D98" s="88" t="s">
        <v>22</v>
      </c>
      <c r="E98" s="150">
        <v>3600</v>
      </c>
      <c r="F98" s="21">
        <v>199.6155</v>
      </c>
      <c r="G98" s="21">
        <v>201.321</v>
      </c>
      <c r="H98" s="18">
        <f t="shared" si="4"/>
        <v>6139.8000000000029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18409.860000000197</v>
      </c>
      <c r="I99" s="51"/>
      <c r="J99" s="52"/>
    </row>
    <row r="100" spans="1:10" ht="15.75" x14ac:dyDescent="0.25">
      <c r="A100" s="45" t="s">
        <v>115</v>
      </c>
      <c r="B100" s="150" t="s">
        <v>53</v>
      </c>
      <c r="C100" s="120">
        <v>51431357</v>
      </c>
      <c r="D100" s="151" t="s">
        <v>64</v>
      </c>
      <c r="E100" s="151">
        <v>14000</v>
      </c>
      <c r="F100" s="28">
        <v>778.13580000000002</v>
      </c>
      <c r="G100" s="28">
        <v>782.4502</v>
      </c>
      <c r="H100" s="121">
        <f t="shared" si="4"/>
        <v>60401.599999999686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127</v>
      </c>
      <c r="G3" s="4" t="s">
        <v>128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53" t="s">
        <v>14</v>
      </c>
      <c r="C5" s="153">
        <v>51555166</v>
      </c>
      <c r="D5" s="153" t="s">
        <v>15</v>
      </c>
      <c r="E5" s="153">
        <v>132000</v>
      </c>
      <c r="F5" s="17">
        <v>2.9420999999999999</v>
      </c>
      <c r="G5" s="17">
        <v>2.9535</v>
      </c>
      <c r="H5" s="18">
        <f>(G5-F5)*E5</f>
        <v>1504.8000000000102</v>
      </c>
      <c r="I5" s="19"/>
      <c r="J5" s="20"/>
    </row>
    <row r="6" spans="1:10" ht="15.75" x14ac:dyDescent="0.25">
      <c r="A6" s="15" t="s">
        <v>16</v>
      </c>
      <c r="B6" s="153" t="s">
        <v>14</v>
      </c>
      <c r="C6" s="153">
        <v>51555191</v>
      </c>
      <c r="D6" s="153" t="s">
        <v>15</v>
      </c>
      <c r="E6" s="153">
        <v>132000</v>
      </c>
      <c r="F6" s="21">
        <v>338.32690000000002</v>
      </c>
      <c r="G6" s="21">
        <v>340.37299999999999</v>
      </c>
      <c r="H6" s="18">
        <f>(G6-F6)*E6</f>
        <v>270085.19999999565</v>
      </c>
      <c r="I6" s="19"/>
      <c r="J6" s="20"/>
    </row>
    <row r="7" spans="1:10" ht="15.75" x14ac:dyDescent="0.25">
      <c r="A7" s="207" t="s">
        <v>17</v>
      </c>
      <c r="B7" s="208"/>
      <c r="C7" s="153"/>
      <c r="D7" s="154"/>
      <c r="E7" s="153"/>
      <c r="H7" s="23">
        <f>H5+H6</f>
        <v>271589.99999999563</v>
      </c>
      <c r="I7" s="24">
        <f>H7-H10-H20</f>
        <v>2399.4000000032829</v>
      </c>
      <c r="J7" s="25">
        <f>I7/H7</f>
        <v>8.8346404506915634E-3</v>
      </c>
    </row>
    <row r="8" spans="1:10" ht="15.75" x14ac:dyDescent="0.25">
      <c r="A8" s="26" t="s">
        <v>18</v>
      </c>
      <c r="B8" s="153" t="s">
        <v>14</v>
      </c>
      <c r="C8" s="153">
        <v>51097629</v>
      </c>
      <c r="D8" s="154" t="s">
        <v>15</v>
      </c>
      <c r="E8" s="153">
        <v>42000</v>
      </c>
      <c r="F8" s="21">
        <v>1028.7116000000001</v>
      </c>
      <c r="G8" s="21">
        <v>1033.1986999999999</v>
      </c>
      <c r="H8" s="18">
        <f>(G8-F8)*E8</f>
        <v>188458.19999999276</v>
      </c>
      <c r="I8" s="19"/>
      <c r="J8" s="20"/>
    </row>
    <row r="9" spans="1:10" ht="15.75" x14ac:dyDescent="0.25">
      <c r="A9" s="26" t="s">
        <v>19</v>
      </c>
      <c r="B9" s="153" t="s">
        <v>14</v>
      </c>
      <c r="C9" s="153">
        <v>51616820</v>
      </c>
      <c r="D9" s="154" t="s">
        <v>15</v>
      </c>
      <c r="E9" s="153">
        <v>42000</v>
      </c>
      <c r="F9" s="21">
        <v>5.0377999999999998</v>
      </c>
      <c r="G9" s="21">
        <v>5.0606999999999998</v>
      </c>
      <c r="H9" s="18">
        <f>(G9-F9)*E9</f>
        <v>961.79999999999666</v>
      </c>
      <c r="I9" s="19"/>
      <c r="J9" s="20"/>
    </row>
    <row r="10" spans="1:10" ht="15.75" x14ac:dyDescent="0.25">
      <c r="A10" s="207" t="s">
        <v>20</v>
      </c>
      <c r="B10" s="208"/>
      <c r="C10" s="153"/>
      <c r="D10" s="154"/>
      <c r="E10" s="153"/>
      <c r="F10" s="21"/>
      <c r="G10" s="21"/>
      <c r="H10" s="23">
        <f>H8+H9</f>
        <v>189419.99999999275</v>
      </c>
      <c r="I10" s="24">
        <f>H10-H17</f>
        <v>-29.400000008346979</v>
      </c>
      <c r="J10" s="25">
        <f>I10/H10</f>
        <v>-1.5521064305959299E-4</v>
      </c>
    </row>
    <row r="11" spans="1:10" ht="15.75" x14ac:dyDescent="0.25">
      <c r="A11" s="27" t="s">
        <v>21</v>
      </c>
      <c r="B11" s="153" t="s">
        <v>14</v>
      </c>
      <c r="C11" s="153">
        <v>51217286</v>
      </c>
      <c r="D11" s="154" t="s">
        <v>22</v>
      </c>
      <c r="E11" s="153">
        <v>21000</v>
      </c>
      <c r="F11" s="21">
        <v>815.06020000000001</v>
      </c>
      <c r="G11" s="21">
        <v>818.38480000000004</v>
      </c>
      <c r="H11" s="18">
        <f t="shared" ref="H11:H16" si="0">(G11-F11)*E11</f>
        <v>69816.600000000675</v>
      </c>
      <c r="I11" s="19"/>
      <c r="J11" s="20"/>
    </row>
    <row r="12" spans="1:10" ht="15.75" x14ac:dyDescent="0.25">
      <c r="A12" s="27" t="s">
        <v>23</v>
      </c>
      <c r="B12" s="153" t="s">
        <v>14</v>
      </c>
      <c r="C12" s="153">
        <v>51217292</v>
      </c>
      <c r="D12" s="154" t="s">
        <v>22</v>
      </c>
      <c r="E12" s="153">
        <v>21000</v>
      </c>
      <c r="F12" s="28">
        <v>3.5081000000000002</v>
      </c>
      <c r="G12" s="28">
        <v>3.5335999999999999</v>
      </c>
      <c r="H12" s="18">
        <f>(G12-F12)*E12</f>
        <v>535.49999999999227</v>
      </c>
      <c r="I12" s="19"/>
      <c r="J12" s="20"/>
    </row>
    <row r="13" spans="1:10" ht="15.75" x14ac:dyDescent="0.25">
      <c r="A13" s="27" t="s">
        <v>24</v>
      </c>
      <c r="B13" s="153" t="s">
        <v>14</v>
      </c>
      <c r="C13" s="153">
        <v>51217271</v>
      </c>
      <c r="D13" s="154" t="s">
        <v>22</v>
      </c>
      <c r="E13" s="153">
        <v>21000</v>
      </c>
      <c r="F13" s="21">
        <v>595.9538</v>
      </c>
      <c r="G13" s="21">
        <v>598.61680000000001</v>
      </c>
      <c r="H13" s="18">
        <f t="shared" si="0"/>
        <v>55923.000000000233</v>
      </c>
      <c r="I13" s="19"/>
      <c r="J13" s="20"/>
    </row>
    <row r="14" spans="1:10" ht="15.75" x14ac:dyDescent="0.25">
      <c r="A14" s="27" t="s">
        <v>25</v>
      </c>
      <c r="B14" s="153" t="s">
        <v>14</v>
      </c>
      <c r="C14" s="153">
        <v>51217276</v>
      </c>
      <c r="D14" s="154" t="s">
        <v>22</v>
      </c>
      <c r="E14" s="153">
        <v>21000</v>
      </c>
      <c r="F14" s="28">
        <v>0.52400000000000002</v>
      </c>
      <c r="G14" s="28">
        <v>0.52939999999999998</v>
      </c>
      <c r="H14" s="18">
        <f>(G14-F14)*E14</f>
        <v>113.39999999999917</v>
      </c>
      <c r="I14" s="19"/>
      <c r="J14" s="20"/>
    </row>
    <row r="15" spans="1:10" ht="15.75" x14ac:dyDescent="0.25">
      <c r="A15" s="27" t="s">
        <v>26</v>
      </c>
      <c r="B15" s="153" t="s">
        <v>14</v>
      </c>
      <c r="C15" s="153">
        <v>51100990</v>
      </c>
      <c r="D15" s="154" t="s">
        <v>22</v>
      </c>
      <c r="E15" s="153">
        <v>21000</v>
      </c>
      <c r="F15" s="29">
        <v>652.10419999999999</v>
      </c>
      <c r="G15" s="29">
        <v>655.0951</v>
      </c>
      <c r="H15" s="18">
        <f t="shared" si="0"/>
        <v>62808.90000000022</v>
      </c>
      <c r="I15" s="19"/>
      <c r="J15" s="20"/>
    </row>
    <row r="16" spans="1:10" ht="15.75" x14ac:dyDescent="0.25">
      <c r="A16" s="27" t="s">
        <v>27</v>
      </c>
      <c r="B16" s="153" t="s">
        <v>14</v>
      </c>
      <c r="C16" s="153">
        <v>51097622</v>
      </c>
      <c r="D16" s="154" t="s">
        <v>22</v>
      </c>
      <c r="E16" s="153">
        <v>21000</v>
      </c>
      <c r="F16" s="21">
        <v>2.8626999999999998</v>
      </c>
      <c r="G16" s="21">
        <v>2.8746999999999998</v>
      </c>
      <c r="H16" s="18">
        <f t="shared" si="0"/>
        <v>252.00000000000023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53"/>
      <c r="D17" s="154"/>
      <c r="E17" s="153"/>
      <c r="F17" s="21"/>
      <c r="G17" s="21"/>
      <c r="H17" s="23">
        <f>H11+H12+H13+H14+H15+H16</f>
        <v>189449.4000000011</v>
      </c>
      <c r="I17" s="19"/>
      <c r="J17" s="20"/>
    </row>
    <row r="18" spans="1:10" ht="15.75" x14ac:dyDescent="0.25">
      <c r="A18" s="26" t="s">
        <v>30</v>
      </c>
      <c r="B18" s="153" t="s">
        <v>14</v>
      </c>
      <c r="C18" s="153">
        <v>51097617</v>
      </c>
      <c r="D18" s="154" t="s">
        <v>31</v>
      </c>
      <c r="E18" s="153">
        <v>18000</v>
      </c>
      <c r="F18" s="30">
        <v>785.59559999999999</v>
      </c>
      <c r="G18" s="30">
        <v>790.02729999999997</v>
      </c>
      <c r="H18" s="18">
        <f>(G18-F18)*E18</f>
        <v>79770.599999999598</v>
      </c>
      <c r="I18" s="19"/>
      <c r="J18" s="20"/>
    </row>
    <row r="19" spans="1:10" ht="15.75" x14ac:dyDescent="0.25">
      <c r="A19" s="26" t="s">
        <v>32</v>
      </c>
      <c r="B19" s="153" t="s">
        <v>14</v>
      </c>
      <c r="C19" s="153">
        <v>51097655</v>
      </c>
      <c r="D19" s="154" t="s">
        <v>31</v>
      </c>
      <c r="E19" s="153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53"/>
      <c r="D20" s="154"/>
      <c r="E20" s="153"/>
      <c r="F20" s="30"/>
      <c r="G20" s="30"/>
      <c r="H20" s="23">
        <f>H18+H19</f>
        <v>79770.599999999598</v>
      </c>
      <c r="I20" s="24">
        <f>H20-H35</f>
        <v>4012.8599999988801</v>
      </c>
      <c r="J20" s="25">
        <f>I20/H20</f>
        <v>5.030499958629997E-2</v>
      </c>
    </row>
    <row r="21" spans="1:10" ht="15.75" x14ac:dyDescent="0.25">
      <c r="A21" s="15" t="s">
        <v>34</v>
      </c>
      <c r="B21" s="153" t="s">
        <v>14</v>
      </c>
      <c r="C21" s="153">
        <v>51217282</v>
      </c>
      <c r="D21" s="154" t="s">
        <v>35</v>
      </c>
      <c r="E21" s="153">
        <v>4800</v>
      </c>
      <c r="F21" s="21">
        <v>379.70780000000002</v>
      </c>
      <c r="G21" s="21">
        <v>379.75189999999998</v>
      </c>
      <c r="H21" s="18">
        <f t="shared" ref="H21:H34" si="1">(G21-F21)*E21</f>
        <v>211.67999999979656</v>
      </c>
      <c r="I21" s="19" t="s">
        <v>28</v>
      </c>
      <c r="J21" s="20"/>
    </row>
    <row r="22" spans="1:10" ht="15.75" x14ac:dyDescent="0.25">
      <c r="A22" s="15" t="s">
        <v>36</v>
      </c>
      <c r="B22" s="153" t="s">
        <v>14</v>
      </c>
      <c r="C22" s="153">
        <v>51217274</v>
      </c>
      <c r="D22" s="154" t="s">
        <v>35</v>
      </c>
      <c r="E22" s="153">
        <v>4800</v>
      </c>
      <c r="F22" s="21">
        <v>1233.5282999999999</v>
      </c>
      <c r="G22" s="21">
        <v>1239.6093000000001</v>
      </c>
      <c r="H22" s="18">
        <f t="shared" si="1"/>
        <v>29188.800000000629</v>
      </c>
      <c r="I22" s="19"/>
      <c r="J22" s="20"/>
    </row>
    <row r="23" spans="1:10" ht="15.75" x14ac:dyDescent="0.25">
      <c r="A23" s="15" t="s">
        <v>37</v>
      </c>
      <c r="B23" s="153" t="s">
        <v>14</v>
      </c>
      <c r="C23" s="153">
        <v>51097664</v>
      </c>
      <c r="D23" s="154" t="s">
        <v>38</v>
      </c>
      <c r="E23" s="153">
        <v>600</v>
      </c>
      <c r="F23" s="21">
        <v>4.4409999999999998</v>
      </c>
      <c r="G23" s="21">
        <v>4.4409999999999998</v>
      </c>
      <c r="H23" s="18">
        <f t="shared" si="1"/>
        <v>0</v>
      </c>
      <c r="I23" s="19"/>
      <c r="J23" s="20"/>
    </row>
    <row r="24" spans="1:10" ht="15.75" x14ac:dyDescent="0.25">
      <c r="A24" s="15" t="s">
        <v>39</v>
      </c>
      <c r="B24" s="153" t="s">
        <v>14</v>
      </c>
      <c r="C24" s="153">
        <v>51097615</v>
      </c>
      <c r="D24" s="154" t="s">
        <v>38</v>
      </c>
      <c r="E24" s="153">
        <v>600</v>
      </c>
      <c r="F24" s="21">
        <v>37.848100000000002</v>
      </c>
      <c r="G24" s="21">
        <v>38.243899999999996</v>
      </c>
      <c r="H24" s="18">
        <f t="shared" si="1"/>
        <v>237.47999999999649</v>
      </c>
      <c r="I24" s="19"/>
      <c r="J24" s="20"/>
    </row>
    <row r="25" spans="1:10" ht="15.75" x14ac:dyDescent="0.25">
      <c r="A25" s="15" t="s">
        <v>40</v>
      </c>
      <c r="B25" s="153" t="s">
        <v>14</v>
      </c>
      <c r="C25" s="153">
        <v>51217264</v>
      </c>
      <c r="D25" s="154" t="s">
        <v>38</v>
      </c>
      <c r="E25" s="153">
        <v>600</v>
      </c>
      <c r="F25" s="21">
        <v>90.778400000000005</v>
      </c>
      <c r="G25" s="21">
        <v>91.527199999999993</v>
      </c>
      <c r="H25" s="18">
        <f t="shared" si="1"/>
        <v>449.27999999999315</v>
      </c>
      <c r="I25" s="19"/>
      <c r="J25" s="20"/>
    </row>
    <row r="26" spans="1:10" ht="15.75" x14ac:dyDescent="0.25">
      <c r="A26" s="15" t="s">
        <v>41</v>
      </c>
      <c r="B26" s="153" t="s">
        <v>14</v>
      </c>
      <c r="C26" s="153">
        <v>51217288</v>
      </c>
      <c r="D26" s="154" t="s">
        <v>38</v>
      </c>
      <c r="E26" s="153">
        <v>600</v>
      </c>
      <c r="F26" s="21">
        <v>19.870200000000001</v>
      </c>
      <c r="G26" s="21">
        <v>19.900700000000001</v>
      </c>
      <c r="H26" s="18">
        <f t="shared" si="1"/>
        <v>18.299999999999983</v>
      </c>
      <c r="I26" s="19" t="s">
        <v>28</v>
      </c>
      <c r="J26" s="20"/>
    </row>
    <row r="27" spans="1:10" ht="15.75" x14ac:dyDescent="0.25">
      <c r="A27" s="15" t="s">
        <v>42</v>
      </c>
      <c r="B27" s="153" t="s">
        <v>14</v>
      </c>
      <c r="C27" s="153">
        <v>51217279</v>
      </c>
      <c r="D27" s="154" t="s">
        <v>38</v>
      </c>
      <c r="E27" s="153">
        <v>600</v>
      </c>
      <c r="F27" s="21">
        <v>14.242800000000001</v>
      </c>
      <c r="G27" s="21">
        <v>14.296200000000001</v>
      </c>
      <c r="H27" s="18">
        <f t="shared" si="1"/>
        <v>32.039999999999935</v>
      </c>
      <c r="I27" s="19" t="s">
        <v>28</v>
      </c>
      <c r="J27" s="20"/>
    </row>
    <row r="28" spans="1:10" ht="15.75" x14ac:dyDescent="0.25">
      <c r="A28" s="15" t="s">
        <v>43</v>
      </c>
      <c r="B28" s="153" t="s">
        <v>14</v>
      </c>
      <c r="C28" s="153">
        <v>51217272</v>
      </c>
      <c r="D28" s="154" t="s">
        <v>38</v>
      </c>
      <c r="E28" s="153">
        <v>600</v>
      </c>
      <c r="F28" s="31">
        <v>13.971299999999999</v>
      </c>
      <c r="G28" s="31">
        <v>14.0237</v>
      </c>
      <c r="H28" s="18">
        <f t="shared" si="1"/>
        <v>31.440000000000268</v>
      </c>
      <c r="I28" s="19"/>
      <c r="J28" s="20"/>
    </row>
    <row r="29" spans="1:10" ht="15.75" x14ac:dyDescent="0.25">
      <c r="A29" s="15" t="s">
        <v>44</v>
      </c>
      <c r="B29" s="153" t="s">
        <v>14</v>
      </c>
      <c r="C29" s="153">
        <v>51616744</v>
      </c>
      <c r="D29" s="154">
        <f>300/5</f>
        <v>60</v>
      </c>
      <c r="E29" s="153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53" t="s">
        <v>14</v>
      </c>
      <c r="C30" s="153">
        <v>51555226</v>
      </c>
      <c r="D30" s="154">
        <f>300/5</f>
        <v>60</v>
      </c>
      <c r="E30" s="153">
        <v>3600</v>
      </c>
      <c r="F30" s="31">
        <v>439.03059999999999</v>
      </c>
      <c r="G30" s="31">
        <v>443.42</v>
      </c>
      <c r="H30" s="18">
        <f>(G30-F30)*E30</f>
        <v>15801.840000000084</v>
      </c>
      <c r="I30" s="19"/>
      <c r="J30" s="20"/>
    </row>
    <row r="31" spans="1:10" ht="15.75" x14ac:dyDescent="0.25">
      <c r="A31" s="15" t="s">
        <v>46</v>
      </c>
      <c r="B31" s="153" t="s">
        <v>14</v>
      </c>
      <c r="C31" s="153">
        <v>51097658</v>
      </c>
      <c r="D31" s="154" t="s">
        <v>35</v>
      </c>
      <c r="E31" s="153">
        <v>4800</v>
      </c>
      <c r="F31" s="31">
        <v>601.42989999999998</v>
      </c>
      <c r="G31" s="31">
        <v>604.9375</v>
      </c>
      <c r="H31" s="18">
        <f t="shared" si="1"/>
        <v>16836.48000000012</v>
      </c>
      <c r="I31" s="19"/>
      <c r="J31" s="20"/>
    </row>
    <row r="32" spans="1:10" ht="15.75" x14ac:dyDescent="0.25">
      <c r="A32" s="15" t="s">
        <v>47</v>
      </c>
      <c r="B32" s="153" t="s">
        <v>14</v>
      </c>
      <c r="C32" s="153">
        <v>51097635</v>
      </c>
      <c r="D32" s="154" t="s">
        <v>35</v>
      </c>
      <c r="E32" s="153">
        <v>4800</v>
      </c>
      <c r="F32" s="31">
        <v>48.448700000000002</v>
      </c>
      <c r="G32" s="31">
        <v>48.448900000000002</v>
      </c>
      <c r="H32" s="18">
        <f t="shared" si="1"/>
        <v>0.95999999999776264</v>
      </c>
      <c r="I32" s="19"/>
      <c r="J32" s="20"/>
    </row>
    <row r="33" spans="1:10" ht="15.75" x14ac:dyDescent="0.25">
      <c r="A33" s="15" t="s">
        <v>48</v>
      </c>
      <c r="B33" s="153" t="s">
        <v>14</v>
      </c>
      <c r="C33" s="32">
        <v>51097633</v>
      </c>
      <c r="D33" s="154" t="s">
        <v>35</v>
      </c>
      <c r="E33" s="153">
        <v>4800</v>
      </c>
      <c r="F33" s="31">
        <v>143.54669999999999</v>
      </c>
      <c r="G33" s="31">
        <v>146.14240000000001</v>
      </c>
      <c r="H33" s="33">
        <f t="shared" si="1"/>
        <v>12459.360000000106</v>
      </c>
      <c r="I33" s="34"/>
      <c r="J33" s="35"/>
    </row>
    <row r="34" spans="1:10" ht="15.75" x14ac:dyDescent="0.25">
      <c r="A34" s="15" t="s">
        <v>49</v>
      </c>
      <c r="B34" s="153" t="s">
        <v>14</v>
      </c>
      <c r="C34" s="32">
        <v>51097662</v>
      </c>
      <c r="D34" s="154" t="s">
        <v>35</v>
      </c>
      <c r="E34" s="153">
        <v>4800</v>
      </c>
      <c r="F34" s="31">
        <v>2.7639</v>
      </c>
      <c r="G34" s="31">
        <v>2.8660000000000001</v>
      </c>
      <c r="H34" s="33">
        <f t="shared" si="1"/>
        <v>490.08000000000038</v>
      </c>
      <c r="I34" s="34"/>
      <c r="J34" s="35"/>
    </row>
    <row r="35" spans="1:10" ht="15.75" x14ac:dyDescent="0.25">
      <c r="A35" s="207" t="s">
        <v>50</v>
      </c>
      <c r="B35" s="208"/>
      <c r="C35" s="153"/>
      <c r="D35" s="154"/>
      <c r="E35" s="153"/>
      <c r="F35" s="36"/>
      <c r="G35" s="36"/>
      <c r="H35" s="23">
        <f>H21+H22+H23+H24+H25+H26+H27+H28+H29+H30+H31+H32+H33+H34</f>
        <v>75757.740000000718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53" t="s">
        <v>53</v>
      </c>
      <c r="C37" s="153">
        <v>51555209</v>
      </c>
      <c r="D37" s="154" t="s">
        <v>54</v>
      </c>
      <c r="E37" s="153">
        <v>7000</v>
      </c>
      <c r="F37" s="17">
        <v>5.0458999999999996</v>
      </c>
      <c r="G37" s="17">
        <v>5.0990000000000002</v>
      </c>
      <c r="H37" s="41">
        <f>(G37-F37)*E37</f>
        <v>371.70000000000414</v>
      </c>
      <c r="I37" s="42"/>
      <c r="J37" s="14"/>
    </row>
    <row r="38" spans="1:10" ht="15.75" x14ac:dyDescent="0.25">
      <c r="A38" s="15" t="s">
        <v>55</v>
      </c>
      <c r="B38" s="153" t="s">
        <v>53</v>
      </c>
      <c r="C38" s="153">
        <v>51555209</v>
      </c>
      <c r="D38" s="154" t="s">
        <v>54</v>
      </c>
      <c r="E38" s="153">
        <v>7000</v>
      </c>
      <c r="F38" s="21">
        <v>9.6356000000000002</v>
      </c>
      <c r="G38" s="21">
        <v>9.6784999999999997</v>
      </c>
      <c r="H38" s="18">
        <f>(G38-F38)*E38</f>
        <v>300.29999999999643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53" t="s">
        <v>53</v>
      </c>
      <c r="C40" s="153">
        <v>51097674</v>
      </c>
      <c r="D40" s="153" t="s">
        <v>15</v>
      </c>
      <c r="E40" s="153">
        <v>7200</v>
      </c>
      <c r="F40" s="21">
        <v>553.95529999999997</v>
      </c>
      <c r="G40" s="21">
        <v>556.42610000000002</v>
      </c>
      <c r="H40" s="18">
        <f>(G40-F40)*E40</f>
        <v>17789.760000000388</v>
      </c>
      <c r="I40" s="47"/>
      <c r="J40" s="20"/>
    </row>
    <row r="41" spans="1:10" ht="15.75" x14ac:dyDescent="0.25">
      <c r="A41" s="27" t="s">
        <v>58</v>
      </c>
      <c r="B41" s="153" t="s">
        <v>53</v>
      </c>
      <c r="C41" s="153">
        <v>51259257</v>
      </c>
      <c r="D41" s="153" t="s">
        <v>15</v>
      </c>
      <c r="E41" s="153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53"/>
      <c r="C42" s="153"/>
      <c r="D42" s="153"/>
      <c r="E42" s="153"/>
      <c r="F42" s="21"/>
      <c r="G42" s="21"/>
      <c r="H42" s="48">
        <f>H40+H41</f>
        <v>17789.760000000388</v>
      </c>
      <c r="I42" s="24">
        <f>H42-H50</f>
        <v>-115.75999999986379</v>
      </c>
      <c r="J42" s="25">
        <f>I42/H42</f>
        <v>-6.5071142050180143E-3</v>
      </c>
    </row>
    <row r="43" spans="1:10" ht="15.75" x14ac:dyDescent="0.25">
      <c r="A43" s="15" t="s">
        <v>60</v>
      </c>
      <c r="B43" s="153"/>
      <c r="C43" s="153"/>
      <c r="D43" s="154"/>
      <c r="E43" s="153"/>
      <c r="H43" s="18"/>
      <c r="I43" s="43"/>
      <c r="J43" s="20"/>
    </row>
    <row r="44" spans="1:10" ht="15.75" x14ac:dyDescent="0.25">
      <c r="A44" s="27" t="s">
        <v>61</v>
      </c>
      <c r="B44" s="153" t="s">
        <v>53</v>
      </c>
      <c r="C44" s="32">
        <v>51097648</v>
      </c>
      <c r="D44" s="153" t="s">
        <v>54</v>
      </c>
      <c r="E44" s="153">
        <v>1200</v>
      </c>
      <c r="F44" s="21">
        <v>454.34469999999999</v>
      </c>
      <c r="G44" s="21">
        <v>456.3186</v>
      </c>
      <c r="H44" s="33">
        <f>(G44-F44)*E44</f>
        <v>2368.6800000000176</v>
      </c>
      <c r="I44" s="43"/>
      <c r="J44" s="20"/>
    </row>
    <row r="45" spans="1:10" ht="15.75" x14ac:dyDescent="0.25">
      <c r="A45" s="27" t="s">
        <v>62</v>
      </c>
      <c r="B45" s="153" t="s">
        <v>53</v>
      </c>
      <c r="C45" s="32">
        <v>50555043</v>
      </c>
      <c r="D45" s="153" t="s">
        <v>54</v>
      </c>
      <c r="E45" s="153">
        <v>1200</v>
      </c>
      <c r="F45" s="21">
        <v>1898.0862</v>
      </c>
      <c r="G45" s="21">
        <v>1906.4760000000001</v>
      </c>
      <c r="H45" s="33">
        <f>(G45-F45)*E45</f>
        <v>10067.76000000018</v>
      </c>
      <c r="I45" s="43"/>
      <c r="J45" s="20"/>
    </row>
    <row r="46" spans="1:10" ht="15.75" x14ac:dyDescent="0.25">
      <c r="A46" s="27" t="s">
        <v>63</v>
      </c>
      <c r="B46" s="153" t="s">
        <v>53</v>
      </c>
      <c r="C46" s="32">
        <v>51259336</v>
      </c>
      <c r="D46" s="153" t="s">
        <v>64</v>
      </c>
      <c r="E46" s="153">
        <v>2400</v>
      </c>
      <c r="F46" s="21">
        <v>3.9032</v>
      </c>
      <c r="G46" s="21">
        <v>3.9167000000000001</v>
      </c>
      <c r="H46" s="33">
        <f>(G46-F46)*E46</f>
        <v>32.400000000000162</v>
      </c>
      <c r="I46" s="43"/>
      <c r="J46" s="20"/>
    </row>
    <row r="47" spans="1:10" ht="15.75" x14ac:dyDescent="0.25">
      <c r="A47" s="27" t="s">
        <v>65</v>
      </c>
      <c r="B47" s="153" t="s">
        <v>53</v>
      </c>
      <c r="C47" s="32">
        <v>51259266</v>
      </c>
      <c r="D47" s="153" t="s">
        <v>54</v>
      </c>
      <c r="E47" s="153">
        <v>1200</v>
      </c>
      <c r="F47" s="21">
        <v>920.68389999999999</v>
      </c>
      <c r="G47" s="21">
        <v>924.86580000000004</v>
      </c>
      <c r="H47" s="33">
        <f>(G47-F47)*E47</f>
        <v>5018.2800000000498</v>
      </c>
      <c r="I47" s="43"/>
      <c r="J47" s="20"/>
    </row>
    <row r="48" spans="1:10" ht="15.75" x14ac:dyDescent="0.25">
      <c r="A48" s="27" t="s">
        <v>66</v>
      </c>
      <c r="B48" s="153" t="s">
        <v>53</v>
      </c>
      <c r="C48" s="32">
        <v>51431336</v>
      </c>
      <c r="D48" s="153" t="s">
        <v>54</v>
      </c>
      <c r="E48" s="153">
        <v>1200</v>
      </c>
      <c r="F48" s="21">
        <v>52.163499999999999</v>
      </c>
      <c r="G48" s="21">
        <v>52.470500000000001</v>
      </c>
      <c r="H48" s="33">
        <f>(G48-F48)*E48</f>
        <v>368.40000000000259</v>
      </c>
      <c r="I48" s="43"/>
      <c r="J48" s="20"/>
    </row>
    <row r="49" spans="1:10" ht="15.75" x14ac:dyDescent="0.25">
      <c r="A49" s="15" t="s">
        <v>67</v>
      </c>
      <c r="B49" s="153" t="s">
        <v>68</v>
      </c>
      <c r="C49" s="153">
        <v>49174</v>
      </c>
      <c r="D49" s="154" t="s">
        <v>54</v>
      </c>
      <c r="E49" s="153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17905.520000000251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53" t="s">
        <v>53</v>
      </c>
      <c r="C52" s="153">
        <v>51097603</v>
      </c>
      <c r="D52" s="154" t="s">
        <v>54</v>
      </c>
      <c r="E52" s="153">
        <v>7000</v>
      </c>
      <c r="F52" s="17">
        <v>1824.5395000000001</v>
      </c>
      <c r="G52" s="17">
        <v>1831.7528</v>
      </c>
      <c r="H52" s="18">
        <f>(G52-F52)*E52</f>
        <v>50493.099999999235</v>
      </c>
      <c r="I52" s="43"/>
      <c r="J52" s="20"/>
    </row>
    <row r="53" spans="1:10" ht="15.75" x14ac:dyDescent="0.25">
      <c r="A53" s="27" t="s">
        <v>73</v>
      </c>
      <c r="B53" s="153" t="s">
        <v>53</v>
      </c>
      <c r="C53" s="153">
        <v>51097590</v>
      </c>
      <c r="D53" s="154" t="s">
        <v>54</v>
      </c>
      <c r="E53" s="153">
        <v>7000</v>
      </c>
      <c r="F53" s="21">
        <v>11.5116</v>
      </c>
      <c r="G53" s="21">
        <v>11.587400000000001</v>
      </c>
      <c r="H53" s="18">
        <f>(G53-F53)*E53</f>
        <v>530.60000000000684</v>
      </c>
      <c r="I53" s="43"/>
      <c r="J53" s="20"/>
    </row>
    <row r="54" spans="1:10" ht="15.75" x14ac:dyDescent="0.25">
      <c r="A54" s="15" t="s">
        <v>67</v>
      </c>
      <c r="B54" s="153" t="s">
        <v>68</v>
      </c>
      <c r="C54" s="153">
        <v>49174</v>
      </c>
      <c r="D54" s="154" t="s">
        <v>54</v>
      </c>
      <c r="E54" s="153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53"/>
      <c r="D55" s="154"/>
      <c r="E55" s="153"/>
      <c r="F55" s="21"/>
      <c r="G55" s="21"/>
      <c r="H55" s="48">
        <f>H52+H53+H54</f>
        <v>51123.69999999924</v>
      </c>
      <c r="I55" s="47"/>
      <c r="J55" s="59"/>
    </row>
    <row r="56" spans="1:10" ht="15.75" x14ac:dyDescent="0.25">
      <c r="A56" s="27" t="s">
        <v>75</v>
      </c>
      <c r="B56" s="153" t="s">
        <v>53</v>
      </c>
      <c r="C56" s="153">
        <v>51100980</v>
      </c>
      <c r="D56" s="153" t="s">
        <v>76</v>
      </c>
      <c r="E56" s="153">
        <v>12000</v>
      </c>
      <c r="F56" s="21">
        <v>1073.4294</v>
      </c>
      <c r="G56" s="21">
        <v>1077.6876999999999</v>
      </c>
      <c r="H56" s="18">
        <f>(G56-F56)*E56</f>
        <v>51099.599999999555</v>
      </c>
      <c r="I56" s="47"/>
      <c r="J56" s="58"/>
    </row>
    <row r="57" spans="1:10" ht="15.75" x14ac:dyDescent="0.25">
      <c r="A57" s="27" t="s">
        <v>77</v>
      </c>
      <c r="B57" s="153" t="s">
        <v>53</v>
      </c>
      <c r="C57" s="153">
        <v>51097623</v>
      </c>
      <c r="D57" s="153" t="s">
        <v>76</v>
      </c>
      <c r="E57" s="153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53"/>
      <c r="C58" s="153"/>
      <c r="D58" s="153"/>
      <c r="E58" s="153"/>
      <c r="F58" s="21"/>
      <c r="G58" s="21"/>
      <c r="H58" s="48">
        <f>H56+H57</f>
        <v>51099.599999999555</v>
      </c>
      <c r="I58" s="61">
        <f>H55-H65-H54</f>
        <v>-147.18000000072061</v>
      </c>
      <c r="J58" s="25">
        <f>I58/H58</f>
        <v>-2.8802573797196435E-3</v>
      </c>
    </row>
    <row r="59" spans="1:10" ht="15.75" x14ac:dyDescent="0.25">
      <c r="A59" s="27" t="s">
        <v>79</v>
      </c>
      <c r="B59" s="153" t="s">
        <v>53</v>
      </c>
      <c r="C59" s="153">
        <v>51097675</v>
      </c>
      <c r="D59" s="153" t="s">
        <v>35</v>
      </c>
      <c r="E59" s="153">
        <v>4800</v>
      </c>
      <c r="F59" s="21">
        <v>461.05020000000002</v>
      </c>
      <c r="G59" s="21">
        <v>464.51729999999998</v>
      </c>
      <c r="H59" s="18">
        <f t="shared" ref="H59:H64" si="2">(G59-F59)*E59</f>
        <v>16642.079999999805</v>
      </c>
      <c r="I59" s="62"/>
      <c r="J59" s="59"/>
    </row>
    <row r="60" spans="1:10" ht="15.75" x14ac:dyDescent="0.25">
      <c r="A60" s="27" t="s">
        <v>80</v>
      </c>
      <c r="B60" s="153" t="s">
        <v>53</v>
      </c>
      <c r="C60" s="153">
        <v>51100997</v>
      </c>
      <c r="D60" s="153" t="s">
        <v>22</v>
      </c>
      <c r="E60" s="153">
        <v>3600</v>
      </c>
      <c r="F60" s="21">
        <v>1320.5553</v>
      </c>
      <c r="G60" s="21">
        <v>1323.5859</v>
      </c>
      <c r="H60" s="18">
        <f t="shared" si="2"/>
        <v>10910.160000000178</v>
      </c>
      <c r="I60" s="62"/>
      <c r="J60" s="59"/>
    </row>
    <row r="61" spans="1:10" ht="15.75" x14ac:dyDescent="0.25">
      <c r="A61" s="27" t="s">
        <v>81</v>
      </c>
      <c r="B61" s="153" t="s">
        <v>53</v>
      </c>
      <c r="C61" s="153">
        <v>51555218</v>
      </c>
      <c r="D61" s="153">
        <f>400/5</f>
        <v>80</v>
      </c>
      <c r="E61" s="153">
        <v>4800</v>
      </c>
      <c r="F61" s="21">
        <v>56.057899999999997</v>
      </c>
      <c r="G61" s="21">
        <v>56.653599999999997</v>
      </c>
      <c r="H61" s="18">
        <f t="shared" si="2"/>
        <v>2859.3600000000038</v>
      </c>
      <c r="I61" s="62"/>
      <c r="J61" s="59"/>
    </row>
    <row r="62" spans="1:10" ht="15.75" x14ac:dyDescent="0.25">
      <c r="A62" s="27" t="s">
        <v>82</v>
      </c>
      <c r="B62" s="153" t="s">
        <v>53</v>
      </c>
      <c r="C62" s="153">
        <v>51555151</v>
      </c>
      <c r="D62" s="153">
        <f>400/5</f>
        <v>80</v>
      </c>
      <c r="E62" s="153">
        <v>4800</v>
      </c>
      <c r="F62" s="63">
        <v>0.30649999999999999</v>
      </c>
      <c r="G62" s="63">
        <v>0.30659999999999998</v>
      </c>
      <c r="H62" s="18">
        <f t="shared" si="2"/>
        <v>0.47999999999994714</v>
      </c>
      <c r="I62" s="62"/>
      <c r="J62" s="59"/>
    </row>
    <row r="63" spans="1:10" ht="15.75" x14ac:dyDescent="0.25">
      <c r="A63" s="27" t="s">
        <v>83</v>
      </c>
      <c r="B63" s="153" t="s">
        <v>53</v>
      </c>
      <c r="C63" s="153">
        <v>51097599</v>
      </c>
      <c r="D63" s="153" t="s">
        <v>22</v>
      </c>
      <c r="E63" s="153">
        <v>3600</v>
      </c>
      <c r="F63" s="21">
        <v>926.12660000000005</v>
      </c>
      <c r="G63" s="21">
        <v>928.3904</v>
      </c>
      <c r="H63" s="18">
        <f t="shared" si="2"/>
        <v>8149.6799999998075</v>
      </c>
      <c r="I63" s="62"/>
      <c r="J63" s="59"/>
    </row>
    <row r="64" spans="1:10" ht="15.75" x14ac:dyDescent="0.25">
      <c r="A64" s="27" t="s">
        <v>84</v>
      </c>
      <c r="B64" s="153" t="s">
        <v>53</v>
      </c>
      <c r="C64" s="153">
        <v>51097620</v>
      </c>
      <c r="D64" s="153" t="s">
        <v>35</v>
      </c>
      <c r="E64" s="153">
        <v>4800</v>
      </c>
      <c r="F64" s="21">
        <v>470.67599999999999</v>
      </c>
      <c r="G64" s="21">
        <v>473.30290000000002</v>
      </c>
      <c r="H64" s="18">
        <f t="shared" si="2"/>
        <v>12609.120000000166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51170.879999999961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53" t="s">
        <v>53</v>
      </c>
      <c r="C67" s="9">
        <v>51259238</v>
      </c>
      <c r="D67" s="74" t="s">
        <v>54</v>
      </c>
      <c r="E67" s="74">
        <v>7000</v>
      </c>
      <c r="F67" s="75">
        <v>511.48149999999998</v>
      </c>
      <c r="G67" s="75">
        <v>514.49620000000004</v>
      </c>
      <c r="H67" s="76">
        <f>(G67-F67)*E67</f>
        <v>21102.900000000431</v>
      </c>
      <c r="I67" s="77"/>
      <c r="J67" s="78"/>
    </row>
    <row r="68" spans="1:10" ht="15.75" x14ac:dyDescent="0.25">
      <c r="A68" s="27" t="s">
        <v>87</v>
      </c>
      <c r="B68" s="153" t="s">
        <v>53</v>
      </c>
      <c r="C68" s="153">
        <v>51259324</v>
      </c>
      <c r="D68" s="154" t="s">
        <v>54</v>
      </c>
      <c r="E68" s="154">
        <v>7000</v>
      </c>
      <c r="F68" s="21">
        <v>398.96620000000001</v>
      </c>
      <c r="G68" s="21">
        <v>401.27100000000002</v>
      </c>
      <c r="H68" s="18">
        <f>(G68-F68)*E68</f>
        <v>16133.600000000002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53">
        <v>51491618</v>
      </c>
      <c r="D69" s="154" t="s">
        <v>64</v>
      </c>
      <c r="E69" s="153">
        <v>40</v>
      </c>
      <c r="F69" s="28">
        <v>1072.3135</v>
      </c>
      <c r="G69" s="28">
        <v>1084.146</v>
      </c>
      <c r="H69" s="18">
        <f>(G69-F69)*E69</f>
        <v>473.29999999999927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53">
        <v>51491624</v>
      </c>
      <c r="D70" s="154" t="s">
        <v>64</v>
      </c>
      <c r="E70" s="153">
        <v>40</v>
      </c>
      <c r="F70" s="28">
        <v>159.20650000000001</v>
      </c>
      <c r="G70" s="28">
        <v>160.05000000000001</v>
      </c>
      <c r="H70" s="18">
        <f>(G70-F70)*E70</f>
        <v>33.740000000000236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37236.500000000437</v>
      </c>
      <c r="I71" s="85">
        <f>H71-H74-H69-H70</f>
        <v>-667.33999999954403</v>
      </c>
      <c r="J71" s="25">
        <f>I71/H71</f>
        <v>-1.792166288452288E-2</v>
      </c>
    </row>
    <row r="72" spans="1:10" ht="15.75" x14ac:dyDescent="0.25">
      <c r="A72" s="27" t="s">
        <v>92</v>
      </c>
      <c r="B72" s="153" t="s">
        <v>53</v>
      </c>
      <c r="C72" s="86">
        <v>51097588</v>
      </c>
      <c r="D72" s="154" t="s">
        <v>76</v>
      </c>
      <c r="E72" s="153">
        <v>12000</v>
      </c>
      <c r="F72" s="21">
        <v>307.83269999999999</v>
      </c>
      <c r="G72" s="21">
        <v>309.55439999999999</v>
      </c>
      <c r="H72" s="18">
        <f>(G72-F72)*E72</f>
        <v>20660.39999999998</v>
      </c>
      <c r="I72" s="51"/>
      <c r="J72" s="58"/>
    </row>
    <row r="73" spans="1:10" ht="15.75" x14ac:dyDescent="0.25">
      <c r="A73" s="27" t="s">
        <v>93</v>
      </c>
      <c r="B73" s="153" t="s">
        <v>53</v>
      </c>
      <c r="C73" s="86">
        <v>51431335</v>
      </c>
      <c r="D73" s="154" t="s">
        <v>76</v>
      </c>
      <c r="E73" s="153">
        <v>12000</v>
      </c>
      <c r="F73" s="21">
        <v>244.42339999999999</v>
      </c>
      <c r="G73" s="21">
        <v>245.81809999999999</v>
      </c>
      <c r="H73" s="18">
        <f>(G73-F73)*E73</f>
        <v>16736.400000000001</v>
      </c>
      <c r="I73" s="51"/>
      <c r="J73" s="58"/>
    </row>
    <row r="74" spans="1:10" ht="15.75" x14ac:dyDescent="0.25">
      <c r="A74" s="87" t="s">
        <v>94</v>
      </c>
      <c r="B74" s="153" t="s">
        <v>28</v>
      </c>
      <c r="C74" s="153"/>
      <c r="D74" s="154"/>
      <c r="E74" s="153"/>
      <c r="F74" s="21"/>
      <c r="G74" s="21"/>
      <c r="H74" s="48">
        <f>H72+ H73</f>
        <v>37396.799999999981</v>
      </c>
      <c r="I74" s="85">
        <f>H74-H82</f>
        <v>-103.50000000013097</v>
      </c>
      <c r="J74" s="25">
        <f>I74/H74</f>
        <v>-2.7676164805579893E-3</v>
      </c>
    </row>
    <row r="75" spans="1:10" ht="15.75" x14ac:dyDescent="0.25">
      <c r="A75" s="27" t="s">
        <v>95</v>
      </c>
      <c r="B75" s="153" t="s">
        <v>53</v>
      </c>
      <c r="C75" s="86">
        <v>51097676</v>
      </c>
      <c r="D75" s="88" t="s">
        <v>64</v>
      </c>
      <c r="E75" s="153">
        <v>2400</v>
      </c>
      <c r="F75" s="21">
        <v>641.83190000000002</v>
      </c>
      <c r="G75" s="21">
        <v>645.81719999999996</v>
      </c>
      <c r="H75" s="18">
        <f>(G75-F75)*E75</f>
        <v>9564.719999999852</v>
      </c>
      <c r="I75" s="51"/>
      <c r="J75" s="58"/>
    </row>
    <row r="76" spans="1:10" ht="15.75" x14ac:dyDescent="0.25">
      <c r="A76" s="27" t="s">
        <v>96</v>
      </c>
      <c r="B76" s="153" t="s">
        <v>53</v>
      </c>
      <c r="C76" s="86">
        <v>51431355</v>
      </c>
      <c r="D76" s="154" t="s">
        <v>22</v>
      </c>
      <c r="E76" s="154">
        <v>3600</v>
      </c>
      <c r="F76" s="21">
        <v>343.01909999999998</v>
      </c>
      <c r="G76" s="21">
        <v>344.49810000000002</v>
      </c>
      <c r="H76" s="18">
        <f>(G76-F76)*E76</f>
        <v>5324.4000000001506</v>
      </c>
      <c r="I76" s="51"/>
      <c r="J76" s="52"/>
    </row>
    <row r="77" spans="1:10" ht="15.75" x14ac:dyDescent="0.25">
      <c r="A77" s="27" t="s">
        <v>97</v>
      </c>
      <c r="B77" s="153" t="s">
        <v>53</v>
      </c>
      <c r="C77" s="86">
        <v>51259331</v>
      </c>
      <c r="D77" s="88" t="s">
        <v>38</v>
      </c>
      <c r="E77" s="153">
        <v>600</v>
      </c>
      <c r="F77" s="21">
        <v>150.3997</v>
      </c>
      <c r="G77" s="21">
        <v>151.44300000000001</v>
      </c>
      <c r="H77" s="18">
        <f>(G77-F77)*E77</f>
        <v>625.9800000000098</v>
      </c>
      <c r="I77" s="51"/>
      <c r="J77" s="52"/>
    </row>
    <row r="78" spans="1:10" ht="15.75" x14ac:dyDescent="0.25">
      <c r="A78" s="27" t="s">
        <v>98</v>
      </c>
      <c r="B78" s="153" t="s">
        <v>53</v>
      </c>
      <c r="C78" s="86">
        <v>51259326</v>
      </c>
      <c r="D78" s="88" t="s">
        <v>15</v>
      </c>
      <c r="E78" s="153">
        <v>7200</v>
      </c>
      <c r="F78" s="21">
        <v>307.58600000000001</v>
      </c>
      <c r="G78" s="21">
        <v>309.14060000000001</v>
      </c>
      <c r="H78" s="18">
        <f>(G78-F78)*E78</f>
        <v>11193.119999999954</v>
      </c>
      <c r="I78" s="51"/>
      <c r="J78" s="52"/>
    </row>
    <row r="79" spans="1:10" ht="15.75" x14ac:dyDescent="0.25">
      <c r="A79" s="27" t="s">
        <v>99</v>
      </c>
      <c r="B79" s="153" t="s">
        <v>53</v>
      </c>
      <c r="C79" s="86">
        <v>51431351</v>
      </c>
      <c r="D79" s="88" t="s">
        <v>15</v>
      </c>
      <c r="E79" s="153">
        <v>7200</v>
      </c>
      <c r="F79" s="21">
        <v>216.57079999999999</v>
      </c>
      <c r="G79" s="21">
        <v>218.06970000000001</v>
      </c>
      <c r="H79" s="18">
        <f>(G79-F79)*E79</f>
        <v>10792.080000000147</v>
      </c>
      <c r="I79" s="51"/>
      <c r="J79" s="52"/>
    </row>
    <row r="80" spans="1:10" ht="15.75" x14ac:dyDescent="0.25">
      <c r="A80" s="89" t="s">
        <v>100</v>
      </c>
      <c r="B80" s="153" t="s">
        <v>53</v>
      </c>
      <c r="C80" s="90">
        <v>51097666</v>
      </c>
      <c r="D80" s="88" t="s">
        <v>64</v>
      </c>
      <c r="E80" s="153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53" t="s">
        <v>53</v>
      </c>
      <c r="C81" s="90">
        <v>51259323</v>
      </c>
      <c r="D81" s="88" t="s">
        <v>64</v>
      </c>
      <c r="E81" s="153">
        <v>2400</v>
      </c>
      <c r="F81" s="31">
        <v>7.6399999999999996E-2</v>
      </c>
      <c r="G81" s="31">
        <v>7.6399999999999996E-2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37500.300000000112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53" t="s">
        <v>53</v>
      </c>
      <c r="C84" s="106">
        <v>51431297</v>
      </c>
      <c r="D84" s="154" t="s">
        <v>54</v>
      </c>
      <c r="E84" s="100">
        <v>7000</v>
      </c>
      <c r="F84" s="17">
        <v>249.83279999999999</v>
      </c>
      <c r="G84" s="17">
        <v>250.92750000000001</v>
      </c>
      <c r="H84" s="18">
        <f>(G84-F84)*E84</f>
        <v>7662.9000000001215</v>
      </c>
      <c r="I84" s="107"/>
      <c r="J84" s="108"/>
    </row>
    <row r="85" spans="1:10" ht="15.75" x14ac:dyDescent="0.25">
      <c r="A85" s="105" t="s">
        <v>87</v>
      </c>
      <c r="B85" s="153" t="s">
        <v>53</v>
      </c>
      <c r="C85" s="106">
        <v>51431332</v>
      </c>
      <c r="D85" s="154" t="s">
        <v>54</v>
      </c>
      <c r="E85" s="100">
        <v>7000</v>
      </c>
      <c r="F85" s="21">
        <v>342.71980000000002</v>
      </c>
      <c r="G85" s="21">
        <v>344.3399</v>
      </c>
      <c r="H85" s="18">
        <f>(G85-F85)*E85</f>
        <v>11340.699999999855</v>
      </c>
      <c r="I85" s="153"/>
      <c r="J85" s="58"/>
    </row>
    <row r="86" spans="1:10" ht="15.75" x14ac:dyDescent="0.25">
      <c r="A86" s="27" t="s">
        <v>88</v>
      </c>
      <c r="B86" s="153" t="s">
        <v>104</v>
      </c>
      <c r="C86" s="109">
        <v>150773</v>
      </c>
      <c r="D86" s="154" t="s">
        <v>54</v>
      </c>
      <c r="E86" s="109">
        <v>20</v>
      </c>
      <c r="F86" s="17">
        <v>15542.8</v>
      </c>
      <c r="G86" s="17">
        <v>15551.2</v>
      </c>
      <c r="H86" s="18">
        <f>(G86-F86)*E86</f>
        <v>168.0000000000291</v>
      </c>
      <c r="I86" s="51"/>
      <c r="J86" s="58"/>
    </row>
    <row r="87" spans="1:10" ht="15.75" x14ac:dyDescent="0.25">
      <c r="A87" s="27" t="s">
        <v>90</v>
      </c>
      <c r="B87" s="153" t="s">
        <v>104</v>
      </c>
      <c r="C87" s="109">
        <v>150791</v>
      </c>
      <c r="D87" s="154" t="s">
        <v>54</v>
      </c>
      <c r="E87" s="109">
        <v>20</v>
      </c>
      <c r="F87" s="21">
        <v>231.7</v>
      </c>
      <c r="G87" s="21">
        <v>231.7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55"/>
      <c r="C88" s="32"/>
      <c r="D88" s="82"/>
      <c r="E88" s="82"/>
      <c r="F88" s="21"/>
      <c r="G88" s="21"/>
      <c r="H88" s="48">
        <f>H84+H85</f>
        <v>19003.599999999977</v>
      </c>
      <c r="I88" s="85">
        <f>H88-H91-H86-H87</f>
        <v>411.75999999992928</v>
      </c>
      <c r="J88" s="25">
        <f>I88/H88</f>
        <v>2.1667473531327211E-2</v>
      </c>
    </row>
    <row r="89" spans="1:10" ht="15.75" x14ac:dyDescent="0.25">
      <c r="A89" s="27" t="s">
        <v>105</v>
      </c>
      <c r="B89" s="153" t="s">
        <v>53</v>
      </c>
      <c r="C89" s="106">
        <v>51431342</v>
      </c>
      <c r="D89" s="88" t="s">
        <v>35</v>
      </c>
      <c r="E89" s="153">
        <v>4800</v>
      </c>
      <c r="F89" s="21">
        <v>354.14789999999999</v>
      </c>
      <c r="G89" s="21">
        <v>355.71249999999998</v>
      </c>
      <c r="H89" s="18">
        <f>(G89-F89)*E89</f>
        <v>7510.0799999999253</v>
      </c>
      <c r="I89" s="51"/>
      <c r="J89" s="52"/>
    </row>
    <row r="90" spans="1:10" ht="15.75" x14ac:dyDescent="0.25">
      <c r="A90" s="27" t="s">
        <v>106</v>
      </c>
      <c r="B90" s="153" t="s">
        <v>53</v>
      </c>
      <c r="C90" s="106">
        <v>51431343</v>
      </c>
      <c r="D90" s="88" t="s">
        <v>35</v>
      </c>
      <c r="E90" s="153">
        <v>4800</v>
      </c>
      <c r="F90" s="21">
        <v>484.76519999999999</v>
      </c>
      <c r="G90" s="21">
        <v>487.03890000000001</v>
      </c>
      <c r="H90" s="18">
        <f>(G90-F90)*E90</f>
        <v>10913.760000000093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18423.840000000018</v>
      </c>
      <c r="I91" s="85">
        <f>H91-H99</f>
        <v>-154.13999999986845</v>
      </c>
      <c r="J91" s="25">
        <f>I91/H91</f>
        <v>-8.3663340541314021E-3</v>
      </c>
    </row>
    <row r="92" spans="1:10" ht="15.75" x14ac:dyDescent="0.25">
      <c r="A92" s="27" t="s">
        <v>108</v>
      </c>
      <c r="B92" s="153" t="s">
        <v>53</v>
      </c>
      <c r="C92" s="106">
        <v>51431347</v>
      </c>
      <c r="D92" s="154" t="s">
        <v>54</v>
      </c>
      <c r="E92" s="153">
        <v>1200</v>
      </c>
      <c r="F92" s="21">
        <v>1133.2742000000001</v>
      </c>
      <c r="G92" s="21">
        <v>1141.7601999999999</v>
      </c>
      <c r="H92" s="18">
        <f t="shared" ref="H92:H100" si="4">(G92-F92)*E92</f>
        <v>10183.199999999852</v>
      </c>
      <c r="I92" s="51"/>
      <c r="J92" s="52"/>
    </row>
    <row r="93" spans="1:10" ht="15.75" x14ac:dyDescent="0.25">
      <c r="A93" s="27" t="s">
        <v>109</v>
      </c>
      <c r="B93" s="153" t="s">
        <v>53</v>
      </c>
      <c r="C93" s="106">
        <v>51431339</v>
      </c>
      <c r="D93" s="154" t="s">
        <v>54</v>
      </c>
      <c r="E93" s="153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53" t="s">
        <v>53</v>
      </c>
      <c r="C94" s="106">
        <v>51217244</v>
      </c>
      <c r="D94" s="153" t="s">
        <v>38</v>
      </c>
      <c r="E94" s="153">
        <v>600</v>
      </c>
      <c r="F94" s="30">
        <v>309.28030000000001</v>
      </c>
      <c r="G94" s="30">
        <v>310.4042</v>
      </c>
      <c r="H94" s="18">
        <f t="shared" si="4"/>
        <v>674.33999999999514</v>
      </c>
      <c r="I94" s="51"/>
      <c r="J94" s="52"/>
    </row>
    <row r="95" spans="1:10" ht="15.75" x14ac:dyDescent="0.25">
      <c r="A95" s="27" t="s">
        <v>111</v>
      </c>
      <c r="B95" s="153" t="s">
        <v>53</v>
      </c>
      <c r="C95" s="106">
        <v>51217267</v>
      </c>
      <c r="D95" s="88" t="s">
        <v>64</v>
      </c>
      <c r="E95" s="153">
        <v>2400</v>
      </c>
      <c r="F95" s="30">
        <v>19.762899999999998</v>
      </c>
      <c r="G95" s="30">
        <v>19.793700000000001</v>
      </c>
      <c r="H95" s="18">
        <f t="shared" si="4"/>
        <v>73.92000000000678</v>
      </c>
      <c r="I95" s="51"/>
      <c r="J95" s="52"/>
    </row>
    <row r="96" spans="1:10" ht="15.75" x14ac:dyDescent="0.25">
      <c r="A96" s="27" t="s">
        <v>112</v>
      </c>
      <c r="B96" s="153" t="s">
        <v>53</v>
      </c>
      <c r="C96" s="153">
        <v>51555165</v>
      </c>
      <c r="D96" s="154" t="s">
        <v>54</v>
      </c>
      <c r="E96" s="153">
        <v>1200</v>
      </c>
      <c r="F96" s="30">
        <v>771.62789999999995</v>
      </c>
      <c r="G96" s="30">
        <v>771.62789999999995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53" t="s">
        <v>53</v>
      </c>
      <c r="C97" s="106">
        <v>51431346</v>
      </c>
      <c r="D97" s="114" t="s">
        <v>38</v>
      </c>
      <c r="E97" s="114">
        <v>600</v>
      </c>
      <c r="F97" s="30">
        <v>325.6275</v>
      </c>
      <c r="G97" s="30">
        <v>327.62709999999998</v>
      </c>
      <c r="H97" s="115">
        <f t="shared" si="4"/>
        <v>1199.759999999992</v>
      </c>
      <c r="I97" s="116"/>
      <c r="J97" s="117"/>
    </row>
    <row r="98" spans="1:10" ht="15.75" x14ac:dyDescent="0.25">
      <c r="A98" s="27" t="s">
        <v>114</v>
      </c>
      <c r="B98" s="153" t="s">
        <v>53</v>
      </c>
      <c r="C98" s="106">
        <v>51431352</v>
      </c>
      <c r="D98" s="88" t="s">
        <v>22</v>
      </c>
      <c r="E98" s="153">
        <v>3600</v>
      </c>
      <c r="F98" s="21">
        <v>201.321</v>
      </c>
      <c r="G98" s="21">
        <v>203.0651</v>
      </c>
      <c r="H98" s="18">
        <f t="shared" si="4"/>
        <v>6278.7600000000111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18577.979999999887</v>
      </c>
      <c r="I99" s="51"/>
      <c r="J99" s="52"/>
    </row>
    <row r="100" spans="1:10" ht="15.75" x14ac:dyDescent="0.25">
      <c r="A100" s="45" t="s">
        <v>115</v>
      </c>
      <c r="B100" s="153" t="s">
        <v>53</v>
      </c>
      <c r="C100" s="120">
        <v>51431357</v>
      </c>
      <c r="D100" s="154" t="s">
        <v>64</v>
      </c>
      <c r="E100" s="154">
        <v>14000</v>
      </c>
      <c r="F100" s="28">
        <v>782.4502</v>
      </c>
      <c r="G100" s="28">
        <v>786.4049</v>
      </c>
      <c r="H100" s="121">
        <f t="shared" si="4"/>
        <v>55365.800000000032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128</v>
      </c>
      <c r="G3" s="4" t="s">
        <v>129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56" t="s">
        <v>14</v>
      </c>
      <c r="C5" s="156">
        <v>51555166</v>
      </c>
      <c r="D5" s="156" t="s">
        <v>15</v>
      </c>
      <c r="E5" s="156">
        <v>132000</v>
      </c>
      <c r="F5" s="17">
        <v>2.9535</v>
      </c>
      <c r="G5" s="17">
        <v>2.9647000000000001</v>
      </c>
      <c r="H5" s="18">
        <f>(G5-F5)*E5</f>
        <v>1478.4000000000131</v>
      </c>
      <c r="I5" s="19"/>
      <c r="J5" s="20"/>
    </row>
    <row r="6" spans="1:10" ht="15.75" x14ac:dyDescent="0.25">
      <c r="A6" s="15" t="s">
        <v>16</v>
      </c>
      <c r="B6" s="156" t="s">
        <v>14</v>
      </c>
      <c r="C6" s="156">
        <v>51555191</v>
      </c>
      <c r="D6" s="156" t="s">
        <v>15</v>
      </c>
      <c r="E6" s="156">
        <v>132000</v>
      </c>
      <c r="F6" s="21">
        <v>340.37299999999999</v>
      </c>
      <c r="G6" s="21">
        <v>342.38249999999999</v>
      </c>
      <c r="H6" s="18">
        <f>(G6-F6)*E6</f>
        <v>265254.00000000035</v>
      </c>
      <c r="I6" s="19"/>
      <c r="J6" s="20"/>
    </row>
    <row r="7" spans="1:10" ht="15.75" x14ac:dyDescent="0.25">
      <c r="A7" s="207" t="s">
        <v>17</v>
      </c>
      <c r="B7" s="208"/>
      <c r="C7" s="156"/>
      <c r="D7" s="157"/>
      <c r="E7" s="156"/>
      <c r="H7" s="23">
        <f>H5+H6</f>
        <v>266732.40000000037</v>
      </c>
      <c r="I7" s="24">
        <f>H7-H10-H20</f>
        <v>2196.5999999962514</v>
      </c>
      <c r="J7" s="25">
        <f>I7/H7</f>
        <v>8.235220018251433E-3</v>
      </c>
    </row>
    <row r="8" spans="1:10" ht="15.75" x14ac:dyDescent="0.25">
      <c r="A8" s="26" t="s">
        <v>18</v>
      </c>
      <c r="B8" s="156" t="s">
        <v>14</v>
      </c>
      <c r="C8" s="156">
        <v>51097629</v>
      </c>
      <c r="D8" s="157" t="s">
        <v>15</v>
      </c>
      <c r="E8" s="156">
        <v>42000</v>
      </c>
      <c r="F8" s="21">
        <v>1033.1986999999999</v>
      </c>
      <c r="G8" s="21">
        <v>1037.6458</v>
      </c>
      <c r="H8" s="18">
        <f>(G8-F8)*E8</f>
        <v>186778.20000000382</v>
      </c>
      <c r="I8" s="19"/>
      <c r="J8" s="20"/>
    </row>
    <row r="9" spans="1:10" ht="15.75" x14ac:dyDescent="0.25">
      <c r="A9" s="26" t="s">
        <v>19</v>
      </c>
      <c r="B9" s="156" t="s">
        <v>14</v>
      </c>
      <c r="C9" s="156">
        <v>51616820</v>
      </c>
      <c r="D9" s="157" t="s">
        <v>15</v>
      </c>
      <c r="E9" s="156">
        <v>42000</v>
      </c>
      <c r="F9" s="21">
        <v>5.0606999999999998</v>
      </c>
      <c r="G9" s="21">
        <v>5.0831</v>
      </c>
      <c r="H9" s="18">
        <f>(G9-F9)*E9</f>
        <v>940.80000000000825</v>
      </c>
      <c r="I9" s="19"/>
      <c r="J9" s="20"/>
    </row>
    <row r="10" spans="1:10" ht="15.75" x14ac:dyDescent="0.25">
      <c r="A10" s="207" t="s">
        <v>20</v>
      </c>
      <c r="B10" s="208"/>
      <c r="C10" s="156"/>
      <c r="D10" s="157"/>
      <c r="E10" s="156"/>
      <c r="F10" s="21"/>
      <c r="G10" s="21"/>
      <c r="H10" s="23">
        <f>H8+H9</f>
        <v>187719.00000000384</v>
      </c>
      <c r="I10" s="24">
        <f>H10-H17</f>
        <v>42.000000004394678</v>
      </c>
      <c r="J10" s="25">
        <f>I10/H10</f>
        <v>2.237386732530741E-4</v>
      </c>
    </row>
    <row r="11" spans="1:10" ht="15.75" x14ac:dyDescent="0.25">
      <c r="A11" s="27" t="s">
        <v>21</v>
      </c>
      <c r="B11" s="156" t="s">
        <v>14</v>
      </c>
      <c r="C11" s="156">
        <v>51217286</v>
      </c>
      <c r="D11" s="157" t="s">
        <v>22</v>
      </c>
      <c r="E11" s="156">
        <v>21000</v>
      </c>
      <c r="F11" s="21">
        <v>818.38480000000004</v>
      </c>
      <c r="G11" s="21">
        <v>821.6617</v>
      </c>
      <c r="H11" s="18">
        <f t="shared" ref="H11:H16" si="0">(G11-F11)*E11</f>
        <v>68814.899999999063</v>
      </c>
      <c r="I11" s="19"/>
      <c r="J11" s="20"/>
    </row>
    <row r="12" spans="1:10" ht="15.75" x14ac:dyDescent="0.25">
      <c r="A12" s="27" t="s">
        <v>23</v>
      </c>
      <c r="B12" s="156" t="s">
        <v>14</v>
      </c>
      <c r="C12" s="156">
        <v>51217292</v>
      </c>
      <c r="D12" s="157" t="s">
        <v>22</v>
      </c>
      <c r="E12" s="156">
        <v>21000</v>
      </c>
      <c r="F12" s="28">
        <v>3.5335999999999999</v>
      </c>
      <c r="G12" s="28">
        <v>3.5564</v>
      </c>
      <c r="H12" s="18">
        <f>(G12-F12)*E12</f>
        <v>478.80000000000325</v>
      </c>
      <c r="I12" s="19"/>
      <c r="J12" s="20"/>
    </row>
    <row r="13" spans="1:10" ht="15.75" x14ac:dyDescent="0.25">
      <c r="A13" s="27" t="s">
        <v>24</v>
      </c>
      <c r="B13" s="156" t="s">
        <v>14</v>
      </c>
      <c r="C13" s="156">
        <v>51217271</v>
      </c>
      <c r="D13" s="157" t="s">
        <v>22</v>
      </c>
      <c r="E13" s="156">
        <v>21000</v>
      </c>
      <c r="F13" s="21">
        <v>598.61680000000001</v>
      </c>
      <c r="G13" s="21">
        <v>601.21690000000001</v>
      </c>
      <c r="H13" s="18">
        <f t="shared" si="0"/>
        <v>54602.099999999948</v>
      </c>
      <c r="I13" s="19"/>
      <c r="J13" s="20"/>
    </row>
    <row r="14" spans="1:10" ht="15.75" x14ac:dyDescent="0.25">
      <c r="A14" s="27" t="s">
        <v>25</v>
      </c>
      <c r="B14" s="156" t="s">
        <v>14</v>
      </c>
      <c r="C14" s="156">
        <v>51217276</v>
      </c>
      <c r="D14" s="157" t="s">
        <v>22</v>
      </c>
      <c r="E14" s="156">
        <v>21000</v>
      </c>
      <c r="F14" s="28">
        <v>0.52939999999999998</v>
      </c>
      <c r="G14" s="28">
        <v>0.53439999999999999</v>
      </c>
      <c r="H14" s="18">
        <f>(G14-F14)*E14</f>
        <v>105.0000000000001</v>
      </c>
      <c r="I14" s="19"/>
      <c r="J14" s="20"/>
    </row>
    <row r="15" spans="1:10" ht="15.75" x14ac:dyDescent="0.25">
      <c r="A15" s="27" t="s">
        <v>26</v>
      </c>
      <c r="B15" s="156" t="s">
        <v>14</v>
      </c>
      <c r="C15" s="156">
        <v>51100990</v>
      </c>
      <c r="D15" s="157" t="s">
        <v>22</v>
      </c>
      <c r="E15" s="156">
        <v>21000</v>
      </c>
      <c r="F15" s="29">
        <v>655.0951</v>
      </c>
      <c r="G15" s="29">
        <v>658.11540000000002</v>
      </c>
      <c r="H15" s="18">
        <f t="shared" si="0"/>
        <v>63426.300000000425</v>
      </c>
      <c r="I15" s="19"/>
      <c r="J15" s="20"/>
    </row>
    <row r="16" spans="1:10" ht="15.75" x14ac:dyDescent="0.25">
      <c r="A16" s="27" t="s">
        <v>27</v>
      </c>
      <c r="B16" s="156" t="s">
        <v>14</v>
      </c>
      <c r="C16" s="156">
        <v>51097622</v>
      </c>
      <c r="D16" s="157" t="s">
        <v>22</v>
      </c>
      <c r="E16" s="156">
        <v>21000</v>
      </c>
      <c r="F16" s="21">
        <v>2.8746999999999998</v>
      </c>
      <c r="G16" s="21">
        <v>2.8866000000000001</v>
      </c>
      <c r="H16" s="18">
        <f t="shared" si="0"/>
        <v>249.90000000000512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56"/>
      <c r="D17" s="157"/>
      <c r="E17" s="156"/>
      <c r="F17" s="21"/>
      <c r="G17" s="21"/>
      <c r="H17" s="23">
        <f>H11+H12+H13+H14+H15+H16</f>
        <v>187676.99999999945</v>
      </c>
      <c r="I17" s="19"/>
      <c r="J17" s="20"/>
    </row>
    <row r="18" spans="1:10" ht="15.75" x14ac:dyDescent="0.25">
      <c r="A18" s="26" t="s">
        <v>30</v>
      </c>
      <c r="B18" s="156" t="s">
        <v>14</v>
      </c>
      <c r="C18" s="156">
        <v>51097617</v>
      </c>
      <c r="D18" s="157" t="s">
        <v>31</v>
      </c>
      <c r="E18" s="156">
        <v>18000</v>
      </c>
      <c r="F18" s="30">
        <v>790.02729999999997</v>
      </c>
      <c r="G18" s="30">
        <v>794.29489999999998</v>
      </c>
      <c r="H18" s="18">
        <f>(G18-F18)*E18</f>
        <v>76816.800000000279</v>
      </c>
      <c r="I18" s="19"/>
      <c r="J18" s="20"/>
    </row>
    <row r="19" spans="1:10" ht="15.75" x14ac:dyDescent="0.25">
      <c r="A19" s="26" t="s">
        <v>32</v>
      </c>
      <c r="B19" s="156" t="s">
        <v>14</v>
      </c>
      <c r="C19" s="156">
        <v>51097655</v>
      </c>
      <c r="D19" s="157" t="s">
        <v>31</v>
      </c>
      <c r="E19" s="156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56"/>
      <c r="D20" s="157"/>
      <c r="E20" s="156"/>
      <c r="F20" s="30"/>
      <c r="G20" s="30"/>
      <c r="H20" s="23">
        <f>H18+H19</f>
        <v>76816.800000000279</v>
      </c>
      <c r="I20" s="24">
        <f>H20-H35</f>
        <v>2707.3200000007782</v>
      </c>
      <c r="J20" s="25">
        <f>I20/H20</f>
        <v>3.5243852907186561E-2</v>
      </c>
    </row>
    <row r="21" spans="1:10" ht="15.75" x14ac:dyDescent="0.25">
      <c r="A21" s="15" t="s">
        <v>34</v>
      </c>
      <c r="B21" s="156" t="s">
        <v>14</v>
      </c>
      <c r="C21" s="156">
        <v>51217282</v>
      </c>
      <c r="D21" s="157" t="s">
        <v>35</v>
      </c>
      <c r="E21" s="156">
        <v>4800</v>
      </c>
      <c r="F21" s="21">
        <v>379.75189999999998</v>
      </c>
      <c r="G21" s="21">
        <v>379.79480000000001</v>
      </c>
      <c r="H21" s="18">
        <f t="shared" ref="H21:H34" si="1">(G21-F21)*E21</f>
        <v>205.92000000015105</v>
      </c>
      <c r="I21" s="19" t="s">
        <v>28</v>
      </c>
      <c r="J21" s="20"/>
    </row>
    <row r="22" spans="1:10" ht="15.75" x14ac:dyDescent="0.25">
      <c r="A22" s="15" t="s">
        <v>36</v>
      </c>
      <c r="B22" s="156" t="s">
        <v>14</v>
      </c>
      <c r="C22" s="156">
        <v>51217274</v>
      </c>
      <c r="D22" s="157" t="s">
        <v>35</v>
      </c>
      <c r="E22" s="156">
        <v>4800</v>
      </c>
      <c r="F22" s="21">
        <v>1239.6093000000001</v>
      </c>
      <c r="G22" s="21">
        <v>1245.7240999999999</v>
      </c>
      <c r="H22" s="18">
        <f t="shared" si="1"/>
        <v>29351.039999999193</v>
      </c>
      <c r="I22" s="19"/>
      <c r="J22" s="20"/>
    </row>
    <row r="23" spans="1:10" ht="15.75" x14ac:dyDescent="0.25">
      <c r="A23" s="15" t="s">
        <v>37</v>
      </c>
      <c r="B23" s="156" t="s">
        <v>14</v>
      </c>
      <c r="C23" s="156">
        <v>51097664</v>
      </c>
      <c r="D23" s="157" t="s">
        <v>38</v>
      </c>
      <c r="E23" s="156">
        <v>600</v>
      </c>
      <c r="F23" s="21">
        <v>4.4409999999999998</v>
      </c>
      <c r="G23" s="21">
        <v>4.4409999999999998</v>
      </c>
      <c r="H23" s="18">
        <f t="shared" si="1"/>
        <v>0</v>
      </c>
      <c r="I23" s="19"/>
      <c r="J23" s="20"/>
    </row>
    <row r="24" spans="1:10" ht="15.75" x14ac:dyDescent="0.25">
      <c r="A24" s="15" t="s">
        <v>39</v>
      </c>
      <c r="B24" s="156" t="s">
        <v>14</v>
      </c>
      <c r="C24" s="156">
        <v>51097615</v>
      </c>
      <c r="D24" s="157" t="s">
        <v>38</v>
      </c>
      <c r="E24" s="156">
        <v>600</v>
      </c>
      <c r="F24" s="21">
        <v>38.243899999999996</v>
      </c>
      <c r="G24" s="21">
        <v>38.622399999999999</v>
      </c>
      <c r="H24" s="18">
        <f t="shared" si="1"/>
        <v>227.1000000000015</v>
      </c>
      <c r="I24" s="19"/>
      <c r="J24" s="20"/>
    </row>
    <row r="25" spans="1:10" ht="15.75" x14ac:dyDescent="0.25">
      <c r="A25" s="15" t="s">
        <v>40</v>
      </c>
      <c r="B25" s="156" t="s">
        <v>14</v>
      </c>
      <c r="C25" s="156">
        <v>51217264</v>
      </c>
      <c r="D25" s="157" t="s">
        <v>38</v>
      </c>
      <c r="E25" s="156">
        <v>600</v>
      </c>
      <c r="F25" s="21">
        <v>91.527199999999993</v>
      </c>
      <c r="G25" s="21">
        <v>92.248500000000007</v>
      </c>
      <c r="H25" s="18">
        <f t="shared" si="1"/>
        <v>432.78000000000816</v>
      </c>
      <c r="I25" s="19"/>
      <c r="J25" s="20"/>
    </row>
    <row r="26" spans="1:10" ht="15.75" x14ac:dyDescent="0.25">
      <c r="A26" s="15" t="s">
        <v>41</v>
      </c>
      <c r="B26" s="156" t="s">
        <v>14</v>
      </c>
      <c r="C26" s="156">
        <v>51217288</v>
      </c>
      <c r="D26" s="157" t="s">
        <v>38</v>
      </c>
      <c r="E26" s="156">
        <v>600</v>
      </c>
      <c r="F26" s="21">
        <v>19.900700000000001</v>
      </c>
      <c r="G26" s="21">
        <v>19.930900000000001</v>
      </c>
      <c r="H26" s="18">
        <f t="shared" si="1"/>
        <v>18.120000000000402</v>
      </c>
      <c r="I26" s="19" t="s">
        <v>28</v>
      </c>
      <c r="J26" s="20"/>
    </row>
    <row r="27" spans="1:10" ht="15.75" x14ac:dyDescent="0.25">
      <c r="A27" s="15" t="s">
        <v>42</v>
      </c>
      <c r="B27" s="156" t="s">
        <v>14</v>
      </c>
      <c r="C27" s="156">
        <v>51217279</v>
      </c>
      <c r="D27" s="157" t="s">
        <v>38</v>
      </c>
      <c r="E27" s="156">
        <v>600</v>
      </c>
      <c r="F27" s="21">
        <v>14.296200000000001</v>
      </c>
      <c r="G27" s="21">
        <v>14.3491</v>
      </c>
      <c r="H27" s="18">
        <f t="shared" si="1"/>
        <v>31.739999999999569</v>
      </c>
      <c r="I27" s="19" t="s">
        <v>28</v>
      </c>
      <c r="J27" s="20"/>
    </row>
    <row r="28" spans="1:10" ht="15.75" x14ac:dyDescent="0.25">
      <c r="A28" s="15" t="s">
        <v>43</v>
      </c>
      <c r="B28" s="156" t="s">
        <v>14</v>
      </c>
      <c r="C28" s="156">
        <v>51217272</v>
      </c>
      <c r="D28" s="157" t="s">
        <v>38</v>
      </c>
      <c r="E28" s="156">
        <v>600</v>
      </c>
      <c r="F28" s="31">
        <v>14.0237</v>
      </c>
      <c r="G28" s="31">
        <v>14.0754</v>
      </c>
      <c r="H28" s="18">
        <f t="shared" si="1"/>
        <v>31.020000000000181</v>
      </c>
      <c r="I28" s="19"/>
      <c r="J28" s="20"/>
    </row>
    <row r="29" spans="1:10" ht="15.75" x14ac:dyDescent="0.25">
      <c r="A29" s="15" t="s">
        <v>44</v>
      </c>
      <c r="B29" s="156" t="s">
        <v>14</v>
      </c>
      <c r="C29" s="156">
        <v>51616744</v>
      </c>
      <c r="D29" s="157">
        <f>300/5</f>
        <v>60</v>
      </c>
      <c r="E29" s="156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56" t="s">
        <v>14</v>
      </c>
      <c r="C30" s="156">
        <v>51555226</v>
      </c>
      <c r="D30" s="157">
        <f>300/5</f>
        <v>60</v>
      </c>
      <c r="E30" s="156">
        <v>3600</v>
      </c>
      <c r="F30" s="31">
        <v>443.42</v>
      </c>
      <c r="G30" s="31">
        <v>447.55619999999999</v>
      </c>
      <c r="H30" s="18">
        <f>(G30-F30)*E30</f>
        <v>14890.319999999905</v>
      </c>
      <c r="I30" s="19"/>
      <c r="J30" s="20"/>
    </row>
    <row r="31" spans="1:10" ht="15.75" x14ac:dyDescent="0.25">
      <c r="A31" s="15" t="s">
        <v>46</v>
      </c>
      <c r="B31" s="156" t="s">
        <v>14</v>
      </c>
      <c r="C31" s="156">
        <v>51097658</v>
      </c>
      <c r="D31" s="157" t="s">
        <v>35</v>
      </c>
      <c r="E31" s="156">
        <v>4800</v>
      </c>
      <c r="F31" s="31">
        <v>604.9375</v>
      </c>
      <c r="G31" s="31">
        <v>608.37480000000005</v>
      </c>
      <c r="H31" s="18">
        <f t="shared" si="1"/>
        <v>16499.040000000241</v>
      </c>
      <c r="I31" s="19"/>
      <c r="J31" s="20"/>
    </row>
    <row r="32" spans="1:10" ht="15.75" x14ac:dyDescent="0.25">
      <c r="A32" s="15" t="s">
        <v>47</v>
      </c>
      <c r="B32" s="156" t="s">
        <v>14</v>
      </c>
      <c r="C32" s="156">
        <v>51097635</v>
      </c>
      <c r="D32" s="157" t="s">
        <v>35</v>
      </c>
      <c r="E32" s="156">
        <v>4800</v>
      </c>
      <c r="F32" s="31">
        <v>48.448900000000002</v>
      </c>
      <c r="G32" s="31">
        <v>48.449300000000001</v>
      </c>
      <c r="H32" s="18">
        <f t="shared" si="1"/>
        <v>1.9199999999955253</v>
      </c>
      <c r="I32" s="19"/>
      <c r="J32" s="20"/>
    </row>
    <row r="33" spans="1:10" ht="15.75" x14ac:dyDescent="0.25">
      <c r="A33" s="15" t="s">
        <v>48</v>
      </c>
      <c r="B33" s="156" t="s">
        <v>14</v>
      </c>
      <c r="C33" s="32">
        <v>51097633</v>
      </c>
      <c r="D33" s="157" t="s">
        <v>35</v>
      </c>
      <c r="E33" s="156">
        <v>4800</v>
      </c>
      <c r="F33" s="31">
        <v>146.14240000000001</v>
      </c>
      <c r="G33" s="31">
        <v>148.62870000000001</v>
      </c>
      <c r="H33" s="33">
        <f t="shared" si="1"/>
        <v>11934.24</v>
      </c>
      <c r="I33" s="34"/>
      <c r="J33" s="35"/>
    </row>
    <row r="34" spans="1:10" ht="15.75" x14ac:dyDescent="0.25">
      <c r="A34" s="15" t="s">
        <v>49</v>
      </c>
      <c r="B34" s="156" t="s">
        <v>14</v>
      </c>
      <c r="C34" s="32">
        <v>51097662</v>
      </c>
      <c r="D34" s="157" t="s">
        <v>35</v>
      </c>
      <c r="E34" s="156">
        <v>4800</v>
      </c>
      <c r="F34" s="31">
        <v>2.8660000000000001</v>
      </c>
      <c r="G34" s="31">
        <v>2.9672999999999998</v>
      </c>
      <c r="H34" s="33">
        <f t="shared" si="1"/>
        <v>486.23999999999864</v>
      </c>
      <c r="I34" s="34"/>
      <c r="J34" s="35"/>
    </row>
    <row r="35" spans="1:10" ht="15.75" x14ac:dyDescent="0.25">
      <c r="A35" s="207" t="s">
        <v>50</v>
      </c>
      <c r="B35" s="208"/>
      <c r="C35" s="156"/>
      <c r="D35" s="157"/>
      <c r="E35" s="156"/>
      <c r="F35" s="36"/>
      <c r="G35" s="36"/>
      <c r="H35" s="23">
        <f>H21+H22+H23+H24+H25+H26+H27+H28+H29+H30+H31+H32+H33+H34</f>
        <v>74109.479999999501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56" t="s">
        <v>53</v>
      </c>
      <c r="C37" s="156">
        <v>51555209</v>
      </c>
      <c r="D37" s="157" t="s">
        <v>54</v>
      </c>
      <c r="E37" s="156">
        <v>7000</v>
      </c>
      <c r="F37" s="17">
        <v>5.0990000000000002</v>
      </c>
      <c r="G37" s="17">
        <v>5.1517999999999997</v>
      </c>
      <c r="H37" s="41">
        <f>(G37-F37)*E37</f>
        <v>369.59999999999661</v>
      </c>
      <c r="I37" s="42"/>
      <c r="J37" s="14"/>
    </row>
    <row r="38" spans="1:10" ht="15.75" x14ac:dyDescent="0.25">
      <c r="A38" s="15" t="s">
        <v>55</v>
      </c>
      <c r="B38" s="156" t="s">
        <v>53</v>
      </c>
      <c r="C38" s="156">
        <v>51555209</v>
      </c>
      <c r="D38" s="157" t="s">
        <v>54</v>
      </c>
      <c r="E38" s="156">
        <v>7000</v>
      </c>
      <c r="F38" s="21">
        <v>9.6784999999999997</v>
      </c>
      <c r="G38" s="21">
        <v>9.7149000000000001</v>
      </c>
      <c r="H38" s="18">
        <f>(G38-F38)*E38</f>
        <v>254.80000000000302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56" t="s">
        <v>53</v>
      </c>
      <c r="C40" s="156">
        <v>51097674</v>
      </c>
      <c r="D40" s="156" t="s">
        <v>15</v>
      </c>
      <c r="E40" s="156">
        <v>7200</v>
      </c>
      <c r="F40" s="21">
        <v>556.42610000000002</v>
      </c>
      <c r="G40" s="21">
        <v>558.83489999999995</v>
      </c>
      <c r="H40" s="18">
        <f>(G40-F40)*E40</f>
        <v>17343.359999999484</v>
      </c>
      <c r="I40" s="47"/>
      <c r="J40" s="20"/>
    </row>
    <row r="41" spans="1:10" ht="15.75" x14ac:dyDescent="0.25">
      <c r="A41" s="27" t="s">
        <v>58</v>
      </c>
      <c r="B41" s="156" t="s">
        <v>53</v>
      </c>
      <c r="C41" s="156">
        <v>51259257</v>
      </c>
      <c r="D41" s="156" t="s">
        <v>15</v>
      </c>
      <c r="E41" s="156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56"/>
      <c r="C42" s="156"/>
      <c r="D42" s="156"/>
      <c r="E42" s="156"/>
      <c r="F42" s="21"/>
      <c r="G42" s="21"/>
      <c r="H42" s="48">
        <f>H40+H41</f>
        <v>17343.359999999484</v>
      </c>
      <c r="I42" s="24">
        <f>H42-H50</f>
        <v>-115.64000000036322</v>
      </c>
      <c r="J42" s="25">
        <f>I42/H42</f>
        <v>-6.6676814642818152E-3</v>
      </c>
    </row>
    <row r="43" spans="1:10" ht="15.75" x14ac:dyDescent="0.25">
      <c r="A43" s="15" t="s">
        <v>60</v>
      </c>
      <c r="B43" s="156"/>
      <c r="C43" s="156"/>
      <c r="D43" s="157"/>
      <c r="E43" s="156"/>
      <c r="H43" s="18"/>
      <c r="I43" s="43"/>
      <c r="J43" s="20"/>
    </row>
    <row r="44" spans="1:10" ht="15.75" x14ac:dyDescent="0.25">
      <c r="A44" s="27" t="s">
        <v>61</v>
      </c>
      <c r="B44" s="156" t="s">
        <v>53</v>
      </c>
      <c r="C44" s="32">
        <v>51097648</v>
      </c>
      <c r="D44" s="156" t="s">
        <v>54</v>
      </c>
      <c r="E44" s="156">
        <v>1200</v>
      </c>
      <c r="F44" s="21">
        <v>456.3186</v>
      </c>
      <c r="G44" s="21">
        <v>458.24919999999997</v>
      </c>
      <c r="H44" s="33">
        <f>(G44-F44)*E44</f>
        <v>2316.7199999999639</v>
      </c>
      <c r="I44" s="43"/>
      <c r="J44" s="20"/>
    </row>
    <row r="45" spans="1:10" ht="15.75" x14ac:dyDescent="0.25">
      <c r="A45" s="27" t="s">
        <v>62</v>
      </c>
      <c r="B45" s="156" t="s">
        <v>53</v>
      </c>
      <c r="C45" s="32">
        <v>50555043</v>
      </c>
      <c r="D45" s="156" t="s">
        <v>54</v>
      </c>
      <c r="E45" s="156">
        <v>1200</v>
      </c>
      <c r="F45" s="21">
        <v>1906.4760000000001</v>
      </c>
      <c r="G45" s="21">
        <v>1914.8096</v>
      </c>
      <c r="H45" s="33">
        <f>(G45-F45)*E45</f>
        <v>10000.31999999992</v>
      </c>
      <c r="I45" s="43"/>
      <c r="J45" s="20"/>
    </row>
    <row r="46" spans="1:10" ht="15.75" x14ac:dyDescent="0.25">
      <c r="A46" s="27" t="s">
        <v>63</v>
      </c>
      <c r="B46" s="156" t="s">
        <v>53</v>
      </c>
      <c r="C46" s="32">
        <v>51259336</v>
      </c>
      <c r="D46" s="156" t="s">
        <v>64</v>
      </c>
      <c r="E46" s="156">
        <v>2400</v>
      </c>
      <c r="F46" s="21">
        <v>3.9167000000000001</v>
      </c>
      <c r="G46" s="21">
        <v>3.93</v>
      </c>
      <c r="H46" s="33">
        <f>(G46-F46)*E46</f>
        <v>31.920000000000215</v>
      </c>
      <c r="I46" s="43"/>
      <c r="J46" s="20"/>
    </row>
    <row r="47" spans="1:10" ht="15.75" x14ac:dyDescent="0.25">
      <c r="A47" s="27" t="s">
        <v>65</v>
      </c>
      <c r="B47" s="156" t="s">
        <v>53</v>
      </c>
      <c r="C47" s="32">
        <v>51259266</v>
      </c>
      <c r="D47" s="156" t="s">
        <v>54</v>
      </c>
      <c r="E47" s="156">
        <v>1200</v>
      </c>
      <c r="F47" s="21">
        <v>924.86580000000004</v>
      </c>
      <c r="G47" s="21">
        <v>928.77670000000001</v>
      </c>
      <c r="H47" s="33">
        <f>(G47-F47)*E47</f>
        <v>4693.0799999999635</v>
      </c>
      <c r="I47" s="43"/>
      <c r="J47" s="20"/>
    </row>
    <row r="48" spans="1:10" ht="15.75" x14ac:dyDescent="0.25">
      <c r="A48" s="27" t="s">
        <v>66</v>
      </c>
      <c r="B48" s="156" t="s">
        <v>53</v>
      </c>
      <c r="C48" s="32">
        <v>51431336</v>
      </c>
      <c r="D48" s="156" t="s">
        <v>54</v>
      </c>
      <c r="E48" s="156">
        <v>1200</v>
      </c>
      <c r="F48" s="21">
        <v>52.470500000000001</v>
      </c>
      <c r="G48" s="21">
        <v>52.776299999999999</v>
      </c>
      <c r="H48" s="33">
        <f>(G48-F48)*E48</f>
        <v>366.95999999999742</v>
      </c>
      <c r="I48" s="43"/>
      <c r="J48" s="20"/>
    </row>
    <row r="49" spans="1:10" ht="15.75" x14ac:dyDescent="0.25">
      <c r="A49" s="15" t="s">
        <v>67</v>
      </c>
      <c r="B49" s="156" t="s">
        <v>68</v>
      </c>
      <c r="C49" s="156">
        <v>49174</v>
      </c>
      <c r="D49" s="157" t="s">
        <v>54</v>
      </c>
      <c r="E49" s="156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17458.999999999847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56" t="s">
        <v>53</v>
      </c>
      <c r="C52" s="156">
        <v>51097603</v>
      </c>
      <c r="D52" s="157" t="s">
        <v>54</v>
      </c>
      <c r="E52" s="156">
        <v>7000</v>
      </c>
      <c r="F52" s="17">
        <v>1831.7528</v>
      </c>
      <c r="G52" s="17">
        <v>1838.89</v>
      </c>
      <c r="H52" s="18">
        <f>(G52-F52)*E52</f>
        <v>49960.400000000845</v>
      </c>
      <c r="I52" s="43"/>
      <c r="J52" s="20"/>
    </row>
    <row r="53" spans="1:10" ht="15.75" x14ac:dyDescent="0.25">
      <c r="A53" s="27" t="s">
        <v>73</v>
      </c>
      <c r="B53" s="156" t="s">
        <v>53</v>
      </c>
      <c r="C53" s="156">
        <v>51097590</v>
      </c>
      <c r="D53" s="157" t="s">
        <v>54</v>
      </c>
      <c r="E53" s="156">
        <v>7000</v>
      </c>
      <c r="F53" s="21">
        <v>11.587400000000001</v>
      </c>
      <c r="G53" s="21">
        <v>11.6614</v>
      </c>
      <c r="H53" s="18">
        <f>(G53-F53)*E53</f>
        <v>517.99999999999886</v>
      </c>
      <c r="I53" s="43"/>
      <c r="J53" s="20"/>
    </row>
    <row r="54" spans="1:10" ht="15.75" x14ac:dyDescent="0.25">
      <c r="A54" s="15" t="s">
        <v>67</v>
      </c>
      <c r="B54" s="156" t="s">
        <v>68</v>
      </c>
      <c r="C54" s="156">
        <v>49174</v>
      </c>
      <c r="D54" s="157" t="s">
        <v>54</v>
      </c>
      <c r="E54" s="156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56"/>
      <c r="D55" s="157"/>
      <c r="E55" s="156"/>
      <c r="F55" s="21"/>
      <c r="G55" s="21"/>
      <c r="H55" s="48">
        <f>H52+H53+H54</f>
        <v>50578.400000000845</v>
      </c>
      <c r="I55" s="47"/>
      <c r="J55" s="59"/>
    </row>
    <row r="56" spans="1:10" ht="15.75" x14ac:dyDescent="0.25">
      <c r="A56" s="27" t="s">
        <v>75</v>
      </c>
      <c r="B56" s="156" t="s">
        <v>53</v>
      </c>
      <c r="C56" s="156">
        <v>51100980</v>
      </c>
      <c r="D56" s="156" t="s">
        <v>76</v>
      </c>
      <c r="E56" s="156">
        <v>12000</v>
      </c>
      <c r="F56" s="21">
        <v>1077.6876999999999</v>
      </c>
      <c r="G56" s="21">
        <v>1081.8983000000001</v>
      </c>
      <c r="H56" s="18">
        <f>(G56-F56)*E56</f>
        <v>50527.200000001358</v>
      </c>
      <c r="I56" s="47"/>
      <c r="J56" s="58"/>
    </row>
    <row r="57" spans="1:10" ht="15.75" x14ac:dyDescent="0.25">
      <c r="A57" s="27" t="s">
        <v>77</v>
      </c>
      <c r="B57" s="156" t="s">
        <v>53</v>
      </c>
      <c r="C57" s="156">
        <v>51097623</v>
      </c>
      <c r="D57" s="156" t="s">
        <v>76</v>
      </c>
      <c r="E57" s="156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56"/>
      <c r="C58" s="156"/>
      <c r="D58" s="156"/>
      <c r="E58" s="156"/>
      <c r="F58" s="21"/>
      <c r="G58" s="21"/>
      <c r="H58" s="48">
        <f>H56+H57</f>
        <v>50527.200000001358</v>
      </c>
      <c r="I58" s="61">
        <f>H55-H65-H54</f>
        <v>-127.99999999904685</v>
      </c>
      <c r="J58" s="25">
        <f>I58/H58</f>
        <v>-2.5332890007568874E-3</v>
      </c>
    </row>
    <row r="59" spans="1:10" ht="15.75" x14ac:dyDescent="0.25">
      <c r="A59" s="27" t="s">
        <v>79</v>
      </c>
      <c r="B59" s="156" t="s">
        <v>53</v>
      </c>
      <c r="C59" s="156">
        <v>51097675</v>
      </c>
      <c r="D59" s="156" t="s">
        <v>35</v>
      </c>
      <c r="E59" s="156">
        <v>4800</v>
      </c>
      <c r="F59" s="21">
        <v>464.51729999999998</v>
      </c>
      <c r="G59" s="21">
        <v>467.8032</v>
      </c>
      <c r="H59" s="18">
        <f t="shared" ref="H59:H64" si="2">(G59-F59)*E59</f>
        <v>15772.320000000127</v>
      </c>
      <c r="I59" s="62"/>
      <c r="J59" s="59"/>
    </row>
    <row r="60" spans="1:10" ht="15.75" x14ac:dyDescent="0.25">
      <c r="A60" s="27" t="s">
        <v>80</v>
      </c>
      <c r="B60" s="156" t="s">
        <v>53</v>
      </c>
      <c r="C60" s="156">
        <v>51100997</v>
      </c>
      <c r="D60" s="156" t="s">
        <v>22</v>
      </c>
      <c r="E60" s="156">
        <v>3600</v>
      </c>
      <c r="F60" s="21">
        <v>1323.5859</v>
      </c>
      <c r="G60" s="21">
        <v>1326.6415999999999</v>
      </c>
      <c r="H60" s="18">
        <f t="shared" si="2"/>
        <v>11000.519999999597</v>
      </c>
      <c r="I60" s="62"/>
      <c r="J60" s="59"/>
    </row>
    <row r="61" spans="1:10" ht="15.75" x14ac:dyDescent="0.25">
      <c r="A61" s="27" t="s">
        <v>81</v>
      </c>
      <c r="B61" s="156" t="s">
        <v>53</v>
      </c>
      <c r="C61" s="156">
        <v>51555218</v>
      </c>
      <c r="D61" s="156">
        <f>400/5</f>
        <v>80</v>
      </c>
      <c r="E61" s="156">
        <v>4800</v>
      </c>
      <c r="F61" s="21">
        <v>56.653599999999997</v>
      </c>
      <c r="G61" s="21">
        <v>57.2059</v>
      </c>
      <c r="H61" s="18">
        <f t="shared" si="2"/>
        <v>2651.0400000000118</v>
      </c>
      <c r="I61" s="62"/>
      <c r="J61" s="59"/>
    </row>
    <row r="62" spans="1:10" ht="15.75" x14ac:dyDescent="0.25">
      <c r="A62" s="27" t="s">
        <v>82</v>
      </c>
      <c r="B62" s="156" t="s">
        <v>53</v>
      </c>
      <c r="C62" s="156">
        <v>51555151</v>
      </c>
      <c r="D62" s="156">
        <f>400/5</f>
        <v>80</v>
      </c>
      <c r="E62" s="156">
        <v>4800</v>
      </c>
      <c r="F62" s="63">
        <v>0.30659999999999998</v>
      </c>
      <c r="G62" s="63">
        <v>0.30659999999999998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56" t="s">
        <v>53</v>
      </c>
      <c r="C63" s="156">
        <v>51097599</v>
      </c>
      <c r="D63" s="156" t="s">
        <v>22</v>
      </c>
      <c r="E63" s="156">
        <v>3600</v>
      </c>
      <c r="F63" s="21">
        <v>928.3904</v>
      </c>
      <c r="G63" s="21">
        <v>930.76750000000004</v>
      </c>
      <c r="H63" s="18">
        <f t="shared" si="2"/>
        <v>8557.5600000001486</v>
      </c>
      <c r="I63" s="62"/>
      <c r="J63" s="59"/>
    </row>
    <row r="64" spans="1:10" ht="15.75" x14ac:dyDescent="0.25">
      <c r="A64" s="27" t="s">
        <v>84</v>
      </c>
      <c r="B64" s="156" t="s">
        <v>53</v>
      </c>
      <c r="C64" s="156">
        <v>51097620</v>
      </c>
      <c r="D64" s="156" t="s">
        <v>35</v>
      </c>
      <c r="E64" s="156">
        <v>4800</v>
      </c>
      <c r="F64" s="21">
        <v>473.30290000000002</v>
      </c>
      <c r="G64" s="21">
        <v>475.93310000000002</v>
      </c>
      <c r="H64" s="18">
        <f t="shared" si="2"/>
        <v>12624.96000000001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50606.399999999892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56" t="s">
        <v>53</v>
      </c>
      <c r="C67" s="9">
        <v>51259238</v>
      </c>
      <c r="D67" s="74" t="s">
        <v>54</v>
      </c>
      <c r="E67" s="74">
        <v>7000</v>
      </c>
      <c r="F67" s="75">
        <v>514.49620000000004</v>
      </c>
      <c r="G67" s="75">
        <v>517.41890000000001</v>
      </c>
      <c r="H67" s="76">
        <f>(G67-F67)*E67</f>
        <v>20458.899999999743</v>
      </c>
      <c r="I67" s="77"/>
      <c r="J67" s="78"/>
    </row>
    <row r="68" spans="1:10" ht="15.75" x14ac:dyDescent="0.25">
      <c r="A68" s="27" t="s">
        <v>87</v>
      </c>
      <c r="B68" s="156" t="s">
        <v>53</v>
      </c>
      <c r="C68" s="156">
        <v>51259324</v>
      </c>
      <c r="D68" s="157" t="s">
        <v>54</v>
      </c>
      <c r="E68" s="157">
        <v>7000</v>
      </c>
      <c r="F68" s="21">
        <v>401.27100000000002</v>
      </c>
      <c r="G68" s="21">
        <v>403.56509999999997</v>
      </c>
      <c r="H68" s="18">
        <f>(G68-F68)*E68</f>
        <v>16058.699999999702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56">
        <v>51491618</v>
      </c>
      <c r="D69" s="157" t="s">
        <v>64</v>
      </c>
      <c r="E69" s="156">
        <v>40</v>
      </c>
      <c r="F69" s="28">
        <v>1084.146</v>
      </c>
      <c r="G69" s="28">
        <v>1095.9155000000001</v>
      </c>
      <c r="H69" s="18">
        <f>(G69-F69)*E69</f>
        <v>470.78000000000429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56">
        <v>51491624</v>
      </c>
      <c r="D70" s="157" t="s">
        <v>64</v>
      </c>
      <c r="E70" s="156">
        <v>40</v>
      </c>
      <c r="F70" s="28">
        <v>160.05000000000001</v>
      </c>
      <c r="G70" s="28">
        <v>160.869</v>
      </c>
      <c r="H70" s="18">
        <f>(G70-F70)*E70</f>
        <v>32.759999999999536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36517.599999999446</v>
      </c>
      <c r="I71" s="85">
        <f>H71-H74-H69-H70</f>
        <v>-671.14000000113742</v>
      </c>
      <c r="J71" s="25">
        <f>I71/H71</f>
        <v>-1.8378535281649056E-2</v>
      </c>
    </row>
    <row r="72" spans="1:10" ht="15.75" x14ac:dyDescent="0.25">
      <c r="A72" s="27" t="s">
        <v>92</v>
      </c>
      <c r="B72" s="156" t="s">
        <v>53</v>
      </c>
      <c r="C72" s="86">
        <v>51097588</v>
      </c>
      <c r="D72" s="157" t="s">
        <v>76</v>
      </c>
      <c r="E72" s="156">
        <v>12000</v>
      </c>
      <c r="F72" s="21">
        <v>309.55439999999999</v>
      </c>
      <c r="G72" s="21">
        <v>311.22460000000001</v>
      </c>
      <c r="H72" s="18">
        <f>(G72-F72)*E72</f>
        <v>20042.400000000271</v>
      </c>
      <c r="I72" s="51"/>
      <c r="J72" s="58"/>
    </row>
    <row r="73" spans="1:10" ht="15.75" x14ac:dyDescent="0.25">
      <c r="A73" s="27" t="s">
        <v>93</v>
      </c>
      <c r="B73" s="156" t="s">
        <v>53</v>
      </c>
      <c r="C73" s="86">
        <v>51431335</v>
      </c>
      <c r="D73" s="157" t="s">
        <v>76</v>
      </c>
      <c r="E73" s="156">
        <v>12000</v>
      </c>
      <c r="F73" s="21">
        <v>245.81809999999999</v>
      </c>
      <c r="G73" s="21">
        <v>247.20500000000001</v>
      </c>
      <c r="H73" s="18">
        <f>(G73-F73)*E73</f>
        <v>16642.800000000309</v>
      </c>
      <c r="I73" s="51"/>
      <c r="J73" s="58"/>
    </row>
    <row r="74" spans="1:10" ht="15.75" x14ac:dyDescent="0.25">
      <c r="A74" s="87" t="s">
        <v>94</v>
      </c>
      <c r="B74" s="156" t="s">
        <v>28</v>
      </c>
      <c r="C74" s="156"/>
      <c r="D74" s="157"/>
      <c r="E74" s="156"/>
      <c r="F74" s="21"/>
      <c r="G74" s="21"/>
      <c r="H74" s="48">
        <f>H72+ H73</f>
        <v>36685.200000000579</v>
      </c>
      <c r="I74" s="85">
        <f>H74-H82</f>
        <v>-95.759999999630963</v>
      </c>
      <c r="J74" s="25">
        <f>I74/H74</f>
        <v>-2.6103169670501853E-3</v>
      </c>
    </row>
    <row r="75" spans="1:10" ht="15.75" x14ac:dyDescent="0.25">
      <c r="A75" s="27" t="s">
        <v>95</v>
      </c>
      <c r="B75" s="156" t="s">
        <v>53</v>
      </c>
      <c r="C75" s="86">
        <v>51097676</v>
      </c>
      <c r="D75" s="88" t="s">
        <v>64</v>
      </c>
      <c r="E75" s="156">
        <v>2400</v>
      </c>
      <c r="F75" s="21">
        <v>645.81719999999996</v>
      </c>
      <c r="G75" s="21">
        <v>649.57870000000003</v>
      </c>
      <c r="H75" s="18">
        <f>(G75-F75)*E75</f>
        <v>9027.6000000001659</v>
      </c>
      <c r="I75" s="51"/>
      <c r="J75" s="58"/>
    </row>
    <row r="76" spans="1:10" ht="15.75" x14ac:dyDescent="0.25">
      <c r="A76" s="27" t="s">
        <v>96</v>
      </c>
      <c r="B76" s="156" t="s">
        <v>53</v>
      </c>
      <c r="C76" s="86">
        <v>51431355</v>
      </c>
      <c r="D76" s="157" t="s">
        <v>22</v>
      </c>
      <c r="E76" s="157">
        <v>3600</v>
      </c>
      <c r="F76" s="21">
        <v>344.49810000000002</v>
      </c>
      <c r="G76" s="21">
        <v>345.94240000000002</v>
      </c>
      <c r="H76" s="18">
        <f>(G76-F76)*E76</f>
        <v>5199.4799999999941</v>
      </c>
      <c r="I76" s="51"/>
      <c r="J76" s="52"/>
    </row>
    <row r="77" spans="1:10" ht="15.75" x14ac:dyDescent="0.25">
      <c r="A77" s="27" t="s">
        <v>97</v>
      </c>
      <c r="B77" s="156" t="s">
        <v>53</v>
      </c>
      <c r="C77" s="86">
        <v>51259331</v>
      </c>
      <c r="D77" s="88" t="s">
        <v>38</v>
      </c>
      <c r="E77" s="156">
        <v>600</v>
      </c>
      <c r="F77" s="21">
        <v>151.44300000000001</v>
      </c>
      <c r="G77" s="21">
        <v>152.434</v>
      </c>
      <c r="H77" s="18">
        <f>(G77-F77)*E77</f>
        <v>594.59999999999127</v>
      </c>
      <c r="I77" s="51"/>
      <c r="J77" s="52"/>
    </row>
    <row r="78" spans="1:10" ht="15.75" x14ac:dyDescent="0.25">
      <c r="A78" s="27" t="s">
        <v>98</v>
      </c>
      <c r="B78" s="156" t="s">
        <v>53</v>
      </c>
      <c r="C78" s="86">
        <v>51259326</v>
      </c>
      <c r="D78" s="88" t="s">
        <v>15</v>
      </c>
      <c r="E78" s="156">
        <v>7200</v>
      </c>
      <c r="F78" s="21">
        <v>309.14060000000001</v>
      </c>
      <c r="G78" s="21">
        <v>310.68290000000002</v>
      </c>
      <c r="H78" s="18">
        <f>(G78-F78)*E78</f>
        <v>11104.560000000083</v>
      </c>
      <c r="I78" s="51"/>
      <c r="J78" s="52"/>
    </row>
    <row r="79" spans="1:10" ht="15.75" x14ac:dyDescent="0.25">
      <c r="A79" s="27" t="s">
        <v>99</v>
      </c>
      <c r="B79" s="156" t="s">
        <v>53</v>
      </c>
      <c r="C79" s="86">
        <v>51431351</v>
      </c>
      <c r="D79" s="88" t="s">
        <v>15</v>
      </c>
      <c r="E79" s="156">
        <v>7200</v>
      </c>
      <c r="F79" s="21">
        <v>218.06970000000001</v>
      </c>
      <c r="G79" s="21">
        <v>219.57730000000001</v>
      </c>
      <c r="H79" s="18">
        <f>(G79-F79)*E79</f>
        <v>10854.719999999976</v>
      </c>
      <c r="I79" s="51"/>
      <c r="J79" s="52"/>
    </row>
    <row r="80" spans="1:10" ht="15.75" x14ac:dyDescent="0.25">
      <c r="A80" s="89" t="s">
        <v>100</v>
      </c>
      <c r="B80" s="156" t="s">
        <v>53</v>
      </c>
      <c r="C80" s="90">
        <v>51097666</v>
      </c>
      <c r="D80" s="88" t="s">
        <v>64</v>
      </c>
      <c r="E80" s="156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56" t="s">
        <v>53</v>
      </c>
      <c r="C81" s="90">
        <v>51259323</v>
      </c>
      <c r="D81" s="88" t="s">
        <v>64</v>
      </c>
      <c r="E81" s="156">
        <v>2400</v>
      </c>
      <c r="F81" s="31">
        <v>7.6399999999999996E-2</v>
      </c>
      <c r="G81" s="31">
        <v>7.6399999999999996E-2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36780.96000000021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56" t="s">
        <v>53</v>
      </c>
      <c r="C84" s="106">
        <v>51431297</v>
      </c>
      <c r="D84" s="157" t="s">
        <v>54</v>
      </c>
      <c r="E84" s="100">
        <v>7000</v>
      </c>
      <c r="F84" s="17">
        <v>250.92750000000001</v>
      </c>
      <c r="G84" s="17">
        <v>251.99549999999999</v>
      </c>
      <c r="H84" s="18">
        <f>(G84-F84)*E84</f>
        <v>7475.9999999998854</v>
      </c>
      <c r="I84" s="107"/>
      <c r="J84" s="108"/>
    </row>
    <row r="85" spans="1:10" ht="15.75" x14ac:dyDescent="0.25">
      <c r="A85" s="105" t="s">
        <v>87</v>
      </c>
      <c r="B85" s="156" t="s">
        <v>53</v>
      </c>
      <c r="C85" s="106">
        <v>51431332</v>
      </c>
      <c r="D85" s="157" t="s">
        <v>54</v>
      </c>
      <c r="E85" s="100">
        <v>7000</v>
      </c>
      <c r="F85" s="21">
        <v>344.3399</v>
      </c>
      <c r="G85" s="21">
        <v>345.95240000000001</v>
      </c>
      <c r="H85" s="18">
        <f>(G85-F85)*E85</f>
        <v>11287.50000000008</v>
      </c>
      <c r="I85" s="156"/>
      <c r="J85" s="58"/>
    </row>
    <row r="86" spans="1:10" ht="15.75" x14ac:dyDescent="0.25">
      <c r="A86" s="27" t="s">
        <v>88</v>
      </c>
      <c r="B86" s="156" t="s">
        <v>104</v>
      </c>
      <c r="C86" s="109">
        <v>150773</v>
      </c>
      <c r="D86" s="157" t="s">
        <v>54</v>
      </c>
      <c r="E86" s="109">
        <v>20</v>
      </c>
      <c r="F86" s="17">
        <v>15551.2</v>
      </c>
      <c r="G86" s="17">
        <v>15559.2</v>
      </c>
      <c r="H86" s="18">
        <f>(G86-F86)*E86</f>
        <v>160</v>
      </c>
      <c r="I86" s="51"/>
      <c r="J86" s="58"/>
    </row>
    <row r="87" spans="1:10" ht="15.75" x14ac:dyDescent="0.25">
      <c r="A87" s="27" t="s">
        <v>90</v>
      </c>
      <c r="B87" s="156" t="s">
        <v>104</v>
      </c>
      <c r="C87" s="109">
        <v>150791</v>
      </c>
      <c r="D87" s="157" t="s">
        <v>54</v>
      </c>
      <c r="E87" s="109">
        <v>20</v>
      </c>
      <c r="F87" s="21">
        <v>231.7</v>
      </c>
      <c r="G87" s="21">
        <v>231.7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58"/>
      <c r="C88" s="32"/>
      <c r="D88" s="82"/>
      <c r="E88" s="82"/>
      <c r="F88" s="21"/>
      <c r="G88" s="21"/>
      <c r="H88" s="48">
        <f>H84+H85</f>
        <v>18763.499999999964</v>
      </c>
      <c r="I88" s="85">
        <f>H88-H91-H86-H87</f>
        <v>399.98000000002867</v>
      </c>
      <c r="J88" s="25">
        <f>I88/H88</f>
        <v>2.1316918485358778E-2</v>
      </c>
    </row>
    <row r="89" spans="1:10" ht="15.75" x14ac:dyDescent="0.25">
      <c r="A89" s="27" t="s">
        <v>105</v>
      </c>
      <c r="B89" s="156" t="s">
        <v>53</v>
      </c>
      <c r="C89" s="106">
        <v>51431342</v>
      </c>
      <c r="D89" s="88" t="s">
        <v>35</v>
      </c>
      <c r="E89" s="156">
        <v>4800</v>
      </c>
      <c r="F89" s="21">
        <v>355.71249999999998</v>
      </c>
      <c r="G89" s="21">
        <v>357.23869999999999</v>
      </c>
      <c r="H89" s="18">
        <f>(G89-F89)*E89</f>
        <v>7325.7600000000821</v>
      </c>
      <c r="I89" s="51"/>
      <c r="J89" s="52"/>
    </row>
    <row r="90" spans="1:10" ht="15.75" x14ac:dyDescent="0.25">
      <c r="A90" s="27" t="s">
        <v>106</v>
      </c>
      <c r="B90" s="156" t="s">
        <v>53</v>
      </c>
      <c r="C90" s="106">
        <v>51431343</v>
      </c>
      <c r="D90" s="88" t="s">
        <v>35</v>
      </c>
      <c r="E90" s="156">
        <v>4800</v>
      </c>
      <c r="F90" s="21">
        <v>487.03890000000001</v>
      </c>
      <c r="G90" s="21">
        <v>489.30509999999998</v>
      </c>
      <c r="H90" s="18">
        <f>(G90-F90)*E90</f>
        <v>10877.759999999853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18203.519999999935</v>
      </c>
      <c r="I91" s="85">
        <f>H91-H99</f>
        <v>-145.5400000001755</v>
      </c>
      <c r="J91" s="25">
        <f>I91/H91</f>
        <v>-7.9951569806375918E-3</v>
      </c>
    </row>
    <row r="92" spans="1:10" ht="15.75" x14ac:dyDescent="0.25">
      <c r="A92" s="27" t="s">
        <v>108</v>
      </c>
      <c r="B92" s="156" t="s">
        <v>53</v>
      </c>
      <c r="C92" s="106">
        <v>51431347</v>
      </c>
      <c r="D92" s="157" t="s">
        <v>54</v>
      </c>
      <c r="E92" s="156">
        <v>1200</v>
      </c>
      <c r="F92" s="21">
        <v>1141.7601999999999</v>
      </c>
      <c r="G92" s="21">
        <v>1150.2407000000001</v>
      </c>
      <c r="H92" s="18">
        <f t="shared" ref="H92:H100" si="4">(G92-F92)*E92</f>
        <v>10176.600000000144</v>
      </c>
      <c r="I92" s="51"/>
      <c r="J92" s="52"/>
    </row>
    <row r="93" spans="1:10" ht="15.75" x14ac:dyDescent="0.25">
      <c r="A93" s="27" t="s">
        <v>109</v>
      </c>
      <c r="B93" s="156" t="s">
        <v>53</v>
      </c>
      <c r="C93" s="106">
        <v>51431339</v>
      </c>
      <c r="D93" s="157" t="s">
        <v>54</v>
      </c>
      <c r="E93" s="156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56" t="s">
        <v>53</v>
      </c>
      <c r="C94" s="106">
        <v>51217244</v>
      </c>
      <c r="D94" s="156" t="s">
        <v>38</v>
      </c>
      <c r="E94" s="156">
        <v>600</v>
      </c>
      <c r="F94" s="30">
        <v>310.4042</v>
      </c>
      <c r="G94" s="30">
        <v>311.47980000000001</v>
      </c>
      <c r="H94" s="18">
        <f t="shared" si="4"/>
        <v>645.36000000000513</v>
      </c>
      <c r="I94" s="51"/>
      <c r="J94" s="52"/>
    </row>
    <row r="95" spans="1:10" ht="15.75" x14ac:dyDescent="0.25">
      <c r="A95" s="27" t="s">
        <v>111</v>
      </c>
      <c r="B95" s="156" t="s">
        <v>53</v>
      </c>
      <c r="C95" s="106">
        <v>51217267</v>
      </c>
      <c r="D95" s="88" t="s">
        <v>64</v>
      </c>
      <c r="E95" s="156">
        <v>2400</v>
      </c>
      <c r="F95" s="30">
        <v>19.793700000000001</v>
      </c>
      <c r="G95" s="30">
        <v>19.824200000000001</v>
      </c>
      <c r="H95" s="18">
        <f t="shared" si="4"/>
        <v>73.199999999999932</v>
      </c>
      <c r="I95" s="51"/>
      <c r="J95" s="52"/>
    </row>
    <row r="96" spans="1:10" ht="15.75" x14ac:dyDescent="0.25">
      <c r="A96" s="27" t="s">
        <v>112</v>
      </c>
      <c r="B96" s="156" t="s">
        <v>53</v>
      </c>
      <c r="C96" s="156">
        <v>51555165</v>
      </c>
      <c r="D96" s="157" t="s">
        <v>54</v>
      </c>
      <c r="E96" s="156">
        <v>1200</v>
      </c>
      <c r="F96" s="30">
        <v>771.62789999999995</v>
      </c>
      <c r="G96" s="30">
        <v>771.62789999999995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56" t="s">
        <v>53</v>
      </c>
      <c r="C97" s="106">
        <v>51431346</v>
      </c>
      <c r="D97" s="114" t="s">
        <v>38</v>
      </c>
      <c r="E97" s="114">
        <v>600</v>
      </c>
      <c r="F97" s="30">
        <v>327.62709999999998</v>
      </c>
      <c r="G97" s="30">
        <v>329.60879999999997</v>
      </c>
      <c r="H97" s="115">
        <f t="shared" si="4"/>
        <v>1189.0199999999936</v>
      </c>
      <c r="I97" s="116"/>
      <c r="J97" s="117"/>
    </row>
    <row r="98" spans="1:10" ht="15.75" x14ac:dyDescent="0.25">
      <c r="A98" s="27" t="s">
        <v>114</v>
      </c>
      <c r="B98" s="156" t="s">
        <v>53</v>
      </c>
      <c r="C98" s="106">
        <v>51431352</v>
      </c>
      <c r="D98" s="88" t="s">
        <v>22</v>
      </c>
      <c r="E98" s="156">
        <v>3600</v>
      </c>
      <c r="F98" s="21">
        <v>203.0651</v>
      </c>
      <c r="G98" s="21">
        <v>204.76089999999999</v>
      </c>
      <c r="H98" s="18">
        <f t="shared" si="4"/>
        <v>6104.8799999999683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18349.06000000011</v>
      </c>
      <c r="I99" s="51"/>
      <c r="J99" s="52"/>
    </row>
    <row r="100" spans="1:10" ht="15.75" x14ac:dyDescent="0.25">
      <c r="A100" s="45" t="s">
        <v>115</v>
      </c>
      <c r="B100" s="156" t="s">
        <v>53</v>
      </c>
      <c r="C100" s="120">
        <v>51431357</v>
      </c>
      <c r="D100" s="157" t="s">
        <v>64</v>
      </c>
      <c r="E100" s="157">
        <v>14000</v>
      </c>
      <c r="F100" s="28">
        <v>786.4049</v>
      </c>
      <c r="G100" s="28">
        <v>790.34209999999996</v>
      </c>
      <c r="H100" s="121">
        <f t="shared" si="4"/>
        <v>55120.799999999464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129</v>
      </c>
      <c r="G3" s="4" t="s">
        <v>130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59" t="s">
        <v>14</v>
      </c>
      <c r="C5" s="159">
        <v>51555166</v>
      </c>
      <c r="D5" s="159" t="s">
        <v>15</v>
      </c>
      <c r="E5" s="159">
        <v>132000</v>
      </c>
      <c r="F5" s="17">
        <v>2.9647000000000001</v>
      </c>
      <c r="G5" s="17">
        <v>2.9765000000000001</v>
      </c>
      <c r="H5" s="18">
        <f>(G5-F5)*E5</f>
        <v>1557.6000000000042</v>
      </c>
      <c r="I5" s="19"/>
      <c r="J5" s="20"/>
    </row>
    <row r="6" spans="1:10" ht="15.75" x14ac:dyDescent="0.25">
      <c r="A6" s="15" t="s">
        <v>16</v>
      </c>
      <c r="B6" s="159" t="s">
        <v>14</v>
      </c>
      <c r="C6" s="159">
        <v>51555191</v>
      </c>
      <c r="D6" s="159" t="s">
        <v>15</v>
      </c>
      <c r="E6" s="159">
        <v>132000</v>
      </c>
      <c r="F6" s="21">
        <v>342.38249999999999</v>
      </c>
      <c r="G6" s="21">
        <v>344.3974</v>
      </c>
      <c r="H6" s="18">
        <f>(G6-F6)*E6</f>
        <v>265966.8000000015</v>
      </c>
      <c r="I6" s="19"/>
      <c r="J6" s="20"/>
    </row>
    <row r="7" spans="1:10" ht="15.75" x14ac:dyDescent="0.25">
      <c r="A7" s="207" t="s">
        <v>17</v>
      </c>
      <c r="B7" s="208"/>
      <c r="C7" s="159"/>
      <c r="D7" s="160"/>
      <c r="E7" s="159"/>
      <c r="H7" s="23">
        <f>H5+H6</f>
        <v>267524.40000000148</v>
      </c>
      <c r="I7" s="24">
        <f>H7-H10-H20</f>
        <v>2140.2000000067346</v>
      </c>
      <c r="J7" s="25">
        <f>I7/H7</f>
        <v>8.0000179423137582E-3</v>
      </c>
    </row>
    <row r="8" spans="1:10" ht="15.75" x14ac:dyDescent="0.25">
      <c r="A8" s="26" t="s">
        <v>18</v>
      </c>
      <c r="B8" s="159" t="s">
        <v>14</v>
      </c>
      <c r="C8" s="159">
        <v>51097629</v>
      </c>
      <c r="D8" s="160" t="s">
        <v>15</v>
      </c>
      <c r="E8" s="159">
        <v>42000</v>
      </c>
      <c r="F8" s="21">
        <v>1037.6458</v>
      </c>
      <c r="G8" s="21">
        <v>1042.1217999999999</v>
      </c>
      <c r="H8" s="18">
        <f>(G8-F8)*E8</f>
        <v>187991.9999999952</v>
      </c>
      <c r="I8" s="19"/>
      <c r="J8" s="20"/>
    </row>
    <row r="9" spans="1:10" ht="15.75" x14ac:dyDescent="0.25">
      <c r="A9" s="26" t="s">
        <v>19</v>
      </c>
      <c r="B9" s="159" t="s">
        <v>14</v>
      </c>
      <c r="C9" s="159">
        <v>51616820</v>
      </c>
      <c r="D9" s="160" t="s">
        <v>15</v>
      </c>
      <c r="E9" s="159">
        <v>42000</v>
      </c>
      <c r="F9" s="21">
        <v>5.0831</v>
      </c>
      <c r="G9" s="21">
        <v>5.1075999999999997</v>
      </c>
      <c r="H9" s="18">
        <f>(G9-F9)*E9</f>
        <v>1028.9999999999893</v>
      </c>
      <c r="I9" s="19"/>
      <c r="J9" s="20"/>
    </row>
    <row r="10" spans="1:10" ht="15.75" x14ac:dyDescent="0.25">
      <c r="A10" s="207" t="s">
        <v>20</v>
      </c>
      <c r="B10" s="208"/>
      <c r="C10" s="159"/>
      <c r="D10" s="160"/>
      <c r="E10" s="159"/>
      <c r="F10" s="21"/>
      <c r="G10" s="21"/>
      <c r="H10" s="23">
        <f>H8+H9</f>
        <v>189020.9999999952</v>
      </c>
      <c r="I10" s="24">
        <f>H10-H17</f>
        <v>18.899999998306157</v>
      </c>
      <c r="J10" s="25">
        <f>I10/H10</f>
        <v>9.9988890114361035E-5</v>
      </c>
    </row>
    <row r="11" spans="1:10" ht="15.75" x14ac:dyDescent="0.25">
      <c r="A11" s="27" t="s">
        <v>21</v>
      </c>
      <c r="B11" s="159" t="s">
        <v>14</v>
      </c>
      <c r="C11" s="159">
        <v>51217286</v>
      </c>
      <c r="D11" s="160" t="s">
        <v>22</v>
      </c>
      <c r="E11" s="159">
        <v>21000</v>
      </c>
      <c r="F11" s="21">
        <v>821.6617</v>
      </c>
      <c r="G11" s="21">
        <v>824.96529999999996</v>
      </c>
      <c r="H11" s="18">
        <f t="shared" ref="H11:H16" si="0">(G11-F11)*E11</f>
        <v>69375.599999999162</v>
      </c>
      <c r="I11" s="19"/>
      <c r="J11" s="20"/>
    </row>
    <row r="12" spans="1:10" ht="15.75" x14ac:dyDescent="0.25">
      <c r="A12" s="27" t="s">
        <v>23</v>
      </c>
      <c r="B12" s="159" t="s">
        <v>14</v>
      </c>
      <c r="C12" s="159">
        <v>51217292</v>
      </c>
      <c r="D12" s="160" t="s">
        <v>22</v>
      </c>
      <c r="E12" s="159">
        <v>21000</v>
      </c>
      <c r="F12" s="28">
        <v>3.5564</v>
      </c>
      <c r="G12" s="28">
        <v>3.5802</v>
      </c>
      <c r="H12" s="18">
        <f>(G12-F12)*E12</f>
        <v>499.80000000000092</v>
      </c>
      <c r="I12" s="19"/>
      <c r="J12" s="20"/>
    </row>
    <row r="13" spans="1:10" ht="15.75" x14ac:dyDescent="0.25">
      <c r="A13" s="27" t="s">
        <v>24</v>
      </c>
      <c r="B13" s="159" t="s">
        <v>14</v>
      </c>
      <c r="C13" s="159">
        <v>51217271</v>
      </c>
      <c r="D13" s="160" t="s">
        <v>22</v>
      </c>
      <c r="E13" s="159">
        <v>21000</v>
      </c>
      <c r="F13" s="21">
        <v>601.21690000000001</v>
      </c>
      <c r="G13" s="21">
        <v>603.85479999999995</v>
      </c>
      <c r="H13" s="18">
        <f t="shared" si="0"/>
        <v>55395.899999998845</v>
      </c>
      <c r="I13" s="19"/>
      <c r="J13" s="20"/>
    </row>
    <row r="14" spans="1:10" ht="15.75" x14ac:dyDescent="0.25">
      <c r="A14" s="27" t="s">
        <v>25</v>
      </c>
      <c r="B14" s="159" t="s">
        <v>14</v>
      </c>
      <c r="C14" s="159">
        <v>51217276</v>
      </c>
      <c r="D14" s="160" t="s">
        <v>22</v>
      </c>
      <c r="E14" s="159">
        <v>21000</v>
      </c>
      <c r="F14" s="28">
        <v>0.53439999999999999</v>
      </c>
      <c r="G14" s="28">
        <v>0.54390000000000005</v>
      </c>
      <c r="H14" s="18">
        <f>(G14-F14)*E14</f>
        <v>199.50000000000134</v>
      </c>
      <c r="I14" s="19"/>
      <c r="J14" s="20"/>
    </row>
    <row r="15" spans="1:10" ht="15.75" x14ac:dyDescent="0.25">
      <c r="A15" s="27" t="s">
        <v>26</v>
      </c>
      <c r="B15" s="159" t="s">
        <v>14</v>
      </c>
      <c r="C15" s="159">
        <v>51100990</v>
      </c>
      <c r="D15" s="160" t="s">
        <v>22</v>
      </c>
      <c r="E15" s="159">
        <v>21000</v>
      </c>
      <c r="F15" s="29">
        <v>658.11540000000002</v>
      </c>
      <c r="G15" s="29">
        <v>661.12919999999997</v>
      </c>
      <c r="H15" s="18">
        <f t="shared" si="0"/>
        <v>63289.799999998875</v>
      </c>
      <c r="I15" s="19"/>
      <c r="J15" s="20"/>
    </row>
    <row r="16" spans="1:10" ht="15.75" x14ac:dyDescent="0.25">
      <c r="A16" s="27" t="s">
        <v>27</v>
      </c>
      <c r="B16" s="159" t="s">
        <v>14</v>
      </c>
      <c r="C16" s="159">
        <v>51097622</v>
      </c>
      <c r="D16" s="160" t="s">
        <v>22</v>
      </c>
      <c r="E16" s="159">
        <v>21000</v>
      </c>
      <c r="F16" s="21">
        <v>2.8866000000000001</v>
      </c>
      <c r="G16" s="21">
        <v>2.8980999999999999</v>
      </c>
      <c r="H16" s="18">
        <f t="shared" si="0"/>
        <v>241.4999999999967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59"/>
      <c r="D17" s="160"/>
      <c r="E17" s="159"/>
      <c r="F17" s="21"/>
      <c r="G17" s="21"/>
      <c r="H17" s="23">
        <f>H11+H12+H13+H14+H15+H16</f>
        <v>189002.09999999689</v>
      </c>
      <c r="I17" s="19"/>
      <c r="J17" s="20"/>
    </row>
    <row r="18" spans="1:10" ht="15.75" x14ac:dyDescent="0.25">
      <c r="A18" s="26" t="s">
        <v>30</v>
      </c>
      <c r="B18" s="159" t="s">
        <v>14</v>
      </c>
      <c r="C18" s="159">
        <v>51097617</v>
      </c>
      <c r="D18" s="160" t="s">
        <v>31</v>
      </c>
      <c r="E18" s="159">
        <v>18000</v>
      </c>
      <c r="F18" s="30">
        <v>794.29489999999998</v>
      </c>
      <c r="G18" s="30">
        <v>798.53729999999996</v>
      </c>
      <c r="H18" s="18">
        <f>(G18-F18)*E18</f>
        <v>76363.199999999546</v>
      </c>
      <c r="I18" s="19"/>
      <c r="J18" s="20"/>
    </row>
    <row r="19" spans="1:10" ht="15.75" x14ac:dyDescent="0.25">
      <c r="A19" s="26" t="s">
        <v>32</v>
      </c>
      <c r="B19" s="159" t="s">
        <v>14</v>
      </c>
      <c r="C19" s="159">
        <v>51097655</v>
      </c>
      <c r="D19" s="160" t="s">
        <v>31</v>
      </c>
      <c r="E19" s="159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59"/>
      <c r="D20" s="160"/>
      <c r="E20" s="159"/>
      <c r="F20" s="30"/>
      <c r="G20" s="30"/>
      <c r="H20" s="23">
        <f>H18+H19</f>
        <v>76363.199999999546</v>
      </c>
      <c r="I20" s="24">
        <f>H20-H35</f>
        <v>1786.6199999996024</v>
      </c>
      <c r="J20" s="25">
        <f>I20/H20</f>
        <v>2.3396347979126243E-2</v>
      </c>
    </row>
    <row r="21" spans="1:10" ht="15.75" x14ac:dyDescent="0.25">
      <c r="A21" s="15" t="s">
        <v>34</v>
      </c>
      <c r="B21" s="159" t="s">
        <v>14</v>
      </c>
      <c r="C21" s="159">
        <v>51217282</v>
      </c>
      <c r="D21" s="160" t="s">
        <v>35</v>
      </c>
      <c r="E21" s="159">
        <v>4800</v>
      </c>
      <c r="F21" s="21">
        <v>379.79480000000001</v>
      </c>
      <c r="G21" s="21">
        <v>379.83609999999999</v>
      </c>
      <c r="H21" s="18">
        <f t="shared" ref="H21:H34" si="1">(G21-F21)*E21</f>
        <v>198.2399999998961</v>
      </c>
      <c r="I21" s="19" t="s">
        <v>28</v>
      </c>
      <c r="J21" s="20"/>
    </row>
    <row r="22" spans="1:10" ht="15.75" x14ac:dyDescent="0.25">
      <c r="A22" s="15" t="s">
        <v>36</v>
      </c>
      <c r="B22" s="159" t="s">
        <v>14</v>
      </c>
      <c r="C22" s="159">
        <v>51217274</v>
      </c>
      <c r="D22" s="160" t="s">
        <v>35</v>
      </c>
      <c r="E22" s="159">
        <v>4800</v>
      </c>
      <c r="F22" s="21">
        <v>1245.7240999999999</v>
      </c>
      <c r="G22" s="21">
        <v>1251.7800999999999</v>
      </c>
      <c r="H22" s="18">
        <f t="shared" si="1"/>
        <v>29068.800000000192</v>
      </c>
      <c r="I22" s="19"/>
      <c r="J22" s="20"/>
    </row>
    <row r="23" spans="1:10" ht="15.75" x14ac:dyDescent="0.25">
      <c r="A23" s="15" t="s">
        <v>37</v>
      </c>
      <c r="B23" s="159" t="s">
        <v>14</v>
      </c>
      <c r="C23" s="159">
        <v>51097664</v>
      </c>
      <c r="D23" s="160" t="s">
        <v>38</v>
      </c>
      <c r="E23" s="159">
        <v>600</v>
      </c>
      <c r="F23" s="21">
        <v>4.4409999999999998</v>
      </c>
      <c r="G23" s="21">
        <v>4.4409999999999998</v>
      </c>
      <c r="H23" s="18">
        <f t="shared" si="1"/>
        <v>0</v>
      </c>
      <c r="I23" s="19"/>
      <c r="J23" s="20"/>
    </row>
    <row r="24" spans="1:10" ht="15.75" x14ac:dyDescent="0.25">
      <c r="A24" s="15" t="s">
        <v>39</v>
      </c>
      <c r="B24" s="159" t="s">
        <v>14</v>
      </c>
      <c r="C24" s="159">
        <v>51097615</v>
      </c>
      <c r="D24" s="160" t="s">
        <v>38</v>
      </c>
      <c r="E24" s="159">
        <v>600</v>
      </c>
      <c r="F24" s="21">
        <v>38.622399999999999</v>
      </c>
      <c r="G24" s="21">
        <v>39.002800000000001</v>
      </c>
      <c r="H24" s="18">
        <f t="shared" si="1"/>
        <v>228.24000000000098</v>
      </c>
      <c r="I24" s="19"/>
      <c r="J24" s="20"/>
    </row>
    <row r="25" spans="1:10" ht="15.75" x14ac:dyDescent="0.25">
      <c r="A25" s="15" t="s">
        <v>40</v>
      </c>
      <c r="B25" s="159" t="s">
        <v>14</v>
      </c>
      <c r="C25" s="159">
        <v>51217264</v>
      </c>
      <c r="D25" s="160" t="s">
        <v>38</v>
      </c>
      <c r="E25" s="159">
        <v>600</v>
      </c>
      <c r="F25" s="21">
        <v>92.248500000000007</v>
      </c>
      <c r="G25" s="21">
        <v>92.968999999999994</v>
      </c>
      <c r="H25" s="18">
        <f t="shared" si="1"/>
        <v>432.29999999999222</v>
      </c>
      <c r="I25" s="19"/>
      <c r="J25" s="20"/>
    </row>
    <row r="26" spans="1:10" ht="15.75" x14ac:dyDescent="0.25">
      <c r="A26" s="15" t="s">
        <v>41</v>
      </c>
      <c r="B26" s="159" t="s">
        <v>14</v>
      </c>
      <c r="C26" s="159">
        <v>51217288</v>
      </c>
      <c r="D26" s="160" t="s">
        <v>38</v>
      </c>
      <c r="E26" s="159">
        <v>600</v>
      </c>
      <c r="F26" s="21">
        <v>19.930900000000001</v>
      </c>
      <c r="G26" s="21">
        <v>19.961400000000001</v>
      </c>
      <c r="H26" s="18">
        <f t="shared" si="1"/>
        <v>18.299999999999983</v>
      </c>
      <c r="I26" s="19" t="s">
        <v>28</v>
      </c>
      <c r="J26" s="20"/>
    </row>
    <row r="27" spans="1:10" ht="15.75" x14ac:dyDescent="0.25">
      <c r="A27" s="15" t="s">
        <v>42</v>
      </c>
      <c r="B27" s="159" t="s">
        <v>14</v>
      </c>
      <c r="C27" s="159">
        <v>51217279</v>
      </c>
      <c r="D27" s="160" t="s">
        <v>38</v>
      </c>
      <c r="E27" s="159">
        <v>600</v>
      </c>
      <c r="F27" s="21">
        <v>14.3491</v>
      </c>
      <c r="G27" s="21">
        <v>14.4024</v>
      </c>
      <c r="H27" s="18">
        <f t="shared" si="1"/>
        <v>31.980000000000075</v>
      </c>
      <c r="I27" s="19" t="s">
        <v>28</v>
      </c>
      <c r="J27" s="20"/>
    </row>
    <row r="28" spans="1:10" ht="15.75" x14ac:dyDescent="0.25">
      <c r="A28" s="15" t="s">
        <v>43</v>
      </c>
      <c r="B28" s="159" t="s">
        <v>14</v>
      </c>
      <c r="C28" s="159">
        <v>51217272</v>
      </c>
      <c r="D28" s="160" t="s">
        <v>38</v>
      </c>
      <c r="E28" s="159">
        <v>600</v>
      </c>
      <c r="F28" s="31">
        <v>14.0754</v>
      </c>
      <c r="G28" s="31">
        <v>14.127599999999999</v>
      </c>
      <c r="H28" s="18">
        <f t="shared" si="1"/>
        <v>31.319999999999482</v>
      </c>
      <c r="I28" s="19"/>
      <c r="J28" s="20"/>
    </row>
    <row r="29" spans="1:10" ht="15.75" x14ac:dyDescent="0.25">
      <c r="A29" s="15" t="s">
        <v>44</v>
      </c>
      <c r="B29" s="159" t="s">
        <v>14</v>
      </c>
      <c r="C29" s="159">
        <v>51616744</v>
      </c>
      <c r="D29" s="160">
        <f>300/5</f>
        <v>60</v>
      </c>
      <c r="E29" s="159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59" t="s">
        <v>14</v>
      </c>
      <c r="C30" s="159">
        <v>51555226</v>
      </c>
      <c r="D30" s="160">
        <f>300/5</f>
        <v>60</v>
      </c>
      <c r="E30" s="159">
        <v>3600</v>
      </c>
      <c r="F30" s="31">
        <v>447.55619999999999</v>
      </c>
      <c r="G30" s="31">
        <v>451.82150000000001</v>
      </c>
      <c r="H30" s="18">
        <f>(G30-F30)*E30</f>
        <v>15355.080000000089</v>
      </c>
      <c r="I30" s="19"/>
      <c r="J30" s="20"/>
    </row>
    <row r="31" spans="1:10" ht="15.75" x14ac:dyDescent="0.25">
      <c r="A31" s="15" t="s">
        <v>46</v>
      </c>
      <c r="B31" s="159" t="s">
        <v>14</v>
      </c>
      <c r="C31" s="159">
        <v>51097658</v>
      </c>
      <c r="D31" s="160" t="s">
        <v>35</v>
      </c>
      <c r="E31" s="159">
        <v>4800</v>
      </c>
      <c r="F31" s="31">
        <v>608.37480000000005</v>
      </c>
      <c r="G31" s="31">
        <v>611.82740000000001</v>
      </c>
      <c r="H31" s="18">
        <f t="shared" si="1"/>
        <v>16572.479999999814</v>
      </c>
      <c r="I31" s="19"/>
      <c r="J31" s="20"/>
    </row>
    <row r="32" spans="1:10" ht="15.75" x14ac:dyDescent="0.25">
      <c r="A32" s="15" t="s">
        <v>47</v>
      </c>
      <c r="B32" s="159" t="s">
        <v>14</v>
      </c>
      <c r="C32" s="159">
        <v>51097635</v>
      </c>
      <c r="D32" s="160" t="s">
        <v>35</v>
      </c>
      <c r="E32" s="159">
        <v>4800</v>
      </c>
      <c r="F32" s="31">
        <v>48.449300000000001</v>
      </c>
      <c r="G32" s="31">
        <v>48.450200000000002</v>
      </c>
      <c r="H32" s="18">
        <f t="shared" si="1"/>
        <v>4.3200000000069849</v>
      </c>
      <c r="I32" s="19"/>
      <c r="J32" s="20"/>
    </row>
    <row r="33" spans="1:10" ht="15.75" x14ac:dyDescent="0.25">
      <c r="A33" s="15" t="s">
        <v>48</v>
      </c>
      <c r="B33" s="159" t="s">
        <v>14</v>
      </c>
      <c r="C33" s="32">
        <v>51097633</v>
      </c>
      <c r="D33" s="160" t="s">
        <v>35</v>
      </c>
      <c r="E33" s="159">
        <v>4800</v>
      </c>
      <c r="F33" s="31">
        <v>148.62870000000001</v>
      </c>
      <c r="G33" s="31">
        <v>151.1977</v>
      </c>
      <c r="H33" s="33">
        <f t="shared" si="1"/>
        <v>12331.199999999944</v>
      </c>
      <c r="I33" s="34"/>
      <c r="J33" s="35"/>
    </row>
    <row r="34" spans="1:10" ht="15.75" x14ac:dyDescent="0.25">
      <c r="A34" s="15" t="s">
        <v>49</v>
      </c>
      <c r="B34" s="159" t="s">
        <v>14</v>
      </c>
      <c r="C34" s="32">
        <v>51097662</v>
      </c>
      <c r="D34" s="160" t="s">
        <v>35</v>
      </c>
      <c r="E34" s="159">
        <v>4800</v>
      </c>
      <c r="F34" s="31">
        <v>2.9672999999999998</v>
      </c>
      <c r="G34" s="31">
        <v>3.0306999999999999</v>
      </c>
      <c r="H34" s="33">
        <f t="shared" si="1"/>
        <v>304.32000000000062</v>
      </c>
      <c r="I34" s="34"/>
      <c r="J34" s="35"/>
    </row>
    <row r="35" spans="1:10" ht="15.75" x14ac:dyDescent="0.25">
      <c r="A35" s="207" t="s">
        <v>50</v>
      </c>
      <c r="B35" s="208"/>
      <c r="C35" s="159"/>
      <c r="D35" s="160"/>
      <c r="E35" s="159"/>
      <c r="F35" s="36"/>
      <c r="G35" s="36"/>
      <c r="H35" s="23">
        <f>H21+H22+H23+H24+H25+H26+H27+H28+H29+H30+H31+H32+H33+H34</f>
        <v>74576.579999999944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59" t="s">
        <v>53</v>
      </c>
      <c r="C37" s="159">
        <v>51555209</v>
      </c>
      <c r="D37" s="160" t="s">
        <v>54</v>
      </c>
      <c r="E37" s="159">
        <v>7000</v>
      </c>
      <c r="F37" s="17">
        <v>5.1517999999999997</v>
      </c>
      <c r="G37" s="17">
        <v>5.2042000000000002</v>
      </c>
      <c r="H37" s="41">
        <f>(G37-F37)*E37</f>
        <v>366.80000000000314</v>
      </c>
      <c r="I37" s="42"/>
      <c r="J37" s="14"/>
    </row>
    <row r="38" spans="1:10" ht="15.75" x14ac:dyDescent="0.25">
      <c r="A38" s="15" t="s">
        <v>55</v>
      </c>
      <c r="B38" s="159" t="s">
        <v>53</v>
      </c>
      <c r="C38" s="159">
        <v>51555209</v>
      </c>
      <c r="D38" s="160" t="s">
        <v>54</v>
      </c>
      <c r="E38" s="159">
        <v>7000</v>
      </c>
      <c r="F38" s="21">
        <v>9.7149000000000001</v>
      </c>
      <c r="G38" s="21">
        <v>9.7484000000000002</v>
      </c>
      <c r="H38" s="18">
        <f>(G38-F38)*E38</f>
        <v>234.5000000000006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59" t="s">
        <v>53</v>
      </c>
      <c r="C40" s="159">
        <v>51097674</v>
      </c>
      <c r="D40" s="159" t="s">
        <v>15</v>
      </c>
      <c r="E40" s="159">
        <v>7200</v>
      </c>
      <c r="F40" s="21">
        <v>558.83489999999995</v>
      </c>
      <c r="G40" s="21">
        <v>561.28049999999996</v>
      </c>
      <c r="H40" s="18">
        <f>(G40-F40)*E40</f>
        <v>17608.320000000094</v>
      </c>
      <c r="I40" s="47"/>
      <c r="J40" s="20"/>
    </row>
    <row r="41" spans="1:10" ht="15.75" x14ac:dyDescent="0.25">
      <c r="A41" s="27" t="s">
        <v>58</v>
      </c>
      <c r="B41" s="159" t="s">
        <v>53</v>
      </c>
      <c r="C41" s="159">
        <v>51259257</v>
      </c>
      <c r="D41" s="159" t="s">
        <v>15</v>
      </c>
      <c r="E41" s="159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59"/>
      <c r="C42" s="159"/>
      <c r="D42" s="159"/>
      <c r="E42" s="159"/>
      <c r="F42" s="21"/>
      <c r="G42" s="21"/>
      <c r="H42" s="48">
        <f>H40+H41</f>
        <v>17608.320000000094</v>
      </c>
      <c r="I42" s="24">
        <f>H42-H50</f>
        <v>-120.07999999996173</v>
      </c>
      <c r="J42" s="25">
        <f>I42/H42</f>
        <v>-6.8195035074306402E-3</v>
      </c>
    </row>
    <row r="43" spans="1:10" ht="15.75" x14ac:dyDescent="0.25">
      <c r="A43" s="15" t="s">
        <v>60</v>
      </c>
      <c r="B43" s="159"/>
      <c r="C43" s="159"/>
      <c r="D43" s="160"/>
      <c r="E43" s="159"/>
      <c r="H43" s="18"/>
      <c r="I43" s="43"/>
      <c r="J43" s="20"/>
    </row>
    <row r="44" spans="1:10" ht="15.75" x14ac:dyDescent="0.25">
      <c r="A44" s="27" t="s">
        <v>61</v>
      </c>
      <c r="B44" s="159" t="s">
        <v>53</v>
      </c>
      <c r="C44" s="32">
        <v>51097648</v>
      </c>
      <c r="D44" s="159" t="s">
        <v>54</v>
      </c>
      <c r="E44" s="159">
        <v>1200</v>
      </c>
      <c r="F44" s="21">
        <v>458.24919999999997</v>
      </c>
      <c r="G44" s="21">
        <v>460.18799999999999</v>
      </c>
      <c r="H44" s="33">
        <f>(G44-F44)*E44</f>
        <v>2326.5600000000177</v>
      </c>
      <c r="I44" s="43"/>
      <c r="J44" s="20"/>
    </row>
    <row r="45" spans="1:10" ht="15.75" x14ac:dyDescent="0.25">
      <c r="A45" s="27" t="s">
        <v>62</v>
      </c>
      <c r="B45" s="159" t="s">
        <v>53</v>
      </c>
      <c r="C45" s="32">
        <v>50555043</v>
      </c>
      <c r="D45" s="159" t="s">
        <v>54</v>
      </c>
      <c r="E45" s="159">
        <v>1200</v>
      </c>
      <c r="F45" s="21">
        <v>1914.8096</v>
      </c>
      <c r="G45" s="21">
        <v>1923.1936000000001</v>
      </c>
      <c r="H45" s="33">
        <f>(G45-F45)*E45</f>
        <v>10060.800000000017</v>
      </c>
      <c r="I45" s="43"/>
      <c r="J45" s="20"/>
    </row>
    <row r="46" spans="1:10" ht="15.75" x14ac:dyDescent="0.25">
      <c r="A46" s="27" t="s">
        <v>63</v>
      </c>
      <c r="B46" s="159" t="s">
        <v>53</v>
      </c>
      <c r="C46" s="32">
        <v>51259336</v>
      </c>
      <c r="D46" s="159" t="s">
        <v>64</v>
      </c>
      <c r="E46" s="159">
        <v>2400</v>
      </c>
      <c r="F46" s="21">
        <v>3.93</v>
      </c>
      <c r="G46" s="21">
        <v>3.9434999999999998</v>
      </c>
      <c r="H46" s="33">
        <f>(G46-F46)*E46</f>
        <v>32.399999999999096</v>
      </c>
      <c r="I46" s="43"/>
      <c r="J46" s="20"/>
    </row>
    <row r="47" spans="1:10" ht="15.75" x14ac:dyDescent="0.25">
      <c r="A47" s="27" t="s">
        <v>65</v>
      </c>
      <c r="B47" s="159" t="s">
        <v>53</v>
      </c>
      <c r="C47" s="32">
        <v>51259266</v>
      </c>
      <c r="D47" s="159" t="s">
        <v>54</v>
      </c>
      <c r="E47" s="159">
        <v>1200</v>
      </c>
      <c r="F47" s="21">
        <v>928.77670000000001</v>
      </c>
      <c r="G47" s="21">
        <v>932.85</v>
      </c>
      <c r="H47" s="33">
        <f>(G47-F47)*E47</f>
        <v>4887.960000000021</v>
      </c>
      <c r="I47" s="43"/>
      <c r="J47" s="20"/>
    </row>
    <row r="48" spans="1:10" ht="15.75" x14ac:dyDescent="0.25">
      <c r="A48" s="27" t="s">
        <v>66</v>
      </c>
      <c r="B48" s="159" t="s">
        <v>53</v>
      </c>
      <c r="C48" s="32">
        <v>51431336</v>
      </c>
      <c r="D48" s="159" t="s">
        <v>54</v>
      </c>
      <c r="E48" s="159">
        <v>1200</v>
      </c>
      <c r="F48" s="21">
        <v>52.776299999999999</v>
      </c>
      <c r="G48" s="21">
        <v>53.0852</v>
      </c>
      <c r="H48" s="33">
        <f>(G48-F48)*E48</f>
        <v>370.68000000000154</v>
      </c>
      <c r="I48" s="43"/>
      <c r="J48" s="20"/>
    </row>
    <row r="49" spans="1:10" ht="15.75" x14ac:dyDescent="0.25">
      <c r="A49" s="15" t="s">
        <v>67</v>
      </c>
      <c r="B49" s="159" t="s">
        <v>68</v>
      </c>
      <c r="C49" s="159">
        <v>49174</v>
      </c>
      <c r="D49" s="160" t="s">
        <v>54</v>
      </c>
      <c r="E49" s="159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17728.400000000056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59" t="s">
        <v>53</v>
      </c>
      <c r="C52" s="159">
        <v>51097603</v>
      </c>
      <c r="D52" s="160" t="s">
        <v>54</v>
      </c>
      <c r="E52" s="159">
        <v>7000</v>
      </c>
      <c r="F52" s="17">
        <v>1838.89</v>
      </c>
      <c r="G52" s="17">
        <v>1846.0675000000001</v>
      </c>
      <c r="H52" s="18">
        <f>(G52-F52)*E52</f>
        <v>50242.500000000065</v>
      </c>
      <c r="I52" s="43"/>
      <c r="J52" s="20"/>
    </row>
    <row r="53" spans="1:10" ht="15.75" x14ac:dyDescent="0.25">
      <c r="A53" s="27" t="s">
        <v>73</v>
      </c>
      <c r="B53" s="159" t="s">
        <v>53</v>
      </c>
      <c r="C53" s="159">
        <v>51097590</v>
      </c>
      <c r="D53" s="160" t="s">
        <v>54</v>
      </c>
      <c r="E53" s="159">
        <v>7000</v>
      </c>
      <c r="F53" s="21">
        <v>11.6614</v>
      </c>
      <c r="G53" s="21">
        <v>11.733700000000001</v>
      </c>
      <c r="H53" s="18">
        <f>(G53-F53)*E53</f>
        <v>506.10000000000178</v>
      </c>
      <c r="I53" s="43"/>
      <c r="J53" s="20"/>
    </row>
    <row r="54" spans="1:10" ht="15.75" x14ac:dyDescent="0.25">
      <c r="A54" s="15" t="s">
        <v>67</v>
      </c>
      <c r="B54" s="159" t="s">
        <v>68</v>
      </c>
      <c r="C54" s="159">
        <v>49174</v>
      </c>
      <c r="D54" s="160" t="s">
        <v>54</v>
      </c>
      <c r="E54" s="159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59"/>
      <c r="D55" s="160"/>
      <c r="E55" s="159"/>
      <c r="F55" s="21"/>
      <c r="G55" s="21"/>
      <c r="H55" s="48">
        <f>H52+H53+H54</f>
        <v>50848.600000000064</v>
      </c>
      <c r="I55" s="47"/>
      <c r="J55" s="59"/>
    </row>
    <row r="56" spans="1:10" ht="15.75" x14ac:dyDescent="0.25">
      <c r="A56" s="27" t="s">
        <v>75</v>
      </c>
      <c r="B56" s="159" t="s">
        <v>53</v>
      </c>
      <c r="C56" s="159">
        <v>51100980</v>
      </c>
      <c r="D56" s="159" t="s">
        <v>76</v>
      </c>
      <c r="E56" s="159">
        <v>12000</v>
      </c>
      <c r="F56" s="21">
        <v>1081.8983000000001</v>
      </c>
      <c r="G56" s="21">
        <v>1086.1328000000001</v>
      </c>
      <c r="H56" s="18">
        <f>(G56-F56)*E56</f>
        <v>50814.000000000306</v>
      </c>
      <c r="I56" s="47"/>
      <c r="J56" s="58"/>
    </row>
    <row r="57" spans="1:10" ht="15.75" x14ac:dyDescent="0.25">
      <c r="A57" s="27" t="s">
        <v>77</v>
      </c>
      <c r="B57" s="159" t="s">
        <v>53</v>
      </c>
      <c r="C57" s="159">
        <v>51097623</v>
      </c>
      <c r="D57" s="159" t="s">
        <v>76</v>
      </c>
      <c r="E57" s="159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59"/>
      <c r="C58" s="159"/>
      <c r="D58" s="159"/>
      <c r="E58" s="159"/>
      <c r="F58" s="21"/>
      <c r="G58" s="21"/>
      <c r="H58" s="48">
        <f>H56+H57</f>
        <v>50814.000000000306</v>
      </c>
      <c r="I58" s="61">
        <f>H55-H65-H54</f>
        <v>-146.51999999924737</v>
      </c>
      <c r="J58" s="25">
        <f>I58/H58</f>
        <v>-2.8834573148983841E-3</v>
      </c>
    </row>
    <row r="59" spans="1:10" ht="15.75" x14ac:dyDescent="0.25">
      <c r="A59" s="27" t="s">
        <v>79</v>
      </c>
      <c r="B59" s="159" t="s">
        <v>53</v>
      </c>
      <c r="C59" s="159">
        <v>51097675</v>
      </c>
      <c r="D59" s="159" t="s">
        <v>35</v>
      </c>
      <c r="E59" s="159">
        <v>4800</v>
      </c>
      <c r="F59" s="21">
        <v>467.8032</v>
      </c>
      <c r="G59" s="21">
        <v>471.08409999999998</v>
      </c>
      <c r="H59" s="18">
        <f t="shared" ref="H59:H64" si="2">(G59-F59)*E59</f>
        <v>15748.319999999876</v>
      </c>
      <c r="I59" s="62"/>
      <c r="J59" s="59"/>
    </row>
    <row r="60" spans="1:10" ht="15.75" x14ac:dyDescent="0.25">
      <c r="A60" s="27" t="s">
        <v>80</v>
      </c>
      <c r="B60" s="159" t="s">
        <v>53</v>
      </c>
      <c r="C60" s="159">
        <v>51100997</v>
      </c>
      <c r="D60" s="159" t="s">
        <v>22</v>
      </c>
      <c r="E60" s="159">
        <v>3600</v>
      </c>
      <c r="F60" s="21">
        <v>1326.6415999999999</v>
      </c>
      <c r="G60" s="21">
        <v>1329.7022999999999</v>
      </c>
      <c r="H60" s="18">
        <f t="shared" si="2"/>
        <v>11018.51999999999</v>
      </c>
      <c r="I60" s="62"/>
      <c r="J60" s="59"/>
    </row>
    <row r="61" spans="1:10" ht="15.75" x14ac:dyDescent="0.25">
      <c r="A61" s="27" t="s">
        <v>81</v>
      </c>
      <c r="B61" s="159" t="s">
        <v>53</v>
      </c>
      <c r="C61" s="159">
        <v>51555218</v>
      </c>
      <c r="D61" s="159">
        <f>400/5</f>
        <v>80</v>
      </c>
      <c r="E61" s="159">
        <v>4800</v>
      </c>
      <c r="F61" s="21">
        <v>57.2059</v>
      </c>
      <c r="G61" s="21">
        <v>57.730699999999999</v>
      </c>
      <c r="H61" s="18">
        <f t="shared" si="2"/>
        <v>2519.0399999999954</v>
      </c>
      <c r="I61" s="62"/>
      <c r="J61" s="59"/>
    </row>
    <row r="62" spans="1:10" ht="15.75" x14ac:dyDescent="0.25">
      <c r="A62" s="27" t="s">
        <v>82</v>
      </c>
      <c r="B62" s="159" t="s">
        <v>53</v>
      </c>
      <c r="C62" s="159">
        <v>51555151</v>
      </c>
      <c r="D62" s="159">
        <f>400/5</f>
        <v>80</v>
      </c>
      <c r="E62" s="159">
        <v>4800</v>
      </c>
      <c r="F62" s="63">
        <v>0.30659999999999998</v>
      </c>
      <c r="G62" s="63">
        <v>0.30659999999999998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59" t="s">
        <v>53</v>
      </c>
      <c r="C63" s="159">
        <v>51097599</v>
      </c>
      <c r="D63" s="159" t="s">
        <v>22</v>
      </c>
      <c r="E63" s="159">
        <v>3600</v>
      </c>
      <c r="F63" s="21">
        <v>930.76750000000004</v>
      </c>
      <c r="G63" s="21">
        <v>933.18859999999995</v>
      </c>
      <c r="H63" s="18">
        <f t="shared" si="2"/>
        <v>8715.9599999996772</v>
      </c>
      <c r="I63" s="62"/>
      <c r="J63" s="59"/>
    </row>
    <row r="64" spans="1:10" ht="15.75" x14ac:dyDescent="0.25">
      <c r="A64" s="27" t="s">
        <v>84</v>
      </c>
      <c r="B64" s="159" t="s">
        <v>53</v>
      </c>
      <c r="C64" s="159">
        <v>51097620</v>
      </c>
      <c r="D64" s="159" t="s">
        <v>35</v>
      </c>
      <c r="E64" s="159">
        <v>4800</v>
      </c>
      <c r="F64" s="21">
        <v>475.93310000000002</v>
      </c>
      <c r="G64" s="21">
        <v>478.61919999999998</v>
      </c>
      <c r="H64" s="18">
        <f t="shared" si="2"/>
        <v>12893.279999999777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50895.119999999311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59" t="s">
        <v>53</v>
      </c>
      <c r="C67" s="9">
        <v>51259238</v>
      </c>
      <c r="D67" s="74" t="s">
        <v>54</v>
      </c>
      <c r="E67" s="74">
        <v>7000</v>
      </c>
      <c r="F67" s="75">
        <v>517.41890000000001</v>
      </c>
      <c r="G67" s="75">
        <v>520.36329999999998</v>
      </c>
      <c r="H67" s="76">
        <f>(G67-F67)*E67</f>
        <v>20610.799999999814</v>
      </c>
      <c r="I67" s="77"/>
      <c r="J67" s="78"/>
    </row>
    <row r="68" spans="1:10" ht="15.75" x14ac:dyDescent="0.25">
      <c r="A68" s="27" t="s">
        <v>87</v>
      </c>
      <c r="B68" s="159" t="s">
        <v>53</v>
      </c>
      <c r="C68" s="159">
        <v>51259324</v>
      </c>
      <c r="D68" s="160" t="s">
        <v>54</v>
      </c>
      <c r="E68" s="160">
        <v>7000</v>
      </c>
      <c r="F68" s="21">
        <v>403.56509999999997</v>
      </c>
      <c r="G68" s="21">
        <v>405.69409999999999</v>
      </c>
      <c r="H68" s="18">
        <f>(G68-F68)*E68</f>
        <v>14903.000000000135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59">
        <v>51491618</v>
      </c>
      <c r="D69" s="160" t="s">
        <v>64</v>
      </c>
      <c r="E69" s="159">
        <v>40</v>
      </c>
      <c r="F69" s="28">
        <v>1095.9155000000001</v>
      </c>
      <c r="G69" s="28">
        <v>1107.6980000000001</v>
      </c>
      <c r="H69" s="18">
        <f>(G69-F69)*E69</f>
        <v>471.30000000000109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59">
        <v>51491624</v>
      </c>
      <c r="D70" s="160" t="s">
        <v>64</v>
      </c>
      <c r="E70" s="159">
        <v>40</v>
      </c>
      <c r="F70" s="28">
        <v>160.869</v>
      </c>
      <c r="G70" s="28">
        <v>161.6635</v>
      </c>
      <c r="H70" s="18">
        <f>(G70-F70)*E70</f>
        <v>31.779999999999973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35513.799999999945</v>
      </c>
      <c r="I71" s="85">
        <f>H71-H74-H69-H70</f>
        <v>-757.67999999952667</v>
      </c>
      <c r="J71" s="25">
        <f>I71/H71</f>
        <v>-2.1334805061681034E-2</v>
      </c>
    </row>
    <row r="72" spans="1:10" ht="15.75" x14ac:dyDescent="0.25">
      <c r="A72" s="27" t="s">
        <v>92</v>
      </c>
      <c r="B72" s="159" t="s">
        <v>53</v>
      </c>
      <c r="C72" s="86">
        <v>51097588</v>
      </c>
      <c r="D72" s="160" t="s">
        <v>76</v>
      </c>
      <c r="E72" s="159">
        <v>12000</v>
      </c>
      <c r="F72" s="21">
        <v>311.22460000000001</v>
      </c>
      <c r="G72" s="21">
        <v>312.91539999999998</v>
      </c>
      <c r="H72" s="18">
        <f>(G72-F72)*E72</f>
        <v>20289.599999999609</v>
      </c>
      <c r="I72" s="51"/>
      <c r="J72" s="58"/>
    </row>
    <row r="73" spans="1:10" ht="15.75" x14ac:dyDescent="0.25">
      <c r="A73" s="27" t="s">
        <v>93</v>
      </c>
      <c r="B73" s="159" t="s">
        <v>53</v>
      </c>
      <c r="C73" s="86">
        <v>51431335</v>
      </c>
      <c r="D73" s="160" t="s">
        <v>76</v>
      </c>
      <c r="E73" s="159">
        <v>12000</v>
      </c>
      <c r="F73" s="21">
        <v>247.20500000000001</v>
      </c>
      <c r="G73" s="21">
        <v>248.4949</v>
      </c>
      <c r="H73" s="18">
        <f>(G73-F73)*E73</f>
        <v>15478.799999999865</v>
      </c>
      <c r="I73" s="51"/>
      <c r="J73" s="58"/>
    </row>
    <row r="74" spans="1:10" ht="15.75" x14ac:dyDescent="0.25">
      <c r="A74" s="87" t="s">
        <v>94</v>
      </c>
      <c r="B74" s="159" t="s">
        <v>28</v>
      </c>
      <c r="C74" s="159"/>
      <c r="D74" s="160"/>
      <c r="E74" s="159"/>
      <c r="F74" s="21"/>
      <c r="G74" s="21"/>
      <c r="H74" s="48">
        <f>H72+ H73</f>
        <v>35768.39999999947</v>
      </c>
      <c r="I74" s="85">
        <f>H74-H82</f>
        <v>-88.50000000007276</v>
      </c>
      <c r="J74" s="25">
        <f>I74/H74</f>
        <v>-2.4742510148643513E-3</v>
      </c>
    </row>
    <row r="75" spans="1:10" ht="15.75" x14ac:dyDescent="0.25">
      <c r="A75" s="27" t="s">
        <v>95</v>
      </c>
      <c r="B75" s="159" t="s">
        <v>53</v>
      </c>
      <c r="C75" s="86">
        <v>51097676</v>
      </c>
      <c r="D75" s="88" t="s">
        <v>64</v>
      </c>
      <c r="E75" s="159">
        <v>2400</v>
      </c>
      <c r="F75" s="21">
        <v>649.57870000000003</v>
      </c>
      <c r="G75" s="21">
        <v>653.43610000000001</v>
      </c>
      <c r="H75" s="18">
        <f>(G75-F75)*E75</f>
        <v>9257.759999999962</v>
      </c>
      <c r="I75" s="51"/>
      <c r="J75" s="58"/>
    </row>
    <row r="76" spans="1:10" ht="15.75" x14ac:dyDescent="0.25">
      <c r="A76" s="27" t="s">
        <v>96</v>
      </c>
      <c r="B76" s="159" t="s">
        <v>53</v>
      </c>
      <c r="C76" s="86">
        <v>51431355</v>
      </c>
      <c r="D76" s="160" t="s">
        <v>22</v>
      </c>
      <c r="E76" s="160">
        <v>3600</v>
      </c>
      <c r="F76" s="21">
        <v>345.94240000000002</v>
      </c>
      <c r="G76" s="21">
        <v>347.39260000000002</v>
      </c>
      <c r="H76" s="18">
        <f>(G76-F76)*E76</f>
        <v>5220.719999999983</v>
      </c>
      <c r="I76" s="51"/>
      <c r="J76" s="52"/>
    </row>
    <row r="77" spans="1:10" ht="15.75" x14ac:dyDescent="0.25">
      <c r="A77" s="27" t="s">
        <v>97</v>
      </c>
      <c r="B77" s="159" t="s">
        <v>53</v>
      </c>
      <c r="C77" s="86">
        <v>51259331</v>
      </c>
      <c r="D77" s="88" t="s">
        <v>38</v>
      </c>
      <c r="E77" s="159">
        <v>600</v>
      </c>
      <c r="F77" s="21">
        <v>152.434</v>
      </c>
      <c r="G77" s="21">
        <v>153.3895</v>
      </c>
      <c r="H77" s="18">
        <f>(G77-F77)*E77</f>
        <v>573.30000000000041</v>
      </c>
      <c r="I77" s="51"/>
      <c r="J77" s="52"/>
    </row>
    <row r="78" spans="1:10" ht="15.75" x14ac:dyDescent="0.25">
      <c r="A78" s="27" t="s">
        <v>98</v>
      </c>
      <c r="B78" s="159" t="s">
        <v>53</v>
      </c>
      <c r="C78" s="86">
        <v>51259326</v>
      </c>
      <c r="D78" s="88" t="s">
        <v>15</v>
      </c>
      <c r="E78" s="159">
        <v>7200</v>
      </c>
      <c r="F78" s="21">
        <v>310.68290000000002</v>
      </c>
      <c r="G78" s="21">
        <v>312.22629999999998</v>
      </c>
      <c r="H78" s="18">
        <f>(G78-F78)*E78</f>
        <v>11112.479999999732</v>
      </c>
      <c r="I78" s="51"/>
      <c r="J78" s="52"/>
    </row>
    <row r="79" spans="1:10" ht="15.75" x14ac:dyDescent="0.25">
      <c r="A79" s="27" t="s">
        <v>99</v>
      </c>
      <c r="B79" s="159" t="s">
        <v>53</v>
      </c>
      <c r="C79" s="86">
        <v>51431351</v>
      </c>
      <c r="D79" s="88" t="s">
        <v>15</v>
      </c>
      <c r="E79" s="159">
        <v>7200</v>
      </c>
      <c r="F79" s="21">
        <v>219.57730000000001</v>
      </c>
      <c r="G79" s="21">
        <v>220.92349999999999</v>
      </c>
      <c r="H79" s="18">
        <f>(G79-F79)*E79</f>
        <v>9692.6399999998685</v>
      </c>
      <c r="I79" s="51"/>
      <c r="J79" s="52"/>
    </row>
    <row r="80" spans="1:10" ht="15.75" x14ac:dyDescent="0.25">
      <c r="A80" s="89" t="s">
        <v>100</v>
      </c>
      <c r="B80" s="159" t="s">
        <v>53</v>
      </c>
      <c r="C80" s="90">
        <v>51097666</v>
      </c>
      <c r="D80" s="88" t="s">
        <v>64</v>
      </c>
      <c r="E80" s="159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59" t="s">
        <v>53</v>
      </c>
      <c r="C81" s="90">
        <v>51259323</v>
      </c>
      <c r="D81" s="88" t="s">
        <v>64</v>
      </c>
      <c r="E81" s="159">
        <v>2400</v>
      </c>
      <c r="F81" s="31">
        <v>7.6399999999999996E-2</v>
      </c>
      <c r="G81" s="31">
        <v>7.6399999999999996E-2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35856.899999999543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59" t="s">
        <v>53</v>
      </c>
      <c r="C84" s="106">
        <v>51431297</v>
      </c>
      <c r="D84" s="160" t="s">
        <v>54</v>
      </c>
      <c r="E84" s="100">
        <v>7000</v>
      </c>
      <c r="F84" s="17">
        <v>251.99549999999999</v>
      </c>
      <c r="G84" s="17">
        <v>253.05080000000001</v>
      </c>
      <c r="H84" s="18">
        <f>(G84-F84)*E84</f>
        <v>7387.1000000001177</v>
      </c>
      <c r="I84" s="107"/>
      <c r="J84" s="108"/>
    </row>
    <row r="85" spans="1:10" ht="15.75" x14ac:dyDescent="0.25">
      <c r="A85" s="105" t="s">
        <v>87</v>
      </c>
      <c r="B85" s="159" t="s">
        <v>53</v>
      </c>
      <c r="C85" s="106">
        <v>51431332</v>
      </c>
      <c r="D85" s="160" t="s">
        <v>54</v>
      </c>
      <c r="E85" s="100">
        <v>7000</v>
      </c>
      <c r="F85" s="21">
        <v>345.95240000000001</v>
      </c>
      <c r="G85" s="21">
        <v>347.55990000000003</v>
      </c>
      <c r="H85" s="18">
        <f>(G85-F85)*E85</f>
        <v>11252.500000000111</v>
      </c>
      <c r="I85" s="159"/>
      <c r="J85" s="58"/>
    </row>
    <row r="86" spans="1:10" ht="15.75" x14ac:dyDescent="0.25">
      <c r="A86" s="27" t="s">
        <v>88</v>
      </c>
      <c r="B86" s="159" t="s">
        <v>104</v>
      </c>
      <c r="C86" s="109">
        <v>150773</v>
      </c>
      <c r="D86" s="160" t="s">
        <v>54</v>
      </c>
      <c r="E86" s="109">
        <v>20</v>
      </c>
      <c r="F86" s="17">
        <v>15559.2</v>
      </c>
      <c r="G86" s="17">
        <v>15566.8</v>
      </c>
      <c r="H86" s="18">
        <f>(G86-F86)*E86</f>
        <v>151.9999999999709</v>
      </c>
      <c r="I86" s="51"/>
      <c r="J86" s="58"/>
    </row>
    <row r="87" spans="1:10" ht="15.75" x14ac:dyDescent="0.25">
      <c r="A87" s="27" t="s">
        <v>90</v>
      </c>
      <c r="B87" s="159" t="s">
        <v>104</v>
      </c>
      <c r="C87" s="109">
        <v>150791</v>
      </c>
      <c r="D87" s="160" t="s">
        <v>54</v>
      </c>
      <c r="E87" s="109">
        <v>20</v>
      </c>
      <c r="F87" s="21">
        <v>231.7</v>
      </c>
      <c r="G87" s="21">
        <v>231.7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61"/>
      <c r="C88" s="32"/>
      <c r="D88" s="82"/>
      <c r="E88" s="82"/>
      <c r="F88" s="21"/>
      <c r="G88" s="21"/>
      <c r="H88" s="48">
        <f>H84+H85</f>
        <v>18639.600000000228</v>
      </c>
      <c r="I88" s="85">
        <f>H88-H91-H86-H87</f>
        <v>393.52000000013504</v>
      </c>
      <c r="J88" s="25">
        <f>I88/H88</f>
        <v>2.1112041030930399E-2</v>
      </c>
    </row>
    <row r="89" spans="1:10" ht="15.75" x14ac:dyDescent="0.25">
      <c r="A89" s="27" t="s">
        <v>105</v>
      </c>
      <c r="B89" s="159" t="s">
        <v>53</v>
      </c>
      <c r="C89" s="106">
        <v>51431342</v>
      </c>
      <c r="D89" s="88" t="s">
        <v>35</v>
      </c>
      <c r="E89" s="159">
        <v>4800</v>
      </c>
      <c r="F89" s="21">
        <v>357.23869999999999</v>
      </c>
      <c r="G89" s="21">
        <v>358.74639999999999</v>
      </c>
      <c r="H89" s="18">
        <f>(G89-F89)*E89</f>
        <v>7236.9599999999991</v>
      </c>
      <c r="I89" s="51"/>
      <c r="J89" s="52"/>
    </row>
    <row r="90" spans="1:10" ht="15.75" x14ac:dyDescent="0.25">
      <c r="A90" s="27" t="s">
        <v>106</v>
      </c>
      <c r="B90" s="159" t="s">
        <v>53</v>
      </c>
      <c r="C90" s="106">
        <v>51431343</v>
      </c>
      <c r="D90" s="88" t="s">
        <v>35</v>
      </c>
      <c r="E90" s="159">
        <v>4800</v>
      </c>
      <c r="F90" s="21">
        <v>489.30509999999998</v>
      </c>
      <c r="G90" s="21">
        <v>491.56700000000001</v>
      </c>
      <c r="H90" s="18">
        <f>(G90-F90)*E90</f>
        <v>10857.120000000123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18094.080000000122</v>
      </c>
      <c r="I91" s="85">
        <f>H91-H99</f>
        <v>-136.93999999992593</v>
      </c>
      <c r="J91" s="25">
        <f>I91/H91</f>
        <v>-7.5682212082584478E-3</v>
      </c>
    </row>
    <row r="92" spans="1:10" ht="15.75" x14ac:dyDescent="0.25">
      <c r="A92" s="27" t="s">
        <v>108</v>
      </c>
      <c r="B92" s="159" t="s">
        <v>53</v>
      </c>
      <c r="C92" s="106">
        <v>51431347</v>
      </c>
      <c r="D92" s="160" t="s">
        <v>54</v>
      </c>
      <c r="E92" s="159">
        <v>1200</v>
      </c>
      <c r="F92" s="21">
        <v>1150.2407000000001</v>
      </c>
      <c r="G92" s="21">
        <v>1158.7252000000001</v>
      </c>
      <c r="H92" s="18">
        <f t="shared" ref="H92:H100" si="4">(G92-F92)*E92</f>
        <v>10181.400000000031</v>
      </c>
      <c r="I92" s="51"/>
      <c r="J92" s="52"/>
    </row>
    <row r="93" spans="1:10" ht="15.75" x14ac:dyDescent="0.25">
      <c r="A93" s="27" t="s">
        <v>109</v>
      </c>
      <c r="B93" s="159" t="s">
        <v>53</v>
      </c>
      <c r="C93" s="106">
        <v>51431339</v>
      </c>
      <c r="D93" s="160" t="s">
        <v>54</v>
      </c>
      <c r="E93" s="159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59" t="s">
        <v>53</v>
      </c>
      <c r="C94" s="106">
        <v>51217244</v>
      </c>
      <c r="D94" s="159" t="s">
        <v>38</v>
      </c>
      <c r="E94" s="159">
        <v>600</v>
      </c>
      <c r="F94" s="30">
        <v>311.47980000000001</v>
      </c>
      <c r="G94" s="30">
        <v>312.50909999999999</v>
      </c>
      <c r="H94" s="18">
        <f t="shared" si="4"/>
        <v>617.57999999998674</v>
      </c>
      <c r="I94" s="51"/>
      <c r="J94" s="52"/>
    </row>
    <row r="95" spans="1:10" ht="15.75" x14ac:dyDescent="0.25">
      <c r="A95" s="27" t="s">
        <v>111</v>
      </c>
      <c r="B95" s="159" t="s">
        <v>53</v>
      </c>
      <c r="C95" s="106">
        <v>51217267</v>
      </c>
      <c r="D95" s="88" t="s">
        <v>64</v>
      </c>
      <c r="E95" s="159">
        <v>2400</v>
      </c>
      <c r="F95" s="30">
        <v>19.824200000000001</v>
      </c>
      <c r="G95" s="30">
        <v>19.856000000000002</v>
      </c>
      <c r="H95" s="18">
        <f t="shared" si="4"/>
        <v>76.320000000001187</v>
      </c>
      <c r="I95" s="51"/>
      <c r="J95" s="52"/>
    </row>
    <row r="96" spans="1:10" ht="15.75" x14ac:dyDescent="0.25">
      <c r="A96" s="27" t="s">
        <v>112</v>
      </c>
      <c r="B96" s="159" t="s">
        <v>53</v>
      </c>
      <c r="C96" s="159">
        <v>51555165</v>
      </c>
      <c r="D96" s="160" t="s">
        <v>54</v>
      </c>
      <c r="E96" s="159">
        <v>1200</v>
      </c>
      <c r="F96" s="30">
        <v>771.62789999999995</v>
      </c>
      <c r="G96" s="30">
        <v>771.62789999999995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59" t="s">
        <v>53</v>
      </c>
      <c r="C97" s="106">
        <v>51431346</v>
      </c>
      <c r="D97" s="114" t="s">
        <v>38</v>
      </c>
      <c r="E97" s="114">
        <v>600</v>
      </c>
      <c r="F97" s="30">
        <v>329.60879999999997</v>
      </c>
      <c r="G97" s="30">
        <v>331.5752</v>
      </c>
      <c r="H97" s="115">
        <f t="shared" si="4"/>
        <v>1179.8400000000129</v>
      </c>
      <c r="I97" s="116"/>
      <c r="J97" s="117"/>
    </row>
    <row r="98" spans="1:10" ht="15.75" x14ac:dyDescent="0.25">
      <c r="A98" s="27" t="s">
        <v>114</v>
      </c>
      <c r="B98" s="159" t="s">
        <v>53</v>
      </c>
      <c r="C98" s="106">
        <v>51431352</v>
      </c>
      <c r="D98" s="88" t="s">
        <v>22</v>
      </c>
      <c r="E98" s="159">
        <v>3600</v>
      </c>
      <c r="F98" s="21">
        <v>204.76089999999999</v>
      </c>
      <c r="G98" s="21">
        <v>206.4342</v>
      </c>
      <c r="H98" s="18">
        <f t="shared" si="4"/>
        <v>6023.8800000000429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18231.020000000048</v>
      </c>
      <c r="I99" s="51"/>
      <c r="J99" s="52"/>
    </row>
    <row r="100" spans="1:10" ht="15.75" x14ac:dyDescent="0.25">
      <c r="A100" s="45" t="s">
        <v>115</v>
      </c>
      <c r="B100" s="159" t="s">
        <v>53</v>
      </c>
      <c r="C100" s="120">
        <v>51431357</v>
      </c>
      <c r="D100" s="160" t="s">
        <v>64</v>
      </c>
      <c r="E100" s="160">
        <v>14000</v>
      </c>
      <c r="F100" s="28">
        <v>790.34209999999996</v>
      </c>
      <c r="G100" s="28"/>
      <c r="H100" s="121">
        <f t="shared" si="4"/>
        <v>-11064789.399999999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F61"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130</v>
      </c>
      <c r="G3" s="4" t="s">
        <v>131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62" t="s">
        <v>14</v>
      </c>
      <c r="C5" s="162">
        <v>51555166</v>
      </c>
      <c r="D5" s="162" t="s">
        <v>15</v>
      </c>
      <c r="E5" s="162">
        <v>132000</v>
      </c>
      <c r="F5" s="17">
        <v>2.9765000000000001</v>
      </c>
      <c r="G5" s="17">
        <v>2.9887999999999999</v>
      </c>
      <c r="H5" s="18">
        <f>(G5-F5)*E5</f>
        <v>1623.5999999999676</v>
      </c>
      <c r="I5" s="19"/>
      <c r="J5" s="20"/>
    </row>
    <row r="6" spans="1:10" ht="15.75" x14ac:dyDescent="0.25">
      <c r="A6" s="15" t="s">
        <v>16</v>
      </c>
      <c r="B6" s="162" t="s">
        <v>14</v>
      </c>
      <c r="C6" s="162">
        <v>51555191</v>
      </c>
      <c r="D6" s="162" t="s">
        <v>15</v>
      </c>
      <c r="E6" s="162">
        <v>132000</v>
      </c>
      <c r="F6" s="21">
        <v>344.3974</v>
      </c>
      <c r="G6" s="21">
        <v>346.36470000000003</v>
      </c>
      <c r="H6" s="18">
        <f>(G6-F6)*E6</f>
        <v>259683.60000000303</v>
      </c>
      <c r="I6" s="19"/>
      <c r="J6" s="20"/>
    </row>
    <row r="7" spans="1:10" ht="15.75" x14ac:dyDescent="0.25">
      <c r="A7" s="207" t="s">
        <v>17</v>
      </c>
      <c r="B7" s="208"/>
      <c r="C7" s="162"/>
      <c r="D7" s="163"/>
      <c r="E7" s="162"/>
      <c r="H7" s="23">
        <f>H5+H6</f>
        <v>261307.20000000301</v>
      </c>
      <c r="I7" s="24">
        <f>H7-H10-H20</f>
        <v>1928.9999999982974</v>
      </c>
      <c r="J7" s="25">
        <f>I7/H7</f>
        <v>7.3821157625900673E-3</v>
      </c>
    </row>
    <row r="8" spans="1:10" ht="15.75" x14ac:dyDescent="0.25">
      <c r="A8" s="26" t="s">
        <v>18</v>
      </c>
      <c r="B8" s="162" t="s">
        <v>14</v>
      </c>
      <c r="C8" s="162">
        <v>51097629</v>
      </c>
      <c r="D8" s="163" t="s">
        <v>15</v>
      </c>
      <c r="E8" s="162">
        <v>42000</v>
      </c>
      <c r="F8" s="21">
        <v>1042.1217999999999</v>
      </c>
      <c r="G8" s="21">
        <v>1046.4693</v>
      </c>
      <c r="H8" s="18">
        <f>(G8-F8)*E8</f>
        <v>182595.00000000343</v>
      </c>
      <c r="I8" s="19"/>
      <c r="J8" s="20"/>
    </row>
    <row r="9" spans="1:10" ht="15.75" x14ac:dyDescent="0.25">
      <c r="A9" s="26" t="s">
        <v>19</v>
      </c>
      <c r="B9" s="162" t="s">
        <v>14</v>
      </c>
      <c r="C9" s="162">
        <v>51616820</v>
      </c>
      <c r="D9" s="163" t="s">
        <v>15</v>
      </c>
      <c r="E9" s="162">
        <v>42000</v>
      </c>
      <c r="F9" s="21">
        <v>5.1075999999999997</v>
      </c>
      <c r="G9" s="21">
        <v>5.1329000000000002</v>
      </c>
      <c r="H9" s="18">
        <f>(G9-F9)*E9</f>
        <v>1062.6000000000229</v>
      </c>
      <c r="I9" s="19"/>
      <c r="J9" s="20"/>
    </row>
    <row r="10" spans="1:10" ht="15.75" x14ac:dyDescent="0.25">
      <c r="A10" s="207" t="s">
        <v>20</v>
      </c>
      <c r="B10" s="208"/>
      <c r="C10" s="162"/>
      <c r="D10" s="163"/>
      <c r="E10" s="162"/>
      <c r="F10" s="21"/>
      <c r="G10" s="21"/>
      <c r="H10" s="23">
        <f>H8+H9</f>
        <v>183657.60000000347</v>
      </c>
      <c r="I10" s="24">
        <f>H10-H17</f>
        <v>23.100000001024455</v>
      </c>
      <c r="J10" s="25">
        <f>I10/H10</f>
        <v>1.2577753385116663E-4</v>
      </c>
    </row>
    <row r="11" spans="1:10" ht="15.75" x14ac:dyDescent="0.25">
      <c r="A11" s="27" t="s">
        <v>21</v>
      </c>
      <c r="B11" s="162" t="s">
        <v>14</v>
      </c>
      <c r="C11" s="162">
        <v>51217286</v>
      </c>
      <c r="D11" s="163" t="s">
        <v>22</v>
      </c>
      <c r="E11" s="162">
        <v>21000</v>
      </c>
      <c r="F11" s="21">
        <v>824.96529999999996</v>
      </c>
      <c r="G11" s="21">
        <v>828.17280000000005</v>
      </c>
      <c r="H11" s="18">
        <f t="shared" ref="H11:H16" si="0">(G11-F11)*E11</f>
        <v>67357.500000002008</v>
      </c>
      <c r="I11" s="19"/>
      <c r="J11" s="20"/>
    </row>
    <row r="12" spans="1:10" ht="15.75" x14ac:dyDescent="0.25">
      <c r="A12" s="27" t="s">
        <v>23</v>
      </c>
      <c r="B12" s="162" t="s">
        <v>14</v>
      </c>
      <c r="C12" s="162">
        <v>51217292</v>
      </c>
      <c r="D12" s="163" t="s">
        <v>22</v>
      </c>
      <c r="E12" s="162">
        <v>21000</v>
      </c>
      <c r="F12" s="28">
        <v>3.5802</v>
      </c>
      <c r="G12" s="28">
        <v>3.6061000000000001</v>
      </c>
      <c r="H12" s="18">
        <f>(G12-F12)*E12</f>
        <v>543.90000000000077</v>
      </c>
      <c r="I12" s="19"/>
      <c r="J12" s="20"/>
    </row>
    <row r="13" spans="1:10" ht="15.75" x14ac:dyDescent="0.25">
      <c r="A13" s="27" t="s">
        <v>24</v>
      </c>
      <c r="B13" s="162" t="s">
        <v>14</v>
      </c>
      <c r="C13" s="162">
        <v>51217271</v>
      </c>
      <c r="D13" s="163" t="s">
        <v>22</v>
      </c>
      <c r="E13" s="162">
        <v>21000</v>
      </c>
      <c r="F13" s="21">
        <v>603.85479999999995</v>
      </c>
      <c r="G13" s="21">
        <v>606.40679999999998</v>
      </c>
      <c r="H13" s="18">
        <f t="shared" si="0"/>
        <v>53592.000000000437</v>
      </c>
      <c r="I13" s="19"/>
      <c r="J13" s="20"/>
    </row>
    <row r="14" spans="1:10" ht="15.75" x14ac:dyDescent="0.25">
      <c r="A14" s="27" t="s">
        <v>25</v>
      </c>
      <c r="B14" s="162" t="s">
        <v>14</v>
      </c>
      <c r="C14" s="162">
        <v>51217276</v>
      </c>
      <c r="D14" s="163" t="s">
        <v>22</v>
      </c>
      <c r="E14" s="162">
        <v>21000</v>
      </c>
      <c r="F14" s="28">
        <v>0.54390000000000005</v>
      </c>
      <c r="G14" s="28">
        <v>0.55330000000000001</v>
      </c>
      <c r="H14" s="18">
        <f>(G14-F14)*E14</f>
        <v>197.39999999999924</v>
      </c>
      <c r="I14" s="19"/>
      <c r="J14" s="20"/>
    </row>
    <row r="15" spans="1:10" ht="15.75" x14ac:dyDescent="0.25">
      <c r="A15" s="27" t="s">
        <v>26</v>
      </c>
      <c r="B15" s="162" t="s">
        <v>14</v>
      </c>
      <c r="C15" s="162">
        <v>51100990</v>
      </c>
      <c r="D15" s="163" t="s">
        <v>22</v>
      </c>
      <c r="E15" s="162">
        <v>21000</v>
      </c>
      <c r="F15" s="29">
        <v>661.12919999999997</v>
      </c>
      <c r="G15" s="29">
        <v>664.06669999999997</v>
      </c>
      <c r="H15" s="18">
        <f t="shared" si="0"/>
        <v>61687.5</v>
      </c>
      <c r="I15" s="19"/>
      <c r="J15" s="20"/>
    </row>
    <row r="16" spans="1:10" ht="15.75" x14ac:dyDescent="0.25">
      <c r="A16" s="27" t="s">
        <v>27</v>
      </c>
      <c r="B16" s="162" t="s">
        <v>14</v>
      </c>
      <c r="C16" s="162">
        <v>51097622</v>
      </c>
      <c r="D16" s="163" t="s">
        <v>22</v>
      </c>
      <c r="E16" s="162">
        <v>21000</v>
      </c>
      <c r="F16" s="21">
        <v>2.8980999999999999</v>
      </c>
      <c r="G16" s="21">
        <v>2.9102999999999999</v>
      </c>
      <c r="H16" s="18">
        <f t="shared" si="0"/>
        <v>256.19999999999976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62"/>
      <c r="D17" s="163"/>
      <c r="E17" s="162"/>
      <c r="F17" s="21"/>
      <c r="G17" s="21"/>
      <c r="H17" s="23">
        <f>H11+H12+H13+H14+H15+H16</f>
        <v>183634.50000000244</v>
      </c>
      <c r="I17" s="19"/>
      <c r="J17" s="20"/>
    </row>
    <row r="18" spans="1:10" ht="15.75" x14ac:dyDescent="0.25">
      <c r="A18" s="26" t="s">
        <v>30</v>
      </c>
      <c r="B18" s="162" t="s">
        <v>14</v>
      </c>
      <c r="C18" s="162">
        <v>51097617</v>
      </c>
      <c r="D18" s="163" t="s">
        <v>31</v>
      </c>
      <c r="E18" s="162">
        <v>18000</v>
      </c>
      <c r="F18" s="30">
        <v>798.53729999999996</v>
      </c>
      <c r="G18" s="30">
        <v>802.74400000000003</v>
      </c>
      <c r="H18" s="18">
        <f>(G18-F18)*E18</f>
        <v>75720.600000001243</v>
      </c>
      <c r="I18" s="19"/>
      <c r="J18" s="20"/>
    </row>
    <row r="19" spans="1:10" ht="15.75" x14ac:dyDescent="0.25">
      <c r="A19" s="26" t="s">
        <v>32</v>
      </c>
      <c r="B19" s="162" t="s">
        <v>14</v>
      </c>
      <c r="C19" s="162">
        <v>51097655</v>
      </c>
      <c r="D19" s="163" t="s">
        <v>31</v>
      </c>
      <c r="E19" s="162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62"/>
      <c r="D20" s="163"/>
      <c r="E20" s="162"/>
      <c r="F20" s="30"/>
      <c r="G20" s="30"/>
      <c r="H20" s="23">
        <f>H18+H19</f>
        <v>75720.600000001243</v>
      </c>
      <c r="I20" s="24">
        <f>H20-H35</f>
        <v>2597.2800000003044</v>
      </c>
      <c r="J20" s="25">
        <f>I20/H20</f>
        <v>3.4300837552796226E-2</v>
      </c>
    </row>
    <row r="21" spans="1:10" ht="15.75" x14ac:dyDescent="0.25">
      <c r="A21" s="15" t="s">
        <v>34</v>
      </c>
      <c r="B21" s="162" t="s">
        <v>14</v>
      </c>
      <c r="C21" s="162">
        <v>51217282</v>
      </c>
      <c r="D21" s="163" t="s">
        <v>35</v>
      </c>
      <c r="E21" s="162">
        <v>4800</v>
      </c>
      <c r="F21" s="21">
        <v>379.83609999999999</v>
      </c>
      <c r="G21" s="21">
        <v>379.88060000000002</v>
      </c>
      <c r="H21" s="18">
        <f t="shared" ref="H21:H34" si="1">(G21-F21)*E21</f>
        <v>213.60000000013315</v>
      </c>
      <c r="I21" s="19" t="s">
        <v>28</v>
      </c>
      <c r="J21" s="20"/>
    </row>
    <row r="22" spans="1:10" ht="15.75" x14ac:dyDescent="0.25">
      <c r="A22" s="15" t="s">
        <v>36</v>
      </c>
      <c r="B22" s="162" t="s">
        <v>14</v>
      </c>
      <c r="C22" s="162">
        <v>51217274</v>
      </c>
      <c r="D22" s="163" t="s">
        <v>35</v>
      </c>
      <c r="E22" s="162">
        <v>4800</v>
      </c>
      <c r="F22" s="21">
        <v>1251.7800999999999</v>
      </c>
      <c r="G22" s="21">
        <v>1257.8429000000001</v>
      </c>
      <c r="H22" s="18">
        <f t="shared" si="1"/>
        <v>29101.44000000073</v>
      </c>
      <c r="I22" s="19"/>
      <c r="J22" s="20"/>
    </row>
    <row r="23" spans="1:10" ht="15.75" x14ac:dyDescent="0.25">
      <c r="A23" s="15" t="s">
        <v>37</v>
      </c>
      <c r="B23" s="162" t="s">
        <v>14</v>
      </c>
      <c r="C23" s="162">
        <v>51097664</v>
      </c>
      <c r="D23" s="163" t="s">
        <v>38</v>
      </c>
      <c r="E23" s="162">
        <v>600</v>
      </c>
      <c r="F23" s="21">
        <v>4.4409999999999998</v>
      </c>
      <c r="G23" s="21">
        <v>4.4409999999999998</v>
      </c>
      <c r="H23" s="18">
        <f t="shared" si="1"/>
        <v>0</v>
      </c>
      <c r="I23" s="19"/>
      <c r="J23" s="20"/>
    </row>
    <row r="24" spans="1:10" ht="15.75" x14ac:dyDescent="0.25">
      <c r="A24" s="15" t="s">
        <v>39</v>
      </c>
      <c r="B24" s="162" t="s">
        <v>14</v>
      </c>
      <c r="C24" s="162">
        <v>51097615</v>
      </c>
      <c r="D24" s="163" t="s">
        <v>38</v>
      </c>
      <c r="E24" s="162">
        <v>600</v>
      </c>
      <c r="F24" s="21">
        <v>39.002800000000001</v>
      </c>
      <c r="G24" s="21">
        <v>39.385599999999997</v>
      </c>
      <c r="H24" s="18">
        <f t="shared" si="1"/>
        <v>229.67999999999762</v>
      </c>
      <c r="I24" s="19"/>
      <c r="J24" s="20"/>
    </row>
    <row r="25" spans="1:10" ht="15.75" x14ac:dyDescent="0.25">
      <c r="A25" s="15" t="s">
        <v>40</v>
      </c>
      <c r="B25" s="162" t="s">
        <v>14</v>
      </c>
      <c r="C25" s="162">
        <v>51217264</v>
      </c>
      <c r="D25" s="163" t="s">
        <v>38</v>
      </c>
      <c r="E25" s="162">
        <v>600</v>
      </c>
      <c r="F25" s="21">
        <v>92.968999999999994</v>
      </c>
      <c r="G25" s="21">
        <v>93.620500000000007</v>
      </c>
      <c r="H25" s="18">
        <f t="shared" si="1"/>
        <v>390.90000000000771</v>
      </c>
      <c r="I25" s="19"/>
      <c r="J25" s="20"/>
    </row>
    <row r="26" spans="1:10" ht="15.75" x14ac:dyDescent="0.25">
      <c r="A26" s="15" t="s">
        <v>41</v>
      </c>
      <c r="B26" s="162" t="s">
        <v>14</v>
      </c>
      <c r="C26" s="162">
        <v>51217288</v>
      </c>
      <c r="D26" s="163" t="s">
        <v>38</v>
      </c>
      <c r="E26" s="162">
        <v>600</v>
      </c>
      <c r="F26" s="21">
        <v>19.961400000000001</v>
      </c>
      <c r="G26" s="21">
        <v>19.9925</v>
      </c>
      <c r="H26" s="18">
        <f t="shared" si="1"/>
        <v>18.659999999999144</v>
      </c>
      <c r="I26" s="19" t="s">
        <v>28</v>
      </c>
      <c r="J26" s="20"/>
    </row>
    <row r="27" spans="1:10" ht="15.75" x14ac:dyDescent="0.25">
      <c r="A27" s="15" t="s">
        <v>42</v>
      </c>
      <c r="B27" s="162" t="s">
        <v>14</v>
      </c>
      <c r="C27" s="162">
        <v>51217279</v>
      </c>
      <c r="D27" s="163" t="s">
        <v>38</v>
      </c>
      <c r="E27" s="162">
        <v>600</v>
      </c>
      <c r="F27" s="21">
        <v>14.4024</v>
      </c>
      <c r="G27" s="21">
        <v>14.456799999999999</v>
      </c>
      <c r="H27" s="18">
        <f t="shared" si="1"/>
        <v>32.639999999999603</v>
      </c>
      <c r="I27" s="19" t="s">
        <v>28</v>
      </c>
      <c r="J27" s="20"/>
    </row>
    <row r="28" spans="1:10" ht="15.75" x14ac:dyDescent="0.25">
      <c r="A28" s="15" t="s">
        <v>43</v>
      </c>
      <c r="B28" s="162" t="s">
        <v>14</v>
      </c>
      <c r="C28" s="162">
        <v>51217272</v>
      </c>
      <c r="D28" s="163" t="s">
        <v>38</v>
      </c>
      <c r="E28" s="162">
        <v>600</v>
      </c>
      <c r="F28" s="31">
        <v>14.127599999999999</v>
      </c>
      <c r="G28" s="31">
        <v>14.180999999999999</v>
      </c>
      <c r="H28" s="18">
        <f t="shared" si="1"/>
        <v>32.039999999999935</v>
      </c>
      <c r="I28" s="19"/>
      <c r="J28" s="20"/>
    </row>
    <row r="29" spans="1:10" ht="15.75" x14ac:dyDescent="0.25">
      <c r="A29" s="15" t="s">
        <v>44</v>
      </c>
      <c r="B29" s="162" t="s">
        <v>14</v>
      </c>
      <c r="C29" s="162">
        <v>51616744</v>
      </c>
      <c r="D29" s="163">
        <f>300/5</f>
        <v>60</v>
      </c>
      <c r="E29" s="162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62" t="s">
        <v>14</v>
      </c>
      <c r="C30" s="162">
        <v>51555226</v>
      </c>
      <c r="D30" s="163">
        <f>300/5</f>
        <v>60</v>
      </c>
      <c r="E30" s="162">
        <v>3600</v>
      </c>
      <c r="F30" s="31">
        <v>451.82150000000001</v>
      </c>
      <c r="G30" s="31">
        <v>455.83839999999998</v>
      </c>
      <c r="H30" s="18">
        <f>(G30-F30)*E30</f>
        <v>14460.839999999871</v>
      </c>
      <c r="I30" s="19"/>
      <c r="J30" s="20"/>
    </row>
    <row r="31" spans="1:10" ht="15.75" x14ac:dyDescent="0.25">
      <c r="A31" s="15" t="s">
        <v>46</v>
      </c>
      <c r="B31" s="162" t="s">
        <v>14</v>
      </c>
      <c r="C31" s="162">
        <v>51097658</v>
      </c>
      <c r="D31" s="163" t="s">
        <v>35</v>
      </c>
      <c r="E31" s="162">
        <v>4800</v>
      </c>
      <c r="F31" s="31">
        <v>611.82740000000001</v>
      </c>
      <c r="G31" s="31">
        <v>615.20450000000005</v>
      </c>
      <c r="H31" s="18">
        <f t="shared" si="1"/>
        <v>16210.080000000198</v>
      </c>
      <c r="I31" s="19"/>
      <c r="J31" s="20"/>
    </row>
    <row r="32" spans="1:10" ht="15.75" x14ac:dyDescent="0.25">
      <c r="A32" s="15" t="s">
        <v>47</v>
      </c>
      <c r="B32" s="162" t="s">
        <v>14</v>
      </c>
      <c r="C32" s="162">
        <v>51097635</v>
      </c>
      <c r="D32" s="163" t="s">
        <v>35</v>
      </c>
      <c r="E32" s="162">
        <v>4800</v>
      </c>
      <c r="F32" s="31">
        <v>48.450200000000002</v>
      </c>
      <c r="G32" s="31">
        <v>48.452300000000001</v>
      </c>
      <c r="H32" s="18">
        <f t="shared" si="1"/>
        <v>10.079999999993561</v>
      </c>
      <c r="I32" s="19"/>
      <c r="J32" s="20"/>
    </row>
    <row r="33" spans="1:10" ht="15.75" x14ac:dyDescent="0.25">
      <c r="A33" s="15" t="s">
        <v>48</v>
      </c>
      <c r="B33" s="162" t="s">
        <v>14</v>
      </c>
      <c r="C33" s="32">
        <v>51097633</v>
      </c>
      <c r="D33" s="163" t="s">
        <v>35</v>
      </c>
      <c r="E33" s="162">
        <v>4800</v>
      </c>
      <c r="F33" s="31">
        <v>151.1977</v>
      </c>
      <c r="G33" s="31">
        <v>153.7311</v>
      </c>
      <c r="H33" s="33">
        <f t="shared" si="1"/>
        <v>12160.320000000002</v>
      </c>
      <c r="I33" s="34"/>
      <c r="J33" s="35"/>
    </row>
    <row r="34" spans="1:10" ht="15.75" x14ac:dyDescent="0.25">
      <c r="A34" s="15" t="s">
        <v>49</v>
      </c>
      <c r="B34" s="162" t="s">
        <v>14</v>
      </c>
      <c r="C34" s="32">
        <v>51097662</v>
      </c>
      <c r="D34" s="163" t="s">
        <v>35</v>
      </c>
      <c r="E34" s="162">
        <v>4800</v>
      </c>
      <c r="F34" s="31">
        <v>3.0306999999999999</v>
      </c>
      <c r="G34" s="31">
        <v>3.0855000000000001</v>
      </c>
      <c r="H34" s="33">
        <f t="shared" si="1"/>
        <v>263.04000000000087</v>
      </c>
      <c r="I34" s="34"/>
      <c r="J34" s="35"/>
    </row>
    <row r="35" spans="1:10" ht="15.75" x14ac:dyDescent="0.25">
      <c r="A35" s="207" t="s">
        <v>50</v>
      </c>
      <c r="B35" s="208"/>
      <c r="C35" s="162"/>
      <c r="D35" s="163"/>
      <c r="E35" s="162"/>
      <c r="F35" s="36"/>
      <c r="G35" s="36"/>
      <c r="H35" s="23">
        <f>H21+H22+H23+H24+H25+H26+H27+H28+H29+H30+H31+H32+H33+H34</f>
        <v>73123.320000000938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62" t="s">
        <v>53</v>
      </c>
      <c r="C37" s="162">
        <v>51555209</v>
      </c>
      <c r="D37" s="163" t="s">
        <v>54</v>
      </c>
      <c r="E37" s="162">
        <v>7000</v>
      </c>
      <c r="F37" s="17">
        <v>5.2042000000000002</v>
      </c>
      <c r="G37" s="17">
        <v>5.2542</v>
      </c>
      <c r="H37" s="41">
        <f>(G37-F37)*E37</f>
        <v>349.99999999999875</v>
      </c>
      <c r="I37" s="42"/>
      <c r="J37" s="14"/>
    </row>
    <row r="38" spans="1:10" ht="15.75" x14ac:dyDescent="0.25">
      <c r="A38" s="15" t="s">
        <v>55</v>
      </c>
      <c r="B38" s="162" t="s">
        <v>53</v>
      </c>
      <c r="C38" s="162">
        <v>51555209</v>
      </c>
      <c r="D38" s="163" t="s">
        <v>54</v>
      </c>
      <c r="E38" s="162">
        <v>7000</v>
      </c>
      <c r="F38" s="21">
        <v>9.7484000000000002</v>
      </c>
      <c r="G38" s="21">
        <v>9.7815999999999992</v>
      </c>
      <c r="H38" s="18">
        <f>(G38-F38)*E38</f>
        <v>232.39999999999304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62" t="s">
        <v>53</v>
      </c>
      <c r="C40" s="162">
        <v>51097674</v>
      </c>
      <c r="D40" s="162" t="s">
        <v>15</v>
      </c>
      <c r="E40" s="162">
        <v>7200</v>
      </c>
      <c r="F40" s="21">
        <v>561.28049999999996</v>
      </c>
      <c r="G40" s="21">
        <v>563.70579999999995</v>
      </c>
      <c r="H40" s="18">
        <f>(G40-F40)*E40</f>
        <v>17462.159999999949</v>
      </c>
      <c r="I40" s="47"/>
      <c r="J40" s="20"/>
    </row>
    <row r="41" spans="1:10" ht="15.75" x14ac:dyDescent="0.25">
      <c r="A41" s="27" t="s">
        <v>58</v>
      </c>
      <c r="B41" s="162" t="s">
        <v>53</v>
      </c>
      <c r="C41" s="162">
        <v>51259257</v>
      </c>
      <c r="D41" s="162" t="s">
        <v>15</v>
      </c>
      <c r="E41" s="162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62"/>
      <c r="C42" s="162"/>
      <c r="D42" s="162"/>
      <c r="E42" s="162"/>
      <c r="F42" s="21"/>
      <c r="G42" s="21"/>
      <c r="H42" s="48">
        <f>H40+H41</f>
        <v>17462.159999999949</v>
      </c>
      <c r="I42" s="24">
        <f>H42-H50</f>
        <v>-124.88000000007378</v>
      </c>
      <c r="J42" s="25">
        <f>I42/H42</f>
        <v>-7.1514635073824852E-3</v>
      </c>
    </row>
    <row r="43" spans="1:10" ht="15.75" x14ac:dyDescent="0.25">
      <c r="A43" s="15" t="s">
        <v>60</v>
      </c>
      <c r="B43" s="162"/>
      <c r="C43" s="162"/>
      <c r="D43" s="163"/>
      <c r="E43" s="162"/>
      <c r="H43" s="18"/>
      <c r="I43" s="43"/>
      <c r="J43" s="20"/>
    </row>
    <row r="44" spans="1:10" ht="15.75" x14ac:dyDescent="0.25">
      <c r="A44" s="27" t="s">
        <v>61</v>
      </c>
      <c r="B44" s="162" t="s">
        <v>53</v>
      </c>
      <c r="C44" s="32">
        <v>51097648</v>
      </c>
      <c r="D44" s="162" t="s">
        <v>54</v>
      </c>
      <c r="E44" s="162">
        <v>1200</v>
      </c>
      <c r="F44" s="21">
        <v>460.18799999999999</v>
      </c>
      <c r="G44" s="21">
        <v>462.09890000000001</v>
      </c>
      <c r="H44" s="33">
        <f>(G44-F44)*E44</f>
        <v>2293.0800000000318</v>
      </c>
      <c r="I44" s="43"/>
      <c r="J44" s="20"/>
    </row>
    <row r="45" spans="1:10" ht="15.75" x14ac:dyDescent="0.25">
      <c r="A45" s="27" t="s">
        <v>62</v>
      </c>
      <c r="B45" s="162" t="s">
        <v>53</v>
      </c>
      <c r="C45" s="32">
        <v>50555043</v>
      </c>
      <c r="D45" s="162" t="s">
        <v>54</v>
      </c>
      <c r="E45" s="162">
        <v>1200</v>
      </c>
      <c r="F45" s="21">
        <v>1923.1936000000001</v>
      </c>
      <c r="G45" s="21">
        <v>1931.556</v>
      </c>
      <c r="H45" s="33">
        <f>(G45-F45)*E45</f>
        <v>10034.879999999976</v>
      </c>
      <c r="I45" s="43"/>
      <c r="J45" s="20"/>
    </row>
    <row r="46" spans="1:10" ht="15.75" x14ac:dyDescent="0.25">
      <c r="A46" s="27" t="s">
        <v>63</v>
      </c>
      <c r="B46" s="162" t="s">
        <v>53</v>
      </c>
      <c r="C46" s="32">
        <v>51259336</v>
      </c>
      <c r="D46" s="162" t="s">
        <v>64</v>
      </c>
      <c r="E46" s="162">
        <v>2400</v>
      </c>
      <c r="F46" s="21">
        <v>3.9434999999999998</v>
      </c>
      <c r="G46" s="21">
        <v>3.9573</v>
      </c>
      <c r="H46" s="33">
        <f>(G46-F46)*E46</f>
        <v>33.120000000000616</v>
      </c>
      <c r="I46" s="43"/>
      <c r="J46" s="20"/>
    </row>
    <row r="47" spans="1:10" ht="15.75" x14ac:dyDescent="0.25">
      <c r="A47" s="27" t="s">
        <v>65</v>
      </c>
      <c r="B47" s="162" t="s">
        <v>53</v>
      </c>
      <c r="C47" s="32">
        <v>51259266</v>
      </c>
      <c r="D47" s="162" t="s">
        <v>54</v>
      </c>
      <c r="E47" s="162">
        <v>1200</v>
      </c>
      <c r="F47" s="21">
        <v>932.85</v>
      </c>
      <c r="G47" s="21">
        <v>936.84950000000003</v>
      </c>
      <c r="H47" s="33">
        <f>(G47-F47)*E47</f>
        <v>4799.4000000000142</v>
      </c>
      <c r="I47" s="43"/>
      <c r="J47" s="20"/>
    </row>
    <row r="48" spans="1:10" ht="15.75" x14ac:dyDescent="0.25">
      <c r="A48" s="27" t="s">
        <v>66</v>
      </c>
      <c r="B48" s="162" t="s">
        <v>53</v>
      </c>
      <c r="C48" s="32">
        <v>51431336</v>
      </c>
      <c r="D48" s="162" t="s">
        <v>54</v>
      </c>
      <c r="E48" s="162">
        <v>1200</v>
      </c>
      <c r="F48" s="21">
        <v>53.0852</v>
      </c>
      <c r="G48" s="21">
        <v>53.399000000000001</v>
      </c>
      <c r="H48" s="33">
        <f>(G48-F48)*E48</f>
        <v>376.56000000000063</v>
      </c>
      <c r="I48" s="43"/>
      <c r="J48" s="20"/>
    </row>
    <row r="49" spans="1:10" ht="15.75" x14ac:dyDescent="0.25">
      <c r="A49" s="15" t="s">
        <v>67</v>
      </c>
      <c r="B49" s="162" t="s">
        <v>68</v>
      </c>
      <c r="C49" s="162">
        <v>49174</v>
      </c>
      <c r="D49" s="163" t="s">
        <v>54</v>
      </c>
      <c r="E49" s="162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17587.040000000023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62" t="s">
        <v>53</v>
      </c>
      <c r="C52" s="162">
        <v>51097603</v>
      </c>
      <c r="D52" s="163" t="s">
        <v>54</v>
      </c>
      <c r="E52" s="162">
        <v>7000</v>
      </c>
      <c r="F52" s="17">
        <v>1846.0675000000001</v>
      </c>
      <c r="G52" s="17">
        <v>1852.9762000000001</v>
      </c>
      <c r="H52" s="18">
        <f>(G52-F52)*E52</f>
        <v>48360.899999999674</v>
      </c>
      <c r="I52" s="43"/>
      <c r="J52" s="20"/>
    </row>
    <row r="53" spans="1:10" ht="15.75" x14ac:dyDescent="0.25">
      <c r="A53" s="27" t="s">
        <v>73</v>
      </c>
      <c r="B53" s="162" t="s">
        <v>53</v>
      </c>
      <c r="C53" s="162">
        <v>51097590</v>
      </c>
      <c r="D53" s="163" t="s">
        <v>54</v>
      </c>
      <c r="E53" s="162">
        <v>7000</v>
      </c>
      <c r="F53" s="21">
        <v>11.733700000000001</v>
      </c>
      <c r="G53" s="21">
        <v>11.8085</v>
      </c>
      <c r="H53" s="18">
        <f>(G53-F53)*E53</f>
        <v>523.59999999999832</v>
      </c>
      <c r="I53" s="43"/>
      <c r="J53" s="20"/>
    </row>
    <row r="54" spans="1:10" ht="15.75" x14ac:dyDescent="0.25">
      <c r="A54" s="15" t="s">
        <v>67</v>
      </c>
      <c r="B54" s="162" t="s">
        <v>68</v>
      </c>
      <c r="C54" s="162">
        <v>49174</v>
      </c>
      <c r="D54" s="163" t="s">
        <v>54</v>
      </c>
      <c r="E54" s="162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62"/>
      <c r="D55" s="163"/>
      <c r="E55" s="162"/>
      <c r="F55" s="21"/>
      <c r="G55" s="21"/>
      <c r="H55" s="48">
        <f>H52+H53+H54</f>
        <v>48984.499999999673</v>
      </c>
      <c r="I55" s="47"/>
      <c r="J55" s="59"/>
    </row>
    <row r="56" spans="1:10" ht="15.75" x14ac:dyDescent="0.25">
      <c r="A56" s="27" t="s">
        <v>75</v>
      </c>
      <c r="B56" s="162" t="s">
        <v>53</v>
      </c>
      <c r="C56" s="162">
        <v>51100980</v>
      </c>
      <c r="D56" s="162" t="s">
        <v>76</v>
      </c>
      <c r="E56" s="162">
        <v>12000</v>
      </c>
      <c r="F56" s="21">
        <v>1086.1328000000001</v>
      </c>
      <c r="G56" s="21">
        <v>1090.2052000000001</v>
      </c>
      <c r="H56" s="18">
        <f>(G56-F56)*E56</f>
        <v>48868.800000000192</v>
      </c>
      <c r="I56" s="47"/>
      <c r="J56" s="58"/>
    </row>
    <row r="57" spans="1:10" ht="15.75" x14ac:dyDescent="0.25">
      <c r="A57" s="27" t="s">
        <v>77</v>
      </c>
      <c r="B57" s="162" t="s">
        <v>53</v>
      </c>
      <c r="C57" s="162">
        <v>51097623</v>
      </c>
      <c r="D57" s="162" t="s">
        <v>76</v>
      </c>
      <c r="E57" s="162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62"/>
      <c r="C58" s="162"/>
      <c r="D58" s="162"/>
      <c r="E58" s="162"/>
      <c r="F58" s="21"/>
      <c r="G58" s="21"/>
      <c r="H58" s="48">
        <f>H56+H57</f>
        <v>48868.800000000192</v>
      </c>
      <c r="I58" s="61">
        <f>H55-H65-H54</f>
        <v>-71.420000000754953</v>
      </c>
      <c r="J58" s="25">
        <f>I58/H58</f>
        <v>-1.4614641652906286E-3</v>
      </c>
    </row>
    <row r="59" spans="1:10" ht="15.75" x14ac:dyDescent="0.25">
      <c r="A59" s="27" t="s">
        <v>79</v>
      </c>
      <c r="B59" s="162" t="s">
        <v>53</v>
      </c>
      <c r="C59" s="162">
        <v>51097675</v>
      </c>
      <c r="D59" s="162" t="s">
        <v>35</v>
      </c>
      <c r="E59" s="162">
        <v>4800</v>
      </c>
      <c r="F59" s="21">
        <v>471.08409999999998</v>
      </c>
      <c r="G59" s="21">
        <v>473.99669999999998</v>
      </c>
      <c r="H59" s="18">
        <f t="shared" ref="H59:H64" si="2">(G59-F59)*E59</f>
        <v>13980.479999999989</v>
      </c>
      <c r="I59" s="62"/>
      <c r="J59" s="59"/>
    </row>
    <row r="60" spans="1:10" ht="15.75" x14ac:dyDescent="0.25">
      <c r="A60" s="27" t="s">
        <v>80</v>
      </c>
      <c r="B60" s="162" t="s">
        <v>53</v>
      </c>
      <c r="C60" s="162">
        <v>51100997</v>
      </c>
      <c r="D60" s="162" t="s">
        <v>22</v>
      </c>
      <c r="E60" s="162">
        <v>3600</v>
      </c>
      <c r="F60" s="21">
        <v>1329.7022999999999</v>
      </c>
      <c r="G60" s="21">
        <v>1332.7511</v>
      </c>
      <c r="H60" s="18">
        <f t="shared" si="2"/>
        <v>10975.680000000102</v>
      </c>
      <c r="I60" s="62"/>
      <c r="J60" s="59"/>
    </row>
    <row r="61" spans="1:10" ht="15.75" x14ac:dyDescent="0.25">
      <c r="A61" s="27" t="s">
        <v>81</v>
      </c>
      <c r="B61" s="162" t="s">
        <v>53</v>
      </c>
      <c r="C61" s="162">
        <v>51555218</v>
      </c>
      <c r="D61" s="162">
        <f>400/5</f>
        <v>80</v>
      </c>
      <c r="E61" s="162">
        <v>4800</v>
      </c>
      <c r="F61" s="21">
        <v>57.730699999999999</v>
      </c>
      <c r="G61" s="21">
        <v>58.221400000000003</v>
      </c>
      <c r="H61" s="18">
        <f t="shared" si="2"/>
        <v>2355.3600000000188</v>
      </c>
      <c r="I61" s="62"/>
      <c r="J61" s="59"/>
    </row>
    <row r="62" spans="1:10" ht="15.75" x14ac:dyDescent="0.25">
      <c r="A62" s="27" t="s">
        <v>82</v>
      </c>
      <c r="B62" s="162" t="s">
        <v>53</v>
      </c>
      <c r="C62" s="162">
        <v>51555151</v>
      </c>
      <c r="D62" s="162">
        <f>400/5</f>
        <v>80</v>
      </c>
      <c r="E62" s="162">
        <v>4800</v>
      </c>
      <c r="F62" s="63">
        <v>0.30659999999999998</v>
      </c>
      <c r="G62" s="63">
        <v>0.30659999999999998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62" t="s">
        <v>53</v>
      </c>
      <c r="C63" s="162">
        <v>51097599</v>
      </c>
      <c r="D63" s="162" t="s">
        <v>22</v>
      </c>
      <c r="E63" s="162">
        <v>3600</v>
      </c>
      <c r="F63" s="21">
        <v>933.18859999999995</v>
      </c>
      <c r="G63" s="21">
        <v>935.61599999999999</v>
      </c>
      <c r="H63" s="18">
        <f t="shared" si="2"/>
        <v>8738.6400000001231</v>
      </c>
      <c r="I63" s="62"/>
      <c r="J63" s="59"/>
    </row>
    <row r="64" spans="1:10" ht="15.75" x14ac:dyDescent="0.25">
      <c r="A64" s="27" t="s">
        <v>84</v>
      </c>
      <c r="B64" s="162" t="s">
        <v>53</v>
      </c>
      <c r="C64" s="162">
        <v>51097620</v>
      </c>
      <c r="D64" s="162" t="s">
        <v>35</v>
      </c>
      <c r="E64" s="162">
        <v>4800</v>
      </c>
      <c r="F64" s="21">
        <v>478.61919999999998</v>
      </c>
      <c r="G64" s="21">
        <v>481.30790000000002</v>
      </c>
      <c r="H64" s="18">
        <f t="shared" si="2"/>
        <v>12905.760000000191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48955.920000000428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62" t="s">
        <v>53</v>
      </c>
      <c r="C67" s="9">
        <v>51259238</v>
      </c>
      <c r="D67" s="74" t="s">
        <v>54</v>
      </c>
      <c r="E67" s="74">
        <v>7000</v>
      </c>
      <c r="F67" s="75">
        <v>520.36329999999998</v>
      </c>
      <c r="G67" s="75">
        <v>523.09760000000006</v>
      </c>
      <c r="H67" s="76">
        <f>(G67-F67)*E67</f>
        <v>19140.10000000053</v>
      </c>
      <c r="I67" s="77"/>
      <c r="J67" s="78"/>
    </row>
    <row r="68" spans="1:10" ht="15.75" x14ac:dyDescent="0.25">
      <c r="A68" s="27" t="s">
        <v>87</v>
      </c>
      <c r="B68" s="162" t="s">
        <v>53</v>
      </c>
      <c r="C68" s="162">
        <v>51259324</v>
      </c>
      <c r="D68" s="163" t="s">
        <v>54</v>
      </c>
      <c r="E68" s="163">
        <v>7000</v>
      </c>
      <c r="F68" s="21">
        <v>405.69409999999999</v>
      </c>
      <c r="G68" s="21">
        <v>407.69159999999999</v>
      </c>
      <c r="H68" s="18">
        <f>(G68-F68)*E68</f>
        <v>13982.500000000016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62">
        <v>51491618</v>
      </c>
      <c r="D69" s="163" t="s">
        <v>64</v>
      </c>
      <c r="E69" s="162">
        <v>40</v>
      </c>
      <c r="F69" s="28">
        <v>1107.6980000000001</v>
      </c>
      <c r="G69" s="28">
        <v>1118.5815</v>
      </c>
      <c r="H69" s="18">
        <f>(G69-F69)*E69</f>
        <v>435.33999999999651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62">
        <v>51491624</v>
      </c>
      <c r="D70" s="163" t="s">
        <v>64</v>
      </c>
      <c r="E70" s="162">
        <v>40</v>
      </c>
      <c r="F70" s="28">
        <v>161.6635</v>
      </c>
      <c r="G70" s="28">
        <v>162.51949999999999</v>
      </c>
      <c r="H70" s="18">
        <f>(G70-F70)*E70</f>
        <v>34.239999999999782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33122.600000000544</v>
      </c>
      <c r="I71" s="85">
        <f>H71-H74-H69-H70</f>
        <v>-812.5799999999017</v>
      </c>
      <c r="J71" s="25">
        <f>I71/H71</f>
        <v>-2.4532494429781729E-2</v>
      </c>
    </row>
    <row r="72" spans="1:10" ht="15.75" x14ac:dyDescent="0.25">
      <c r="A72" s="27" t="s">
        <v>92</v>
      </c>
      <c r="B72" s="162" t="s">
        <v>53</v>
      </c>
      <c r="C72" s="86">
        <v>51097588</v>
      </c>
      <c r="D72" s="163" t="s">
        <v>76</v>
      </c>
      <c r="E72" s="162">
        <v>12000</v>
      </c>
      <c r="F72" s="21">
        <v>312.91539999999998</v>
      </c>
      <c r="G72" s="21">
        <v>314.49180000000001</v>
      </c>
      <c r="H72" s="18">
        <f>(G72-F72)*E72</f>
        <v>18916.800000000421</v>
      </c>
      <c r="I72" s="51"/>
      <c r="J72" s="58"/>
    </row>
    <row r="73" spans="1:10" ht="15.75" x14ac:dyDescent="0.25">
      <c r="A73" s="27" t="s">
        <v>93</v>
      </c>
      <c r="B73" s="162" t="s">
        <v>53</v>
      </c>
      <c r="C73" s="86">
        <v>51431335</v>
      </c>
      <c r="D73" s="163" t="s">
        <v>76</v>
      </c>
      <c r="E73" s="162">
        <v>12000</v>
      </c>
      <c r="F73" s="21">
        <v>248.4949</v>
      </c>
      <c r="G73" s="21">
        <v>249.7073</v>
      </c>
      <c r="H73" s="18">
        <f>(G73-F73)*E73</f>
        <v>14548.800000000028</v>
      </c>
      <c r="I73" s="51"/>
      <c r="J73" s="58"/>
    </row>
    <row r="74" spans="1:10" ht="15.75" x14ac:dyDescent="0.25">
      <c r="A74" s="87" t="s">
        <v>94</v>
      </c>
      <c r="B74" s="162" t="s">
        <v>28</v>
      </c>
      <c r="C74" s="162"/>
      <c r="D74" s="163"/>
      <c r="E74" s="162"/>
      <c r="F74" s="21"/>
      <c r="G74" s="21"/>
      <c r="H74" s="48">
        <f>H72+ H73</f>
        <v>33465.60000000045</v>
      </c>
      <c r="I74" s="85">
        <f>H74-H82</f>
        <v>-64.320000000021537</v>
      </c>
      <c r="J74" s="25">
        <f>I74/H74</f>
        <v>-1.9219736087212145E-3</v>
      </c>
    </row>
    <row r="75" spans="1:10" ht="15.75" x14ac:dyDescent="0.25">
      <c r="A75" s="27" t="s">
        <v>95</v>
      </c>
      <c r="B75" s="162" t="s">
        <v>53</v>
      </c>
      <c r="C75" s="86">
        <v>51097676</v>
      </c>
      <c r="D75" s="88" t="s">
        <v>64</v>
      </c>
      <c r="E75" s="162">
        <v>2400</v>
      </c>
      <c r="F75" s="21">
        <v>653.43610000000001</v>
      </c>
      <c r="G75" s="21">
        <v>656.99940000000004</v>
      </c>
      <c r="H75" s="18">
        <f>(G75-F75)*E75</f>
        <v>8551.9200000000637</v>
      </c>
      <c r="I75" s="51"/>
      <c r="J75" s="58"/>
    </row>
    <row r="76" spans="1:10" ht="15.75" x14ac:dyDescent="0.25">
      <c r="A76" s="27" t="s">
        <v>96</v>
      </c>
      <c r="B76" s="162" t="s">
        <v>53</v>
      </c>
      <c r="C76" s="86">
        <v>51431355</v>
      </c>
      <c r="D76" s="163" t="s">
        <v>22</v>
      </c>
      <c r="E76" s="163">
        <v>3600</v>
      </c>
      <c r="F76" s="21">
        <v>347.39260000000002</v>
      </c>
      <c r="G76" s="21">
        <v>348.76830000000001</v>
      </c>
      <c r="H76" s="18">
        <f>(G76-F76)*E76</f>
        <v>4952.5199999999813</v>
      </c>
      <c r="I76" s="51"/>
      <c r="J76" s="52"/>
    </row>
    <row r="77" spans="1:10" ht="15.75" x14ac:dyDescent="0.25">
      <c r="A77" s="27" t="s">
        <v>97</v>
      </c>
      <c r="B77" s="162" t="s">
        <v>53</v>
      </c>
      <c r="C77" s="86">
        <v>51259331</v>
      </c>
      <c r="D77" s="88" t="s">
        <v>38</v>
      </c>
      <c r="E77" s="162">
        <v>600</v>
      </c>
      <c r="F77" s="21">
        <v>153.3895</v>
      </c>
      <c r="G77" s="21">
        <v>154.17570000000001</v>
      </c>
      <c r="H77" s="18">
        <f>(G77-F77)*E77</f>
        <v>471.7200000000048</v>
      </c>
      <c r="I77" s="51"/>
      <c r="J77" s="52"/>
    </row>
    <row r="78" spans="1:10" ht="15.75" x14ac:dyDescent="0.25">
      <c r="A78" s="27" t="s">
        <v>98</v>
      </c>
      <c r="B78" s="162" t="s">
        <v>53</v>
      </c>
      <c r="C78" s="86">
        <v>51259326</v>
      </c>
      <c r="D78" s="88" t="s">
        <v>15</v>
      </c>
      <c r="E78" s="162">
        <v>7200</v>
      </c>
      <c r="F78" s="21">
        <v>312.22629999999998</v>
      </c>
      <c r="G78" s="21">
        <v>313.67380000000003</v>
      </c>
      <c r="H78" s="18">
        <f>(G78-F78)*E78</f>
        <v>10422.000000000344</v>
      </c>
      <c r="I78" s="51"/>
      <c r="J78" s="52"/>
    </row>
    <row r="79" spans="1:10" ht="15.75" x14ac:dyDescent="0.25">
      <c r="A79" s="27" t="s">
        <v>99</v>
      </c>
      <c r="B79" s="162" t="s">
        <v>53</v>
      </c>
      <c r="C79" s="86">
        <v>51431351</v>
      </c>
      <c r="D79" s="88" t="s">
        <v>15</v>
      </c>
      <c r="E79" s="162">
        <v>7200</v>
      </c>
      <c r="F79" s="21">
        <v>220.92349999999999</v>
      </c>
      <c r="G79" s="21">
        <v>222.1918</v>
      </c>
      <c r="H79" s="18">
        <f>(G79-F79)*E79</f>
        <v>9131.7600000000766</v>
      </c>
      <c r="I79" s="51"/>
      <c r="J79" s="52"/>
    </row>
    <row r="80" spans="1:10" ht="15.75" x14ac:dyDescent="0.25">
      <c r="A80" s="89" t="s">
        <v>100</v>
      </c>
      <c r="B80" s="162" t="s">
        <v>53</v>
      </c>
      <c r="C80" s="90">
        <v>51097666</v>
      </c>
      <c r="D80" s="88" t="s">
        <v>64</v>
      </c>
      <c r="E80" s="162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62" t="s">
        <v>53</v>
      </c>
      <c r="C81" s="90">
        <v>51259323</v>
      </c>
      <c r="D81" s="88" t="s">
        <v>64</v>
      </c>
      <c r="E81" s="162">
        <v>2400</v>
      </c>
      <c r="F81" s="31">
        <v>7.6399999999999996E-2</v>
      </c>
      <c r="G81" s="31">
        <v>7.6399999999999996E-2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33529.920000000471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62" t="s">
        <v>53</v>
      </c>
      <c r="C84" s="106">
        <v>51431297</v>
      </c>
      <c r="D84" s="163" t="s">
        <v>54</v>
      </c>
      <c r="E84" s="100">
        <v>7000</v>
      </c>
      <c r="F84" s="17">
        <v>253.05080000000001</v>
      </c>
      <c r="G84" s="17">
        <v>253.97540000000001</v>
      </c>
      <c r="H84" s="18">
        <f>(G84-F84)*E84</f>
        <v>6472.1999999999862</v>
      </c>
      <c r="I84" s="107"/>
      <c r="J84" s="108"/>
    </row>
    <row r="85" spans="1:10" ht="15.75" x14ac:dyDescent="0.25">
      <c r="A85" s="105" t="s">
        <v>87</v>
      </c>
      <c r="B85" s="162" t="s">
        <v>53</v>
      </c>
      <c r="C85" s="106">
        <v>51431332</v>
      </c>
      <c r="D85" s="163" t="s">
        <v>54</v>
      </c>
      <c r="E85" s="100">
        <v>7000</v>
      </c>
      <c r="F85" s="21">
        <v>347.55990000000003</v>
      </c>
      <c r="G85" s="21">
        <v>349.26440000000002</v>
      </c>
      <c r="H85" s="18">
        <f>(G85-F85)*E85</f>
        <v>11931.499999999971</v>
      </c>
      <c r="I85" s="162"/>
      <c r="J85" s="58"/>
    </row>
    <row r="86" spans="1:10" ht="15.75" x14ac:dyDescent="0.25">
      <c r="A86" s="27" t="s">
        <v>88</v>
      </c>
      <c r="B86" s="162" t="s">
        <v>104</v>
      </c>
      <c r="C86" s="109">
        <v>150773</v>
      </c>
      <c r="D86" s="163" t="s">
        <v>54</v>
      </c>
      <c r="E86" s="109">
        <v>20</v>
      </c>
      <c r="F86" s="17">
        <v>15566.8</v>
      </c>
      <c r="G86" s="17">
        <v>15574.3</v>
      </c>
      <c r="H86" s="18">
        <f>(G86-F86)*E86</f>
        <v>150</v>
      </c>
      <c r="I86" s="51"/>
      <c r="J86" s="58"/>
    </row>
    <row r="87" spans="1:10" ht="15.75" x14ac:dyDescent="0.25">
      <c r="A87" s="27" t="s">
        <v>90</v>
      </c>
      <c r="B87" s="162" t="s">
        <v>104</v>
      </c>
      <c r="C87" s="109">
        <v>150791</v>
      </c>
      <c r="D87" s="163" t="s">
        <v>54</v>
      </c>
      <c r="E87" s="109">
        <v>20</v>
      </c>
      <c r="F87" s="21">
        <v>231.7</v>
      </c>
      <c r="G87" s="21">
        <v>231.7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64"/>
      <c r="C88" s="32"/>
      <c r="D88" s="82"/>
      <c r="E88" s="82"/>
      <c r="F88" s="21"/>
      <c r="G88" s="21"/>
      <c r="H88" s="48">
        <f>H84+H85</f>
        <v>18403.699999999957</v>
      </c>
      <c r="I88" s="85">
        <f>H88-H91-H86-H87</f>
        <v>378.98000000015963</v>
      </c>
      <c r="J88" s="25">
        <f>I88/H88</f>
        <v>2.0592598227539057E-2</v>
      </c>
    </row>
    <row r="89" spans="1:10" ht="15.75" x14ac:dyDescent="0.25">
      <c r="A89" s="27" t="s">
        <v>105</v>
      </c>
      <c r="B89" s="162" t="s">
        <v>53</v>
      </c>
      <c r="C89" s="106">
        <v>51431342</v>
      </c>
      <c r="D89" s="88" t="s">
        <v>35</v>
      </c>
      <c r="E89" s="162">
        <v>4800</v>
      </c>
      <c r="F89" s="21">
        <v>358.74639999999999</v>
      </c>
      <c r="G89" s="21">
        <v>360.06439999999998</v>
      </c>
      <c r="H89" s="18">
        <f>(G89-F89)*E89</f>
        <v>6326.3999999999214</v>
      </c>
      <c r="I89" s="51"/>
      <c r="J89" s="52"/>
    </row>
    <row r="90" spans="1:10" ht="15.75" x14ac:dyDescent="0.25">
      <c r="A90" s="27" t="s">
        <v>106</v>
      </c>
      <c r="B90" s="162" t="s">
        <v>53</v>
      </c>
      <c r="C90" s="106">
        <v>51431343</v>
      </c>
      <c r="D90" s="88" t="s">
        <v>35</v>
      </c>
      <c r="E90" s="162">
        <v>4800</v>
      </c>
      <c r="F90" s="21">
        <v>491.56700000000001</v>
      </c>
      <c r="G90" s="21">
        <v>493.97289999999998</v>
      </c>
      <c r="H90" s="18">
        <f>(G90-F90)*E90</f>
        <v>11548.319999999876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17874.719999999797</v>
      </c>
      <c r="I91" s="85">
        <f>H91-H99</f>
        <v>-135.18000000018219</v>
      </c>
      <c r="J91" s="25">
        <f>I91/H91</f>
        <v>-7.5626359461957293E-3</v>
      </c>
    </row>
    <row r="92" spans="1:10" ht="15.75" x14ac:dyDescent="0.25">
      <c r="A92" s="27" t="s">
        <v>108</v>
      </c>
      <c r="B92" s="162" t="s">
        <v>53</v>
      </c>
      <c r="C92" s="106">
        <v>51431347</v>
      </c>
      <c r="D92" s="163" t="s">
        <v>54</v>
      </c>
      <c r="E92" s="162">
        <v>1200</v>
      </c>
      <c r="F92" s="21">
        <v>1158.7252000000001</v>
      </c>
      <c r="G92" s="21">
        <v>1167.1919</v>
      </c>
      <c r="H92" s="18">
        <f t="shared" ref="H92:H100" si="4">(G92-F92)*E92</f>
        <v>10160.039999999935</v>
      </c>
      <c r="I92" s="51"/>
      <c r="J92" s="52"/>
    </row>
    <row r="93" spans="1:10" ht="15.75" x14ac:dyDescent="0.25">
      <c r="A93" s="27" t="s">
        <v>109</v>
      </c>
      <c r="B93" s="162" t="s">
        <v>53</v>
      </c>
      <c r="C93" s="106">
        <v>51431339</v>
      </c>
      <c r="D93" s="163" t="s">
        <v>54</v>
      </c>
      <c r="E93" s="162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62" t="s">
        <v>53</v>
      </c>
      <c r="C94" s="106">
        <v>51217244</v>
      </c>
      <c r="D94" s="162" t="s">
        <v>38</v>
      </c>
      <c r="E94" s="162">
        <v>600</v>
      </c>
      <c r="F94" s="30">
        <v>312.50909999999999</v>
      </c>
      <c r="G94" s="30">
        <v>314.72660000000002</v>
      </c>
      <c r="H94" s="18">
        <f t="shared" si="4"/>
        <v>1330.5000000000177</v>
      </c>
      <c r="I94" s="51"/>
      <c r="J94" s="52"/>
    </row>
    <row r="95" spans="1:10" ht="15.75" x14ac:dyDescent="0.25">
      <c r="A95" s="27" t="s">
        <v>111</v>
      </c>
      <c r="B95" s="162" t="s">
        <v>53</v>
      </c>
      <c r="C95" s="106">
        <v>51217267</v>
      </c>
      <c r="D95" s="88" t="s">
        <v>64</v>
      </c>
      <c r="E95" s="162">
        <v>2400</v>
      </c>
      <c r="F95" s="30">
        <v>19.856000000000002</v>
      </c>
      <c r="G95" s="30">
        <v>19.8888</v>
      </c>
      <c r="H95" s="18">
        <f t="shared" si="4"/>
        <v>78.719999999995593</v>
      </c>
      <c r="I95" s="51"/>
      <c r="J95" s="52"/>
    </row>
    <row r="96" spans="1:10" ht="15.75" x14ac:dyDescent="0.25">
      <c r="A96" s="27" t="s">
        <v>112</v>
      </c>
      <c r="B96" s="162" t="s">
        <v>53</v>
      </c>
      <c r="C96" s="162">
        <v>51555165</v>
      </c>
      <c r="D96" s="163" t="s">
        <v>54</v>
      </c>
      <c r="E96" s="162">
        <v>1200</v>
      </c>
      <c r="F96" s="30">
        <v>771.62789999999995</v>
      </c>
      <c r="G96" s="30">
        <v>771.62789999999995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62" t="s">
        <v>53</v>
      </c>
      <c r="C97" s="106">
        <v>51431346</v>
      </c>
      <c r="D97" s="114" t="s">
        <v>38</v>
      </c>
      <c r="E97" s="114">
        <v>600</v>
      </c>
      <c r="F97" s="30">
        <v>331.5752</v>
      </c>
      <c r="G97" s="30">
        <v>332.19080000000002</v>
      </c>
      <c r="H97" s="115">
        <f t="shared" si="4"/>
        <v>369.36000000001741</v>
      </c>
      <c r="I97" s="116"/>
      <c r="J97" s="117"/>
    </row>
    <row r="98" spans="1:10" ht="15.75" x14ac:dyDescent="0.25">
      <c r="A98" s="27" t="s">
        <v>114</v>
      </c>
      <c r="B98" s="162" t="s">
        <v>53</v>
      </c>
      <c r="C98" s="106">
        <v>51431352</v>
      </c>
      <c r="D98" s="88" t="s">
        <v>22</v>
      </c>
      <c r="E98" s="162">
        <v>3600</v>
      </c>
      <c r="F98" s="21">
        <v>206.4342</v>
      </c>
      <c r="G98" s="21">
        <v>208.07900000000001</v>
      </c>
      <c r="H98" s="18">
        <f t="shared" si="4"/>
        <v>5921.2800000000134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18009.89999999998</v>
      </c>
      <c r="I99" s="51"/>
      <c r="J99" s="52"/>
    </row>
    <row r="100" spans="1:10" ht="15.75" x14ac:dyDescent="0.25">
      <c r="A100" s="45" t="s">
        <v>115</v>
      </c>
      <c r="B100" s="162" t="s">
        <v>53</v>
      </c>
      <c r="C100" s="120">
        <v>51431357</v>
      </c>
      <c r="D100" s="163" t="s">
        <v>64</v>
      </c>
      <c r="E100" s="163">
        <v>14000</v>
      </c>
      <c r="F100" s="28">
        <v>794.20809999999994</v>
      </c>
      <c r="G100" s="28">
        <v>798.08320000000003</v>
      </c>
      <c r="H100" s="121">
        <f t="shared" si="4"/>
        <v>54251.400000001238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A28" workbookViewId="0">
      <selection activeCell="J50" sqref="J5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131</v>
      </c>
      <c r="G3" s="4" t="s">
        <v>132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65" t="s">
        <v>14</v>
      </c>
      <c r="C5" s="165">
        <v>51555166</v>
      </c>
      <c r="D5" s="165" t="s">
        <v>15</v>
      </c>
      <c r="E5" s="165">
        <v>132000</v>
      </c>
      <c r="F5" s="17">
        <v>2.9887999999999999</v>
      </c>
      <c r="G5" s="17">
        <v>3.0007999999999999</v>
      </c>
      <c r="H5" s="18">
        <f>(G5-F5)*E5</f>
        <v>1584.0000000000014</v>
      </c>
      <c r="I5" s="19"/>
      <c r="J5" s="20"/>
    </row>
    <row r="6" spans="1:10" ht="15.75" x14ac:dyDescent="0.25">
      <c r="A6" s="15" t="s">
        <v>16</v>
      </c>
      <c r="B6" s="165" t="s">
        <v>14</v>
      </c>
      <c r="C6" s="165">
        <v>51555191</v>
      </c>
      <c r="D6" s="165" t="s">
        <v>15</v>
      </c>
      <c r="E6" s="165">
        <v>132000</v>
      </c>
      <c r="F6" s="21">
        <v>346.36470000000003</v>
      </c>
      <c r="G6" s="21">
        <v>348.3261</v>
      </c>
      <c r="H6" s="18">
        <f>(G6-F6)*E6</f>
        <v>258904.79999999594</v>
      </c>
      <c r="I6" s="19"/>
      <c r="J6" s="20"/>
    </row>
    <row r="7" spans="1:10" ht="15.75" x14ac:dyDescent="0.25">
      <c r="A7" s="207" t="s">
        <v>17</v>
      </c>
      <c r="B7" s="208"/>
      <c r="C7" s="165"/>
      <c r="D7" s="166"/>
      <c r="E7" s="165"/>
      <c r="H7" s="23">
        <f>H5+H6</f>
        <v>260488.79999999594</v>
      </c>
      <c r="I7" s="24">
        <f>H7-H10-H20</f>
        <v>1842.5999999968626</v>
      </c>
      <c r="J7" s="25">
        <f>I7/H7</f>
        <v>7.0736246625455346E-3</v>
      </c>
    </row>
    <row r="8" spans="1:10" ht="15.75" x14ac:dyDescent="0.25">
      <c r="A8" s="26" t="s">
        <v>18</v>
      </c>
      <c r="B8" s="165" t="s">
        <v>14</v>
      </c>
      <c r="C8" s="165">
        <v>51097629</v>
      </c>
      <c r="D8" s="166" t="s">
        <v>15</v>
      </c>
      <c r="E8" s="165">
        <v>42000</v>
      </c>
      <c r="F8" s="21">
        <v>1046.4693</v>
      </c>
      <c r="G8" s="21">
        <v>1050.8181</v>
      </c>
      <c r="H8" s="18">
        <f>(G8-F8)*E8</f>
        <v>182649.59999999928</v>
      </c>
      <c r="I8" s="19"/>
      <c r="J8" s="20"/>
    </row>
    <row r="9" spans="1:10" ht="15.75" x14ac:dyDescent="0.25">
      <c r="A9" s="26" t="s">
        <v>19</v>
      </c>
      <c r="B9" s="165" t="s">
        <v>14</v>
      </c>
      <c r="C9" s="165">
        <v>51616820</v>
      </c>
      <c r="D9" s="166" t="s">
        <v>15</v>
      </c>
      <c r="E9" s="165">
        <v>42000</v>
      </c>
      <c r="F9" s="21">
        <v>5.1329000000000002</v>
      </c>
      <c r="G9" s="21">
        <v>5.157</v>
      </c>
      <c r="H9" s="18">
        <f>(G9-F9)*E9</f>
        <v>1012.1999999999911</v>
      </c>
      <c r="I9" s="19"/>
      <c r="J9" s="20"/>
    </row>
    <row r="10" spans="1:10" ht="15.75" x14ac:dyDescent="0.25">
      <c r="A10" s="207" t="s">
        <v>20</v>
      </c>
      <c r="B10" s="208"/>
      <c r="C10" s="165"/>
      <c r="D10" s="166"/>
      <c r="E10" s="165"/>
      <c r="F10" s="21"/>
      <c r="G10" s="21"/>
      <c r="H10" s="23">
        <f>H8+H9</f>
        <v>183661.79999999926</v>
      </c>
      <c r="I10" s="24">
        <f>H10-H17</f>
        <v>37.80000000045402</v>
      </c>
      <c r="J10" s="25">
        <f>I10/H10</f>
        <v>2.0581307599323414E-4</v>
      </c>
    </row>
    <row r="11" spans="1:10" ht="15.75" x14ac:dyDescent="0.25">
      <c r="A11" s="27" t="s">
        <v>21</v>
      </c>
      <c r="B11" s="165" t="s">
        <v>14</v>
      </c>
      <c r="C11" s="165">
        <v>51217286</v>
      </c>
      <c r="D11" s="166" t="s">
        <v>22</v>
      </c>
      <c r="E11" s="165">
        <v>21000</v>
      </c>
      <c r="F11" s="21">
        <v>828.17280000000005</v>
      </c>
      <c r="G11" s="21">
        <v>831.33439999999996</v>
      </c>
      <c r="H11" s="18">
        <f t="shared" ref="H11:H16" si="0">(G11-F11)*E11</f>
        <v>66393.599999998056</v>
      </c>
      <c r="I11" s="19"/>
      <c r="J11" s="20"/>
    </row>
    <row r="12" spans="1:10" ht="15.75" x14ac:dyDescent="0.25">
      <c r="A12" s="27" t="s">
        <v>23</v>
      </c>
      <c r="B12" s="165" t="s">
        <v>14</v>
      </c>
      <c r="C12" s="165">
        <v>51217292</v>
      </c>
      <c r="D12" s="166" t="s">
        <v>22</v>
      </c>
      <c r="E12" s="165">
        <v>21000</v>
      </c>
      <c r="F12" s="28">
        <v>3.6061000000000001</v>
      </c>
      <c r="G12" s="28">
        <v>3.6322000000000001</v>
      </c>
      <c r="H12" s="18">
        <f>(G12-F12)*E12</f>
        <v>548.10000000000025</v>
      </c>
      <c r="I12" s="19"/>
      <c r="J12" s="20"/>
    </row>
    <row r="13" spans="1:10" ht="15.75" x14ac:dyDescent="0.25">
      <c r="A13" s="27" t="s">
        <v>24</v>
      </c>
      <c r="B13" s="165" t="s">
        <v>14</v>
      </c>
      <c r="C13" s="165">
        <v>51217271</v>
      </c>
      <c r="D13" s="166" t="s">
        <v>22</v>
      </c>
      <c r="E13" s="165">
        <v>21000</v>
      </c>
      <c r="F13" s="21">
        <v>606.40679999999998</v>
      </c>
      <c r="G13" s="21">
        <v>609.05579999999998</v>
      </c>
      <c r="H13" s="18">
        <f t="shared" si="0"/>
        <v>55629.000000000022</v>
      </c>
      <c r="I13" s="19"/>
      <c r="J13" s="20"/>
    </row>
    <row r="14" spans="1:10" ht="15.75" x14ac:dyDescent="0.25">
      <c r="A14" s="27" t="s">
        <v>25</v>
      </c>
      <c r="B14" s="165" t="s">
        <v>14</v>
      </c>
      <c r="C14" s="165">
        <v>51217276</v>
      </c>
      <c r="D14" s="166" t="s">
        <v>22</v>
      </c>
      <c r="E14" s="165">
        <v>21000</v>
      </c>
      <c r="F14" s="28">
        <v>0.55330000000000001</v>
      </c>
      <c r="G14" s="28">
        <v>0.56059999999999999</v>
      </c>
      <c r="H14" s="18">
        <f>(G14-F14)*E14</f>
        <v>153.29999999999944</v>
      </c>
      <c r="I14" s="19"/>
      <c r="J14" s="20"/>
    </row>
    <row r="15" spans="1:10" ht="15.75" x14ac:dyDescent="0.25">
      <c r="A15" s="27" t="s">
        <v>26</v>
      </c>
      <c r="B15" s="165" t="s">
        <v>14</v>
      </c>
      <c r="C15" s="165">
        <v>51100990</v>
      </c>
      <c r="D15" s="166" t="s">
        <v>22</v>
      </c>
      <c r="E15" s="165">
        <v>21000</v>
      </c>
      <c r="F15" s="29">
        <v>664.06669999999997</v>
      </c>
      <c r="G15" s="29">
        <v>666.9547</v>
      </c>
      <c r="H15" s="18">
        <f t="shared" si="0"/>
        <v>60648.000000000706</v>
      </c>
      <c r="I15" s="19"/>
      <c r="J15" s="20"/>
    </row>
    <row r="16" spans="1:10" ht="15.75" x14ac:dyDescent="0.25">
      <c r="A16" s="27" t="s">
        <v>27</v>
      </c>
      <c r="B16" s="165" t="s">
        <v>14</v>
      </c>
      <c r="C16" s="165">
        <v>51097622</v>
      </c>
      <c r="D16" s="166" t="s">
        <v>22</v>
      </c>
      <c r="E16" s="165">
        <v>21000</v>
      </c>
      <c r="F16" s="21">
        <v>2.9102999999999999</v>
      </c>
      <c r="G16" s="21">
        <v>2.9222999999999999</v>
      </c>
      <c r="H16" s="18">
        <f t="shared" si="0"/>
        <v>252.00000000000023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65"/>
      <c r="D17" s="166"/>
      <c r="E17" s="165"/>
      <c r="F17" s="21"/>
      <c r="G17" s="21"/>
      <c r="H17" s="23">
        <f>H11+H12+H13+H14+H15+H16</f>
        <v>183623.99999999881</v>
      </c>
      <c r="I17" s="19"/>
      <c r="J17" s="20"/>
    </row>
    <row r="18" spans="1:10" ht="15.75" x14ac:dyDescent="0.25">
      <c r="A18" s="26" t="s">
        <v>30</v>
      </c>
      <c r="B18" s="165" t="s">
        <v>14</v>
      </c>
      <c r="C18" s="165">
        <v>51097617</v>
      </c>
      <c r="D18" s="166" t="s">
        <v>31</v>
      </c>
      <c r="E18" s="165">
        <v>18000</v>
      </c>
      <c r="F18" s="30">
        <v>802.74400000000003</v>
      </c>
      <c r="G18" s="30">
        <v>806.90980000000002</v>
      </c>
      <c r="H18" s="18">
        <f>(G18-F18)*E18</f>
        <v>74984.39999999982</v>
      </c>
      <c r="I18" s="19"/>
      <c r="J18" s="20"/>
    </row>
    <row r="19" spans="1:10" ht="15.75" x14ac:dyDescent="0.25">
      <c r="A19" s="26" t="s">
        <v>32</v>
      </c>
      <c r="B19" s="165" t="s">
        <v>14</v>
      </c>
      <c r="C19" s="165">
        <v>51097655</v>
      </c>
      <c r="D19" s="166" t="s">
        <v>31</v>
      </c>
      <c r="E19" s="165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65"/>
      <c r="D20" s="166"/>
      <c r="E20" s="165"/>
      <c r="F20" s="30"/>
      <c r="G20" s="30"/>
      <c r="H20" s="23">
        <f>H18+H19</f>
        <v>74984.39999999982</v>
      </c>
      <c r="I20" s="24">
        <f>H20-H35</f>
        <v>2457.5400000002701</v>
      </c>
      <c r="J20" s="25">
        <f>I20/H20</f>
        <v>3.2774016995538752E-2</v>
      </c>
    </row>
    <row r="21" spans="1:10" ht="15.75" x14ac:dyDescent="0.25">
      <c r="A21" s="15" t="s">
        <v>34</v>
      </c>
      <c r="B21" s="165" t="s">
        <v>14</v>
      </c>
      <c r="C21" s="165">
        <v>51217282</v>
      </c>
      <c r="D21" s="166" t="s">
        <v>35</v>
      </c>
      <c r="E21" s="165">
        <v>4800</v>
      </c>
      <c r="F21" s="21">
        <v>379.88060000000002</v>
      </c>
      <c r="G21" s="21">
        <v>379.92489999999998</v>
      </c>
      <c r="H21" s="18">
        <f t="shared" ref="H21:H34" si="1">(G21-F21)*E21</f>
        <v>212.63999999982843</v>
      </c>
      <c r="I21" s="19" t="s">
        <v>28</v>
      </c>
      <c r="J21" s="20"/>
    </row>
    <row r="22" spans="1:10" ht="15.75" x14ac:dyDescent="0.25">
      <c r="A22" s="15" t="s">
        <v>36</v>
      </c>
      <c r="B22" s="165" t="s">
        <v>14</v>
      </c>
      <c r="C22" s="165">
        <v>51217274</v>
      </c>
      <c r="D22" s="166" t="s">
        <v>35</v>
      </c>
      <c r="E22" s="165">
        <v>4800</v>
      </c>
      <c r="F22" s="21">
        <v>1257.8429000000001</v>
      </c>
      <c r="G22" s="21">
        <v>1263.8901000000001</v>
      </c>
      <c r="H22" s="18">
        <f t="shared" si="1"/>
        <v>29026.559999999881</v>
      </c>
      <c r="I22" s="19"/>
      <c r="J22" s="20"/>
    </row>
    <row r="23" spans="1:10" ht="15.75" x14ac:dyDescent="0.25">
      <c r="A23" s="15" t="s">
        <v>37</v>
      </c>
      <c r="B23" s="165" t="s">
        <v>14</v>
      </c>
      <c r="C23" s="165">
        <v>51097664</v>
      </c>
      <c r="D23" s="166" t="s">
        <v>38</v>
      </c>
      <c r="E23" s="165">
        <v>600</v>
      </c>
      <c r="F23" s="21">
        <v>4.4409999999999998</v>
      </c>
      <c r="G23" s="21">
        <v>4.4409999999999998</v>
      </c>
      <c r="H23" s="18">
        <f t="shared" si="1"/>
        <v>0</v>
      </c>
      <c r="I23" s="19"/>
      <c r="J23" s="20"/>
    </row>
    <row r="24" spans="1:10" ht="15.75" x14ac:dyDescent="0.25">
      <c r="A24" s="15" t="s">
        <v>39</v>
      </c>
      <c r="B24" s="165" t="s">
        <v>14</v>
      </c>
      <c r="C24" s="165">
        <v>51097615</v>
      </c>
      <c r="D24" s="166" t="s">
        <v>38</v>
      </c>
      <c r="E24" s="165">
        <v>600</v>
      </c>
      <c r="F24" s="21">
        <v>39.385599999999997</v>
      </c>
      <c r="G24" s="21">
        <v>39.768900000000002</v>
      </c>
      <c r="H24" s="18">
        <f t="shared" si="1"/>
        <v>229.98000000000332</v>
      </c>
      <c r="I24" s="19"/>
      <c r="J24" s="20"/>
    </row>
    <row r="25" spans="1:10" ht="15.75" x14ac:dyDescent="0.25">
      <c r="A25" s="15" t="s">
        <v>40</v>
      </c>
      <c r="B25" s="165" t="s">
        <v>14</v>
      </c>
      <c r="C25" s="165">
        <v>51217264</v>
      </c>
      <c r="D25" s="166" t="s">
        <v>38</v>
      </c>
      <c r="E25" s="165">
        <v>600</v>
      </c>
      <c r="F25" s="21">
        <v>93.620500000000007</v>
      </c>
      <c r="G25" s="21">
        <v>94.260599999999997</v>
      </c>
      <c r="H25" s="18">
        <f t="shared" si="1"/>
        <v>384.05999999999381</v>
      </c>
      <c r="I25" s="19"/>
      <c r="J25" s="20"/>
    </row>
    <row r="26" spans="1:10" ht="15.75" x14ac:dyDescent="0.25">
      <c r="A26" s="15" t="s">
        <v>41</v>
      </c>
      <c r="B26" s="165" t="s">
        <v>14</v>
      </c>
      <c r="C26" s="165">
        <v>51217288</v>
      </c>
      <c r="D26" s="166" t="s">
        <v>38</v>
      </c>
      <c r="E26" s="165">
        <v>600</v>
      </c>
      <c r="F26" s="21">
        <v>19.9925</v>
      </c>
      <c r="G26" s="21">
        <v>20.023900000000001</v>
      </c>
      <c r="H26" s="18">
        <f t="shared" si="1"/>
        <v>18.840000000000856</v>
      </c>
      <c r="I26" s="19" t="s">
        <v>28</v>
      </c>
      <c r="J26" s="20"/>
    </row>
    <row r="27" spans="1:10" ht="15.75" x14ac:dyDescent="0.25">
      <c r="A27" s="15" t="s">
        <v>42</v>
      </c>
      <c r="B27" s="165" t="s">
        <v>14</v>
      </c>
      <c r="C27" s="165">
        <v>51217279</v>
      </c>
      <c r="D27" s="166" t="s">
        <v>38</v>
      </c>
      <c r="E27" s="165">
        <v>600</v>
      </c>
      <c r="F27" s="21">
        <v>14.456799999999999</v>
      </c>
      <c r="G27" s="21">
        <v>14.511699999999999</v>
      </c>
      <c r="H27" s="18">
        <f t="shared" si="1"/>
        <v>32.939999999999969</v>
      </c>
      <c r="I27" s="19" t="s">
        <v>28</v>
      </c>
      <c r="J27" s="20"/>
    </row>
    <row r="28" spans="1:10" ht="15.75" x14ac:dyDescent="0.25">
      <c r="A28" s="15" t="s">
        <v>43</v>
      </c>
      <c r="B28" s="165" t="s">
        <v>14</v>
      </c>
      <c r="C28" s="165">
        <v>51217272</v>
      </c>
      <c r="D28" s="166" t="s">
        <v>38</v>
      </c>
      <c r="E28" s="165">
        <v>600</v>
      </c>
      <c r="F28" s="31">
        <v>14.180999999999999</v>
      </c>
      <c r="G28" s="31">
        <v>14.2348</v>
      </c>
      <c r="H28" s="18">
        <f t="shared" si="1"/>
        <v>32.280000000000442</v>
      </c>
      <c r="I28" s="19"/>
      <c r="J28" s="20"/>
    </row>
    <row r="29" spans="1:10" ht="15.75" x14ac:dyDescent="0.25">
      <c r="A29" s="15" t="s">
        <v>44</v>
      </c>
      <c r="B29" s="165" t="s">
        <v>14</v>
      </c>
      <c r="C29" s="165">
        <v>51616744</v>
      </c>
      <c r="D29" s="166">
        <f>300/5</f>
        <v>60</v>
      </c>
      <c r="E29" s="165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65" t="s">
        <v>14</v>
      </c>
      <c r="C30" s="165">
        <v>51555226</v>
      </c>
      <c r="D30" s="166">
        <f>300/5</f>
        <v>60</v>
      </c>
      <c r="E30" s="165">
        <v>3600</v>
      </c>
      <c r="F30" s="31">
        <v>455.83839999999998</v>
      </c>
      <c r="G30" s="31">
        <v>459.78789999999998</v>
      </c>
      <c r="H30" s="18">
        <f>(G30-F30)*E30</f>
        <v>14218.2</v>
      </c>
      <c r="I30" s="19"/>
      <c r="J30" s="20"/>
    </row>
    <row r="31" spans="1:10" ht="15.75" x14ac:dyDescent="0.25">
      <c r="A31" s="15" t="s">
        <v>46</v>
      </c>
      <c r="B31" s="165" t="s">
        <v>14</v>
      </c>
      <c r="C31" s="165">
        <v>51097658</v>
      </c>
      <c r="D31" s="166" t="s">
        <v>35</v>
      </c>
      <c r="E31" s="165">
        <v>4800</v>
      </c>
      <c r="F31" s="31">
        <v>615.20450000000005</v>
      </c>
      <c r="G31" s="31">
        <v>618.5104</v>
      </c>
      <c r="H31" s="18">
        <f t="shared" si="1"/>
        <v>15868.319999999767</v>
      </c>
      <c r="I31" s="19"/>
      <c r="J31" s="20"/>
    </row>
    <row r="32" spans="1:10" ht="15.75" x14ac:dyDescent="0.25">
      <c r="A32" s="15" t="s">
        <v>47</v>
      </c>
      <c r="B32" s="165" t="s">
        <v>14</v>
      </c>
      <c r="C32" s="165">
        <v>51097635</v>
      </c>
      <c r="D32" s="166" t="s">
        <v>35</v>
      </c>
      <c r="E32" s="165">
        <v>4800</v>
      </c>
      <c r="F32" s="31">
        <v>48.452300000000001</v>
      </c>
      <c r="G32" s="31">
        <v>48.454000000000001</v>
      </c>
      <c r="H32" s="18">
        <f t="shared" si="1"/>
        <v>8.1599999999980355</v>
      </c>
      <c r="I32" s="19"/>
      <c r="J32" s="20"/>
    </row>
    <row r="33" spans="1:10" ht="15.75" x14ac:dyDescent="0.25">
      <c r="A33" s="15" t="s">
        <v>48</v>
      </c>
      <c r="B33" s="165" t="s">
        <v>14</v>
      </c>
      <c r="C33" s="32">
        <v>51097633</v>
      </c>
      <c r="D33" s="166" t="s">
        <v>35</v>
      </c>
      <c r="E33" s="165">
        <v>4800</v>
      </c>
      <c r="F33" s="31">
        <v>153.7311</v>
      </c>
      <c r="G33" s="31">
        <v>156.27950000000001</v>
      </c>
      <c r="H33" s="33">
        <f t="shared" si="1"/>
        <v>12232.320000000072</v>
      </c>
      <c r="I33" s="34"/>
      <c r="J33" s="35"/>
    </row>
    <row r="34" spans="1:10" ht="15.75" x14ac:dyDescent="0.25">
      <c r="A34" s="15" t="s">
        <v>49</v>
      </c>
      <c r="B34" s="165" t="s">
        <v>14</v>
      </c>
      <c r="C34" s="32">
        <v>51097662</v>
      </c>
      <c r="D34" s="166" t="s">
        <v>35</v>
      </c>
      <c r="E34" s="165">
        <v>4800</v>
      </c>
      <c r="F34" s="31">
        <v>3.0855000000000001</v>
      </c>
      <c r="G34" s="31">
        <v>3.1402000000000001</v>
      </c>
      <c r="H34" s="33">
        <f t="shared" si="1"/>
        <v>262.55999999999983</v>
      </c>
      <c r="I34" s="34"/>
      <c r="J34" s="35"/>
    </row>
    <row r="35" spans="1:10" ht="15.75" x14ac:dyDescent="0.25">
      <c r="A35" s="207" t="s">
        <v>50</v>
      </c>
      <c r="B35" s="208"/>
      <c r="C35" s="165"/>
      <c r="D35" s="166"/>
      <c r="E35" s="165"/>
      <c r="F35" s="36"/>
      <c r="G35" s="36"/>
      <c r="H35" s="23">
        <f>H21+H22+H23+H24+H25+H26+H27+H28+H29+H30+H31+H32+H33+H34</f>
        <v>72526.859999999549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65" t="s">
        <v>53</v>
      </c>
      <c r="C37" s="165">
        <v>51555209</v>
      </c>
      <c r="D37" s="166" t="s">
        <v>54</v>
      </c>
      <c r="E37" s="165">
        <v>7000</v>
      </c>
      <c r="F37" s="17">
        <v>5.2542</v>
      </c>
      <c r="G37" s="17">
        <v>5.2984999999999998</v>
      </c>
      <c r="H37" s="41">
        <f>(G37-F37)*E37</f>
        <v>310.09999999999849</v>
      </c>
      <c r="I37" s="42"/>
      <c r="J37" s="14"/>
    </row>
    <row r="38" spans="1:10" ht="15.75" x14ac:dyDescent="0.25">
      <c r="A38" s="15" t="s">
        <v>55</v>
      </c>
      <c r="B38" s="165" t="s">
        <v>53</v>
      </c>
      <c r="C38" s="165">
        <v>51555209</v>
      </c>
      <c r="D38" s="166" t="s">
        <v>54</v>
      </c>
      <c r="E38" s="165">
        <v>7000</v>
      </c>
      <c r="F38" s="21">
        <v>9.7815999999999992</v>
      </c>
      <c r="G38" s="21">
        <v>9.8242999999999991</v>
      </c>
      <c r="H38" s="18">
        <f>(G38-F38)*E38</f>
        <v>298.89999999999975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65" t="s">
        <v>53</v>
      </c>
      <c r="C40" s="165">
        <v>51097674</v>
      </c>
      <c r="D40" s="165" t="s">
        <v>15</v>
      </c>
      <c r="E40" s="165">
        <v>7200</v>
      </c>
      <c r="F40" s="21">
        <v>563.70579999999995</v>
      </c>
      <c r="G40" s="21">
        <v>566.08180000000004</v>
      </c>
      <c r="H40" s="18">
        <f>(G40-F40)*E40</f>
        <v>17107.200000000648</v>
      </c>
      <c r="I40" s="47"/>
      <c r="J40" s="20"/>
    </row>
    <row r="41" spans="1:10" ht="15.75" x14ac:dyDescent="0.25">
      <c r="A41" s="27" t="s">
        <v>58</v>
      </c>
      <c r="B41" s="165" t="s">
        <v>53</v>
      </c>
      <c r="C41" s="165">
        <v>51259257</v>
      </c>
      <c r="D41" s="165" t="s">
        <v>15</v>
      </c>
      <c r="E41" s="165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65"/>
      <c r="C42" s="165"/>
      <c r="D42" s="165"/>
      <c r="E42" s="165"/>
      <c r="F42" s="21"/>
      <c r="G42" s="21"/>
      <c r="H42" s="48">
        <f>H40+H41</f>
        <v>17107.200000000648</v>
      </c>
      <c r="I42" s="24">
        <f>H42-H50</f>
        <v>-125.35999999929845</v>
      </c>
      <c r="J42" s="25">
        <f>I42/H42</f>
        <v>-7.3279087167563194E-3</v>
      </c>
    </row>
    <row r="43" spans="1:10" ht="15.75" x14ac:dyDescent="0.25">
      <c r="A43" s="15" t="s">
        <v>60</v>
      </c>
      <c r="B43" s="165"/>
      <c r="C43" s="165"/>
      <c r="D43" s="166"/>
      <c r="E43" s="165"/>
      <c r="H43" s="18"/>
      <c r="I43" s="43"/>
      <c r="J43" s="20"/>
    </row>
    <row r="44" spans="1:10" ht="15.75" x14ac:dyDescent="0.25">
      <c r="A44" s="27" t="s">
        <v>61</v>
      </c>
      <c r="B44" s="165" t="s">
        <v>53</v>
      </c>
      <c r="C44" s="32">
        <v>51097648</v>
      </c>
      <c r="D44" s="165" t="s">
        <v>54</v>
      </c>
      <c r="E44" s="165">
        <v>1200</v>
      </c>
      <c r="F44" s="21">
        <v>462.09890000000001</v>
      </c>
      <c r="G44" s="21">
        <v>463.99110000000002</v>
      </c>
      <c r="H44" s="33">
        <f>(G44-F44)*E44</f>
        <v>2270.6400000000031</v>
      </c>
      <c r="I44" s="43"/>
      <c r="J44" s="20"/>
    </row>
    <row r="45" spans="1:10" ht="15.75" x14ac:dyDescent="0.25">
      <c r="A45" s="27" t="s">
        <v>62</v>
      </c>
      <c r="B45" s="165" t="s">
        <v>53</v>
      </c>
      <c r="C45" s="32">
        <v>50555043</v>
      </c>
      <c r="D45" s="165" t="s">
        <v>54</v>
      </c>
      <c r="E45" s="165">
        <v>1200</v>
      </c>
      <c r="F45" s="21">
        <v>1931.556</v>
      </c>
      <c r="G45" s="21">
        <v>1939.6377</v>
      </c>
      <c r="H45" s="33">
        <f>(G45-F45)*E45</f>
        <v>9698.0399999999463</v>
      </c>
      <c r="I45" s="43"/>
      <c r="J45" s="20"/>
    </row>
    <row r="46" spans="1:10" ht="15.75" x14ac:dyDescent="0.25">
      <c r="A46" s="27" t="s">
        <v>63</v>
      </c>
      <c r="B46" s="165" t="s">
        <v>53</v>
      </c>
      <c r="C46" s="32">
        <v>51259336</v>
      </c>
      <c r="D46" s="165" t="s">
        <v>64</v>
      </c>
      <c r="E46" s="165">
        <v>2400</v>
      </c>
      <c r="F46" s="21">
        <v>3.9573</v>
      </c>
      <c r="G46" s="21">
        <v>3.9712000000000001</v>
      </c>
      <c r="H46" s="33">
        <f>(G46-F46)*E46</f>
        <v>33.360000000000056</v>
      </c>
      <c r="I46" s="43"/>
      <c r="J46" s="20"/>
    </row>
    <row r="47" spans="1:10" ht="15.75" x14ac:dyDescent="0.25">
      <c r="A47" s="27" t="s">
        <v>65</v>
      </c>
      <c r="B47" s="165" t="s">
        <v>53</v>
      </c>
      <c r="C47" s="32">
        <v>51259266</v>
      </c>
      <c r="D47" s="165" t="s">
        <v>54</v>
      </c>
      <c r="E47" s="165">
        <v>1200</v>
      </c>
      <c r="F47" s="21">
        <v>936.84950000000003</v>
      </c>
      <c r="G47" s="21">
        <v>940.80240000000003</v>
      </c>
      <c r="H47" s="33">
        <f>(G47-F47)*E47</f>
        <v>4743.4799999999996</v>
      </c>
      <c r="I47" s="43"/>
      <c r="J47" s="20"/>
    </row>
    <row r="48" spans="1:10" ht="15.75" x14ac:dyDescent="0.25">
      <c r="A48" s="27" t="s">
        <v>66</v>
      </c>
      <c r="B48" s="165" t="s">
        <v>53</v>
      </c>
      <c r="C48" s="32">
        <v>51431336</v>
      </c>
      <c r="D48" s="165" t="s">
        <v>54</v>
      </c>
      <c r="E48" s="165">
        <v>1200</v>
      </c>
      <c r="F48" s="21">
        <v>53.399000000000001</v>
      </c>
      <c r="G48" s="21">
        <v>53.763199999999998</v>
      </c>
      <c r="H48" s="33">
        <f>(G48-F48)*E48</f>
        <v>437.0399999999961</v>
      </c>
      <c r="I48" s="43"/>
      <c r="J48" s="20"/>
    </row>
    <row r="49" spans="1:10" ht="15.75" x14ac:dyDescent="0.25">
      <c r="A49" s="15" t="s">
        <v>67</v>
      </c>
      <c r="B49" s="165" t="s">
        <v>68</v>
      </c>
      <c r="C49" s="165">
        <v>49174</v>
      </c>
      <c r="D49" s="166" t="s">
        <v>54</v>
      </c>
      <c r="E49" s="165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17232.559999999947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65" t="s">
        <v>53</v>
      </c>
      <c r="C52" s="165">
        <v>51097603</v>
      </c>
      <c r="D52" s="166" t="s">
        <v>54</v>
      </c>
      <c r="E52" s="165">
        <v>7000</v>
      </c>
      <c r="F52" s="17">
        <v>1852.9762000000001</v>
      </c>
      <c r="G52" s="17">
        <v>1859.8063999999999</v>
      </c>
      <c r="H52" s="18">
        <f>(G52-F52)*E52</f>
        <v>47811.399999999136</v>
      </c>
      <c r="I52" s="43"/>
      <c r="J52" s="20"/>
    </row>
    <row r="53" spans="1:10" ht="15.75" x14ac:dyDescent="0.25">
      <c r="A53" s="27" t="s">
        <v>73</v>
      </c>
      <c r="B53" s="165" t="s">
        <v>53</v>
      </c>
      <c r="C53" s="165">
        <v>51097590</v>
      </c>
      <c r="D53" s="166" t="s">
        <v>54</v>
      </c>
      <c r="E53" s="165">
        <v>7000</v>
      </c>
      <c r="F53" s="21">
        <v>11.8085</v>
      </c>
      <c r="G53" s="21">
        <v>11.885199999999999</v>
      </c>
      <c r="H53" s="18">
        <f>(G53-F53)*E53</f>
        <v>536.89999999999213</v>
      </c>
      <c r="I53" s="43"/>
      <c r="J53" s="20"/>
    </row>
    <row r="54" spans="1:10" ht="15.75" x14ac:dyDescent="0.25">
      <c r="A54" s="15" t="s">
        <v>67</v>
      </c>
      <c r="B54" s="165" t="s">
        <v>68</v>
      </c>
      <c r="C54" s="165">
        <v>49174</v>
      </c>
      <c r="D54" s="166" t="s">
        <v>54</v>
      </c>
      <c r="E54" s="165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65"/>
      <c r="D55" s="166"/>
      <c r="E55" s="165"/>
      <c r="F55" s="21"/>
      <c r="G55" s="21"/>
      <c r="H55" s="48">
        <f>H52+H53+H54</f>
        <v>48448.29999999913</v>
      </c>
      <c r="I55" s="47"/>
      <c r="J55" s="59"/>
    </row>
    <row r="56" spans="1:10" ht="15.75" x14ac:dyDescent="0.25">
      <c r="A56" s="27" t="s">
        <v>75</v>
      </c>
      <c r="B56" s="165" t="s">
        <v>53</v>
      </c>
      <c r="C56" s="165">
        <v>51100980</v>
      </c>
      <c r="D56" s="165" t="s">
        <v>76</v>
      </c>
      <c r="E56" s="165">
        <v>12000</v>
      </c>
      <c r="F56" s="21">
        <v>1090.2052000000001</v>
      </c>
      <c r="G56" s="21">
        <v>1094.2295999999999</v>
      </c>
      <c r="H56" s="18">
        <f>(G56-F56)*E56</f>
        <v>48292.799999997442</v>
      </c>
      <c r="I56" s="47"/>
      <c r="J56" s="58"/>
    </row>
    <row r="57" spans="1:10" ht="15.75" x14ac:dyDescent="0.25">
      <c r="A57" s="27" t="s">
        <v>77</v>
      </c>
      <c r="B57" s="165" t="s">
        <v>53</v>
      </c>
      <c r="C57" s="165">
        <v>51097623</v>
      </c>
      <c r="D57" s="165" t="s">
        <v>76</v>
      </c>
      <c r="E57" s="165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65"/>
      <c r="C58" s="165"/>
      <c r="D58" s="165"/>
      <c r="E58" s="165"/>
      <c r="F58" s="21"/>
      <c r="G58" s="21"/>
      <c r="H58" s="48">
        <f>H56+H57</f>
        <v>48292.799999997442</v>
      </c>
      <c r="I58" s="61">
        <f>H55-H65-H54</f>
        <v>-38.220000000743312</v>
      </c>
      <c r="J58" s="25">
        <f>I58/H58</f>
        <v>-7.9142232384010324E-4</v>
      </c>
    </row>
    <row r="59" spans="1:10" ht="15.75" x14ac:dyDescent="0.25">
      <c r="A59" s="27" t="s">
        <v>79</v>
      </c>
      <c r="B59" s="165" t="s">
        <v>53</v>
      </c>
      <c r="C59" s="165">
        <v>51097675</v>
      </c>
      <c r="D59" s="165" t="s">
        <v>35</v>
      </c>
      <c r="E59" s="165">
        <v>4800</v>
      </c>
      <c r="F59" s="21">
        <v>473.99669999999998</v>
      </c>
      <c r="G59" s="21">
        <v>476.87079999999997</v>
      </c>
      <c r="H59" s="18">
        <f t="shared" ref="H59:H64" si="2">(G59-F59)*E59</f>
        <v>13795.679999999993</v>
      </c>
      <c r="I59" s="62"/>
      <c r="J59" s="59"/>
    </row>
    <row r="60" spans="1:10" ht="15.75" x14ac:dyDescent="0.25">
      <c r="A60" s="27" t="s">
        <v>80</v>
      </c>
      <c r="B60" s="165" t="s">
        <v>53</v>
      </c>
      <c r="C60" s="165">
        <v>51100997</v>
      </c>
      <c r="D60" s="165" t="s">
        <v>22</v>
      </c>
      <c r="E60" s="165">
        <v>3600</v>
      </c>
      <c r="F60" s="21">
        <v>1332.7511</v>
      </c>
      <c r="G60" s="21">
        <v>1335.8088</v>
      </c>
      <c r="H60" s="18">
        <f t="shared" si="2"/>
        <v>11007.720000000245</v>
      </c>
      <c r="I60" s="62"/>
      <c r="J60" s="59"/>
    </row>
    <row r="61" spans="1:10" ht="15.75" x14ac:dyDescent="0.25">
      <c r="A61" s="27" t="s">
        <v>81</v>
      </c>
      <c r="B61" s="165" t="s">
        <v>53</v>
      </c>
      <c r="C61" s="165">
        <v>51555218</v>
      </c>
      <c r="D61" s="165">
        <f>400/5</f>
        <v>80</v>
      </c>
      <c r="E61" s="165">
        <v>4800</v>
      </c>
      <c r="F61" s="21">
        <v>58.221400000000003</v>
      </c>
      <c r="G61" s="21">
        <v>58.709099999999999</v>
      </c>
      <c r="H61" s="18">
        <f t="shared" si="2"/>
        <v>2340.9599999999841</v>
      </c>
      <c r="I61" s="62"/>
      <c r="J61" s="59"/>
    </row>
    <row r="62" spans="1:10" ht="15.75" x14ac:dyDescent="0.25">
      <c r="A62" s="27" t="s">
        <v>82</v>
      </c>
      <c r="B62" s="165" t="s">
        <v>53</v>
      </c>
      <c r="C62" s="165">
        <v>51555151</v>
      </c>
      <c r="D62" s="165">
        <f>400/5</f>
        <v>80</v>
      </c>
      <c r="E62" s="165">
        <v>4800</v>
      </c>
      <c r="F62" s="63">
        <v>0.30659999999999998</v>
      </c>
      <c r="G62" s="63">
        <v>0.30659999999999998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65" t="s">
        <v>53</v>
      </c>
      <c r="C63" s="165">
        <v>51097599</v>
      </c>
      <c r="D63" s="165" t="s">
        <v>22</v>
      </c>
      <c r="E63" s="165">
        <v>3600</v>
      </c>
      <c r="F63" s="21">
        <v>935.61599999999999</v>
      </c>
      <c r="G63" s="21">
        <v>937.92819999999995</v>
      </c>
      <c r="H63" s="18">
        <f t="shared" si="2"/>
        <v>8323.9199999998618</v>
      </c>
      <c r="I63" s="62"/>
      <c r="J63" s="59"/>
    </row>
    <row r="64" spans="1:10" ht="15.75" x14ac:dyDescent="0.25">
      <c r="A64" s="27" t="s">
        <v>84</v>
      </c>
      <c r="B64" s="165" t="s">
        <v>53</v>
      </c>
      <c r="C64" s="165">
        <v>51097620</v>
      </c>
      <c r="D64" s="165" t="s">
        <v>35</v>
      </c>
      <c r="E64" s="165">
        <v>4800</v>
      </c>
      <c r="F64" s="21">
        <v>481.30790000000002</v>
      </c>
      <c r="G64" s="21">
        <v>483.99919999999997</v>
      </c>
      <c r="H64" s="18">
        <f t="shared" si="2"/>
        <v>12918.239999999787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48386.519999999873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65" t="s">
        <v>53</v>
      </c>
      <c r="C67" s="9">
        <v>51259238</v>
      </c>
      <c r="D67" s="74" t="s">
        <v>54</v>
      </c>
      <c r="E67" s="74">
        <v>7000</v>
      </c>
      <c r="F67" s="75">
        <v>523.09760000000006</v>
      </c>
      <c r="G67" s="75">
        <v>525.76890000000003</v>
      </c>
      <c r="H67" s="76">
        <f>(G67-F67)*E67</f>
        <v>18699.099999999817</v>
      </c>
      <c r="I67" s="77"/>
      <c r="J67" s="78"/>
    </row>
    <row r="68" spans="1:10" ht="15.75" x14ac:dyDescent="0.25">
      <c r="A68" s="27" t="s">
        <v>87</v>
      </c>
      <c r="B68" s="165" t="s">
        <v>53</v>
      </c>
      <c r="C68" s="165">
        <v>51259324</v>
      </c>
      <c r="D68" s="166" t="s">
        <v>54</v>
      </c>
      <c r="E68" s="166">
        <v>7000</v>
      </c>
      <c r="F68" s="21">
        <v>407.69159999999999</v>
      </c>
      <c r="G68" s="21">
        <v>409.7088</v>
      </c>
      <c r="H68" s="18">
        <f>(G68-F68)*E68</f>
        <v>14120.400000000018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65">
        <v>51491618</v>
      </c>
      <c r="D69" s="166" t="s">
        <v>64</v>
      </c>
      <c r="E69" s="165">
        <v>40</v>
      </c>
      <c r="F69" s="28">
        <v>1118.5815</v>
      </c>
      <c r="G69" s="28">
        <v>1129.0605</v>
      </c>
      <c r="H69" s="18">
        <f>(G69-F69)*E69</f>
        <v>419.16000000000167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65">
        <v>51491624</v>
      </c>
      <c r="D70" s="166" t="s">
        <v>64</v>
      </c>
      <c r="E70" s="165">
        <v>40</v>
      </c>
      <c r="F70" s="28">
        <v>162.51949999999999</v>
      </c>
      <c r="G70" s="28">
        <v>163.37</v>
      </c>
      <c r="H70" s="18">
        <f>(G70-F70)*E70</f>
        <v>34.020000000000437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32819.499999999833</v>
      </c>
      <c r="I71" s="85">
        <f>H71-H74-H69-H70</f>
        <v>-784.88000000007196</v>
      </c>
      <c r="J71" s="25">
        <f>I71/H71</f>
        <v>-2.3915050503513946E-2</v>
      </c>
    </row>
    <row r="72" spans="1:10" ht="15.75" x14ac:dyDescent="0.25">
      <c r="A72" s="27" t="s">
        <v>92</v>
      </c>
      <c r="B72" s="165" t="s">
        <v>53</v>
      </c>
      <c r="C72" s="86">
        <v>51097588</v>
      </c>
      <c r="D72" s="166" t="s">
        <v>76</v>
      </c>
      <c r="E72" s="165">
        <v>12000</v>
      </c>
      <c r="F72" s="21">
        <v>314.49180000000001</v>
      </c>
      <c r="G72" s="21">
        <v>316.03050000000002</v>
      </c>
      <c r="H72" s="18">
        <f>(G72-F72)*E72</f>
        <v>18464.400000000067</v>
      </c>
      <c r="I72" s="51"/>
      <c r="J72" s="58"/>
    </row>
    <row r="73" spans="1:10" ht="15.75" x14ac:dyDescent="0.25">
      <c r="A73" s="27" t="s">
        <v>93</v>
      </c>
      <c r="B73" s="165" t="s">
        <v>53</v>
      </c>
      <c r="C73" s="86">
        <v>51431335</v>
      </c>
      <c r="D73" s="166" t="s">
        <v>76</v>
      </c>
      <c r="E73" s="165">
        <v>12000</v>
      </c>
      <c r="F73" s="21">
        <v>249.7073</v>
      </c>
      <c r="G73" s="21">
        <v>250.93119999999999</v>
      </c>
      <c r="H73" s="18">
        <f>(G73-F73)*E73</f>
        <v>14686.799999999836</v>
      </c>
      <c r="I73" s="51"/>
      <c r="J73" s="58"/>
    </row>
    <row r="74" spans="1:10" ht="15.75" x14ac:dyDescent="0.25">
      <c r="A74" s="87" t="s">
        <v>94</v>
      </c>
      <c r="B74" s="165" t="s">
        <v>28</v>
      </c>
      <c r="C74" s="165"/>
      <c r="D74" s="166"/>
      <c r="E74" s="165"/>
      <c r="F74" s="21"/>
      <c r="G74" s="21"/>
      <c r="H74" s="48">
        <f>H72+ H73</f>
        <v>33151.199999999903</v>
      </c>
      <c r="I74" s="85">
        <f>H74-H82</f>
        <v>-62.51999999974214</v>
      </c>
      <c r="J74" s="25">
        <f>I74/H74</f>
        <v>-1.8859045826317697E-3</v>
      </c>
    </row>
    <row r="75" spans="1:10" ht="15.75" x14ac:dyDescent="0.25">
      <c r="A75" s="27" t="s">
        <v>95</v>
      </c>
      <c r="B75" s="165" t="s">
        <v>53</v>
      </c>
      <c r="C75" s="86">
        <v>51097676</v>
      </c>
      <c r="D75" s="88" t="s">
        <v>64</v>
      </c>
      <c r="E75" s="165">
        <v>2400</v>
      </c>
      <c r="F75" s="21">
        <v>656.99940000000004</v>
      </c>
      <c r="G75" s="21">
        <v>660.39959999999996</v>
      </c>
      <c r="H75" s="18">
        <f>(G75-F75)*E75</f>
        <v>8160.4799999998249</v>
      </c>
      <c r="I75" s="51"/>
      <c r="J75" s="58"/>
    </row>
    <row r="76" spans="1:10" ht="15.75" x14ac:dyDescent="0.25">
      <c r="A76" s="27" t="s">
        <v>96</v>
      </c>
      <c r="B76" s="165" t="s">
        <v>53</v>
      </c>
      <c r="C76" s="86">
        <v>51431355</v>
      </c>
      <c r="D76" s="166" t="s">
        <v>22</v>
      </c>
      <c r="E76" s="166">
        <v>3600</v>
      </c>
      <c r="F76" s="21">
        <v>348.76830000000001</v>
      </c>
      <c r="G76" s="21">
        <v>350.1705</v>
      </c>
      <c r="H76" s="18">
        <f>(G76-F76)*E76</f>
        <v>5047.9199999999764</v>
      </c>
      <c r="I76" s="51"/>
      <c r="J76" s="52"/>
    </row>
    <row r="77" spans="1:10" ht="15.75" x14ac:dyDescent="0.25">
      <c r="A77" s="27" t="s">
        <v>97</v>
      </c>
      <c r="B77" s="165" t="s">
        <v>53</v>
      </c>
      <c r="C77" s="86">
        <v>51259331</v>
      </c>
      <c r="D77" s="88" t="s">
        <v>38</v>
      </c>
      <c r="E77" s="165">
        <v>600</v>
      </c>
      <c r="F77" s="21">
        <v>154.17570000000001</v>
      </c>
      <c r="G77" s="21">
        <v>154.9571</v>
      </c>
      <c r="H77" s="18">
        <f>(G77-F77)*E77</f>
        <v>468.83999999999446</v>
      </c>
      <c r="I77" s="51"/>
      <c r="J77" s="52"/>
    </row>
    <row r="78" spans="1:10" ht="15.75" x14ac:dyDescent="0.25">
      <c r="A78" s="27" t="s">
        <v>98</v>
      </c>
      <c r="B78" s="165" t="s">
        <v>53</v>
      </c>
      <c r="C78" s="86">
        <v>51259326</v>
      </c>
      <c r="D78" s="88" t="s">
        <v>15</v>
      </c>
      <c r="E78" s="165">
        <v>7200</v>
      </c>
      <c r="F78" s="21">
        <v>313.67380000000003</v>
      </c>
      <c r="G78" s="21">
        <v>315.11250000000001</v>
      </c>
      <c r="H78" s="18">
        <f>(G78-F78)*E78</f>
        <v>10358.639999999878</v>
      </c>
      <c r="I78" s="51"/>
      <c r="J78" s="52"/>
    </row>
    <row r="79" spans="1:10" ht="15.75" x14ac:dyDescent="0.25">
      <c r="A79" s="27" t="s">
        <v>99</v>
      </c>
      <c r="B79" s="165" t="s">
        <v>53</v>
      </c>
      <c r="C79" s="86">
        <v>51431351</v>
      </c>
      <c r="D79" s="88" t="s">
        <v>15</v>
      </c>
      <c r="E79" s="165">
        <v>7200</v>
      </c>
      <c r="F79" s="21">
        <v>222.1918</v>
      </c>
      <c r="G79" s="21">
        <v>223.4665</v>
      </c>
      <c r="H79" s="18">
        <f>(G79-F79)*E79</f>
        <v>9177.8399999999692</v>
      </c>
      <c r="I79" s="51"/>
      <c r="J79" s="52"/>
    </row>
    <row r="80" spans="1:10" ht="15.75" x14ac:dyDescent="0.25">
      <c r="A80" s="89" t="s">
        <v>100</v>
      </c>
      <c r="B80" s="165" t="s">
        <v>53</v>
      </c>
      <c r="C80" s="90">
        <v>51097666</v>
      </c>
      <c r="D80" s="88" t="s">
        <v>64</v>
      </c>
      <c r="E80" s="165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65" t="s">
        <v>53</v>
      </c>
      <c r="C81" s="90">
        <v>51259323</v>
      </c>
      <c r="D81" s="88" t="s">
        <v>64</v>
      </c>
      <c r="E81" s="165">
        <v>2400</v>
      </c>
      <c r="F81" s="31">
        <v>7.6399999999999996E-2</v>
      </c>
      <c r="G81" s="31">
        <v>7.6399999999999996E-2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33213.719999999645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65" t="s">
        <v>53</v>
      </c>
      <c r="C84" s="106">
        <v>51431297</v>
      </c>
      <c r="D84" s="166" t="s">
        <v>54</v>
      </c>
      <c r="E84" s="100">
        <v>7000</v>
      </c>
      <c r="F84" s="17">
        <v>253.97540000000001</v>
      </c>
      <c r="G84" s="17">
        <v>254.9436</v>
      </c>
      <c r="H84" s="18">
        <f>(G84-F84)*E84</f>
        <v>6777.3999999999714</v>
      </c>
      <c r="I84" s="107"/>
      <c r="J84" s="108"/>
    </row>
    <row r="85" spans="1:10" ht="15.75" x14ac:dyDescent="0.25">
      <c r="A85" s="105" t="s">
        <v>87</v>
      </c>
      <c r="B85" s="165" t="s">
        <v>53</v>
      </c>
      <c r="C85" s="106">
        <v>51431332</v>
      </c>
      <c r="D85" s="166" t="s">
        <v>54</v>
      </c>
      <c r="E85" s="100">
        <v>7000</v>
      </c>
      <c r="F85" s="21">
        <v>349.26440000000002</v>
      </c>
      <c r="G85" s="21">
        <v>350.99740000000003</v>
      </c>
      <c r="H85" s="18">
        <f>(G85-F85)*E85</f>
        <v>12131.000000000029</v>
      </c>
      <c r="I85" s="165"/>
      <c r="J85" s="58"/>
    </row>
    <row r="86" spans="1:10" ht="15.75" x14ac:dyDescent="0.25">
      <c r="A86" s="27" t="s">
        <v>88</v>
      </c>
      <c r="B86" s="165" t="s">
        <v>104</v>
      </c>
      <c r="C86" s="109">
        <v>150773</v>
      </c>
      <c r="D86" s="166" t="s">
        <v>54</v>
      </c>
      <c r="E86" s="109">
        <v>20</v>
      </c>
      <c r="F86" s="17">
        <v>15574.3</v>
      </c>
      <c r="G86" s="17">
        <v>15582.1</v>
      </c>
      <c r="H86" s="18">
        <f>(G86-F86)*E86</f>
        <v>156.00000000002183</v>
      </c>
      <c r="I86" s="51"/>
      <c r="J86" s="58"/>
    </row>
    <row r="87" spans="1:10" ht="15.75" x14ac:dyDescent="0.25">
      <c r="A87" s="27" t="s">
        <v>90</v>
      </c>
      <c r="B87" s="165" t="s">
        <v>104</v>
      </c>
      <c r="C87" s="109">
        <v>150791</v>
      </c>
      <c r="D87" s="166" t="s">
        <v>54</v>
      </c>
      <c r="E87" s="109">
        <v>20</v>
      </c>
      <c r="F87" s="21">
        <v>231.7</v>
      </c>
      <c r="G87" s="21">
        <v>231.7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67"/>
      <c r="C88" s="32"/>
      <c r="D88" s="82"/>
      <c r="E88" s="82"/>
      <c r="F88" s="21"/>
      <c r="G88" s="21"/>
      <c r="H88" s="48">
        <f>H84+H85</f>
        <v>18908.400000000001</v>
      </c>
      <c r="I88" s="85">
        <f>H88-H91-H86-H87</f>
        <v>379.43999999974039</v>
      </c>
      <c r="J88" s="25">
        <f>I88/H88</f>
        <v>2.0067271688759512E-2</v>
      </c>
    </row>
    <row r="89" spans="1:10" ht="15.75" x14ac:dyDescent="0.25">
      <c r="A89" s="27" t="s">
        <v>105</v>
      </c>
      <c r="B89" s="165" t="s">
        <v>53</v>
      </c>
      <c r="C89" s="106">
        <v>51431342</v>
      </c>
      <c r="D89" s="88" t="s">
        <v>35</v>
      </c>
      <c r="E89" s="165">
        <v>4800</v>
      </c>
      <c r="F89" s="21">
        <v>360.06439999999998</v>
      </c>
      <c r="G89" s="21">
        <v>361.44589999999999</v>
      </c>
      <c r="H89" s="18">
        <f>(G89-F89)*E89</f>
        <v>6631.2000000000808</v>
      </c>
      <c r="I89" s="51"/>
      <c r="J89" s="52"/>
    </row>
    <row r="90" spans="1:10" ht="15.75" x14ac:dyDescent="0.25">
      <c r="A90" s="27" t="s">
        <v>106</v>
      </c>
      <c r="B90" s="165" t="s">
        <v>53</v>
      </c>
      <c r="C90" s="106">
        <v>51431343</v>
      </c>
      <c r="D90" s="88" t="s">
        <v>35</v>
      </c>
      <c r="E90" s="165">
        <v>4800</v>
      </c>
      <c r="F90" s="21">
        <v>493.97289999999998</v>
      </c>
      <c r="G90" s="21">
        <v>496.41910000000001</v>
      </c>
      <c r="H90" s="18">
        <f>(G90-F90)*E90</f>
        <v>11741.760000000158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18372.960000000239</v>
      </c>
      <c r="I91" s="85">
        <f>H91-H99</f>
        <v>-142.5599999995502</v>
      </c>
      <c r="J91" s="25">
        <f>I91/H91</f>
        <v>-7.7592287796603458E-3</v>
      </c>
    </row>
    <row r="92" spans="1:10" ht="15.75" x14ac:dyDescent="0.25">
      <c r="A92" s="27" t="s">
        <v>108</v>
      </c>
      <c r="B92" s="165" t="s">
        <v>53</v>
      </c>
      <c r="C92" s="106">
        <v>51431347</v>
      </c>
      <c r="D92" s="166" t="s">
        <v>54</v>
      </c>
      <c r="E92" s="165">
        <v>1200</v>
      </c>
      <c r="F92" s="21">
        <v>1167.1919</v>
      </c>
      <c r="G92" s="21">
        <v>1175.6670999999999</v>
      </c>
      <c r="H92" s="18">
        <f t="shared" ref="H92:H100" si="4">(G92-F92)*E92</f>
        <v>10170.239999999831</v>
      </c>
      <c r="I92" s="51"/>
      <c r="J92" s="52"/>
    </row>
    <row r="93" spans="1:10" ht="15.75" x14ac:dyDescent="0.25">
      <c r="A93" s="27" t="s">
        <v>109</v>
      </c>
      <c r="B93" s="165" t="s">
        <v>53</v>
      </c>
      <c r="C93" s="106">
        <v>51431339</v>
      </c>
      <c r="D93" s="166" t="s">
        <v>54</v>
      </c>
      <c r="E93" s="165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65" t="s">
        <v>53</v>
      </c>
      <c r="C94" s="106">
        <v>51217244</v>
      </c>
      <c r="D94" s="165" t="s">
        <v>38</v>
      </c>
      <c r="E94" s="165">
        <v>600</v>
      </c>
      <c r="F94" s="30">
        <v>314.72660000000002</v>
      </c>
      <c r="G94" s="30">
        <v>317.2534</v>
      </c>
      <c r="H94" s="18">
        <f t="shared" si="4"/>
        <v>1516.0799999999881</v>
      </c>
      <c r="I94" s="51"/>
      <c r="J94" s="52"/>
    </row>
    <row r="95" spans="1:10" ht="15.75" x14ac:dyDescent="0.25">
      <c r="A95" s="27" t="s">
        <v>111</v>
      </c>
      <c r="B95" s="165" t="s">
        <v>53</v>
      </c>
      <c r="C95" s="106">
        <v>51217267</v>
      </c>
      <c r="D95" s="88" t="s">
        <v>64</v>
      </c>
      <c r="E95" s="165">
        <v>2400</v>
      </c>
      <c r="F95" s="30">
        <v>19.8888</v>
      </c>
      <c r="G95" s="30">
        <v>19.9221</v>
      </c>
      <c r="H95" s="18">
        <f t="shared" si="4"/>
        <v>79.920000000001323</v>
      </c>
      <c r="I95" s="51"/>
      <c r="J95" s="52"/>
    </row>
    <row r="96" spans="1:10" ht="15.75" x14ac:dyDescent="0.25">
      <c r="A96" s="27" t="s">
        <v>112</v>
      </c>
      <c r="B96" s="165" t="s">
        <v>53</v>
      </c>
      <c r="C96" s="165">
        <v>51555165</v>
      </c>
      <c r="D96" s="166" t="s">
        <v>54</v>
      </c>
      <c r="E96" s="165">
        <v>1200</v>
      </c>
      <c r="F96" s="30">
        <v>771.62789999999995</v>
      </c>
      <c r="G96" s="30">
        <v>771.62789999999995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65" t="s">
        <v>53</v>
      </c>
      <c r="C97" s="106">
        <v>51431346</v>
      </c>
      <c r="D97" s="114" t="s">
        <v>38</v>
      </c>
      <c r="E97" s="114">
        <v>600</v>
      </c>
      <c r="F97" s="30">
        <v>332.19080000000002</v>
      </c>
      <c r="G97" s="30">
        <v>332.56259999999997</v>
      </c>
      <c r="H97" s="115">
        <f t="shared" si="4"/>
        <v>223.07999999997037</v>
      </c>
      <c r="I97" s="116"/>
      <c r="J97" s="117"/>
    </row>
    <row r="98" spans="1:10" ht="15.75" x14ac:dyDescent="0.25">
      <c r="A98" s="27" t="s">
        <v>114</v>
      </c>
      <c r="B98" s="165" t="s">
        <v>53</v>
      </c>
      <c r="C98" s="106">
        <v>51431352</v>
      </c>
      <c r="D98" s="88" t="s">
        <v>22</v>
      </c>
      <c r="E98" s="165">
        <v>3600</v>
      </c>
      <c r="F98" s="21">
        <v>208.07900000000001</v>
      </c>
      <c r="G98" s="21">
        <v>209.8485</v>
      </c>
      <c r="H98" s="18">
        <f t="shared" si="4"/>
        <v>6370.1999999999771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18515.519999999789</v>
      </c>
      <c r="I99" s="51"/>
      <c r="J99" s="52"/>
    </row>
    <row r="100" spans="1:10" ht="15.75" x14ac:dyDescent="0.25">
      <c r="A100" s="45" t="s">
        <v>115</v>
      </c>
      <c r="B100" s="165" t="s">
        <v>53</v>
      </c>
      <c r="C100" s="120">
        <v>51431357</v>
      </c>
      <c r="D100" s="166" t="s">
        <v>64</v>
      </c>
      <c r="E100" s="166">
        <v>14000</v>
      </c>
      <c r="F100" s="28">
        <v>798.08320000000003</v>
      </c>
      <c r="G100" s="28">
        <v>801.75519999999995</v>
      </c>
      <c r="H100" s="121">
        <f t="shared" si="4"/>
        <v>51407.999999998763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132</v>
      </c>
      <c r="G3" s="4" t="s">
        <v>133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68" t="s">
        <v>14</v>
      </c>
      <c r="C5" s="168">
        <v>51555166</v>
      </c>
      <c r="D5" s="168" t="s">
        <v>15</v>
      </c>
      <c r="E5" s="168">
        <v>132000</v>
      </c>
      <c r="F5" s="17">
        <v>3.0007999999999999</v>
      </c>
      <c r="G5" s="17">
        <v>3.0017</v>
      </c>
      <c r="H5" s="18">
        <f>(G5-F5)*E5</f>
        <v>118.80000000001623</v>
      </c>
      <c r="I5" s="19"/>
      <c r="J5" s="20"/>
    </row>
    <row r="6" spans="1:10" ht="15.75" x14ac:dyDescent="0.25">
      <c r="A6" s="15" t="s">
        <v>16</v>
      </c>
      <c r="B6" s="168" t="s">
        <v>14</v>
      </c>
      <c r="C6" s="168">
        <v>51555191</v>
      </c>
      <c r="D6" s="168" t="s">
        <v>15</v>
      </c>
      <c r="E6" s="168">
        <v>132000</v>
      </c>
      <c r="F6" s="21">
        <v>348.3261</v>
      </c>
      <c r="G6" s="21">
        <v>350.28590000000003</v>
      </c>
      <c r="H6" s="18">
        <f>(G6-F6)*E6</f>
        <v>258693.60000000393</v>
      </c>
      <c r="I6" s="19"/>
      <c r="J6" s="20"/>
    </row>
    <row r="7" spans="1:10" ht="15.75" x14ac:dyDescent="0.25">
      <c r="A7" s="207" t="s">
        <v>17</v>
      </c>
      <c r="B7" s="208"/>
      <c r="C7" s="168"/>
      <c r="D7" s="169"/>
      <c r="E7" s="168"/>
      <c r="H7" s="23">
        <f>H5+H6</f>
        <v>258812.40000000395</v>
      </c>
      <c r="I7" s="24">
        <f>H7-H10-H20</f>
        <v>744.0000000057189</v>
      </c>
      <c r="J7" s="25">
        <f>I7/H7</f>
        <v>2.8746690653373161E-3</v>
      </c>
    </row>
    <row r="8" spans="1:10" ht="15.75" x14ac:dyDescent="0.25">
      <c r="A8" s="26" t="s">
        <v>18</v>
      </c>
      <c r="B8" s="168" t="s">
        <v>14</v>
      </c>
      <c r="C8" s="168">
        <v>51097629</v>
      </c>
      <c r="D8" s="169" t="s">
        <v>15</v>
      </c>
      <c r="E8" s="168">
        <v>42000</v>
      </c>
      <c r="F8" s="21">
        <v>1050.8181</v>
      </c>
      <c r="G8" s="21">
        <v>1055.1724999999999</v>
      </c>
      <c r="H8" s="18">
        <f>(G8-F8)*E8</f>
        <v>182884.79999999754</v>
      </c>
      <c r="I8" s="19"/>
      <c r="J8" s="20"/>
    </row>
    <row r="9" spans="1:10" ht="15.75" x14ac:dyDescent="0.25">
      <c r="A9" s="26" t="s">
        <v>19</v>
      </c>
      <c r="B9" s="168" t="s">
        <v>14</v>
      </c>
      <c r="C9" s="168">
        <v>51616820</v>
      </c>
      <c r="D9" s="169" t="s">
        <v>15</v>
      </c>
      <c r="E9" s="168">
        <v>42000</v>
      </c>
      <c r="F9" s="21">
        <v>5.157</v>
      </c>
      <c r="G9" s="21">
        <v>5.1725000000000003</v>
      </c>
      <c r="H9" s="18">
        <f>(G9-F9)*E9</f>
        <v>651.00000000001228</v>
      </c>
      <c r="I9" s="19"/>
      <c r="J9" s="20"/>
    </row>
    <row r="10" spans="1:10" ht="15.75" x14ac:dyDescent="0.25">
      <c r="A10" s="207" t="s">
        <v>20</v>
      </c>
      <c r="B10" s="208"/>
      <c r="C10" s="168"/>
      <c r="D10" s="169"/>
      <c r="E10" s="168"/>
      <c r="F10" s="21"/>
      <c r="G10" s="21"/>
      <c r="H10" s="23">
        <f>H8+H9</f>
        <v>183535.79999999754</v>
      </c>
      <c r="I10" s="24">
        <f>H10-H17</f>
        <v>77.699999995908001</v>
      </c>
      <c r="J10" s="25">
        <f>I10/H10</f>
        <v>4.2335064873397476E-4</v>
      </c>
    </row>
    <row r="11" spans="1:10" ht="15.75" x14ac:dyDescent="0.25">
      <c r="A11" s="27" t="s">
        <v>21</v>
      </c>
      <c r="B11" s="168" t="s">
        <v>14</v>
      </c>
      <c r="C11" s="168">
        <v>51217286</v>
      </c>
      <c r="D11" s="169" t="s">
        <v>22</v>
      </c>
      <c r="E11" s="168">
        <v>21000</v>
      </c>
      <c r="F11" s="21">
        <v>831.33439999999996</v>
      </c>
      <c r="G11" s="21">
        <v>834.5018</v>
      </c>
      <c r="H11" s="18">
        <f t="shared" ref="H11:H16" si="0">(G11-F11)*E11</f>
        <v>66515.400000000911</v>
      </c>
      <c r="I11" s="19"/>
      <c r="J11" s="20"/>
    </row>
    <row r="12" spans="1:10" ht="15.75" x14ac:dyDescent="0.25">
      <c r="A12" s="27" t="s">
        <v>23</v>
      </c>
      <c r="B12" s="168" t="s">
        <v>14</v>
      </c>
      <c r="C12" s="168">
        <v>51217292</v>
      </c>
      <c r="D12" s="169" t="s">
        <v>22</v>
      </c>
      <c r="E12" s="168">
        <v>21000</v>
      </c>
      <c r="F12" s="28">
        <v>3.6322000000000001</v>
      </c>
      <c r="G12" s="28">
        <v>3.6585999999999999</v>
      </c>
      <c r="H12" s="18">
        <f>(G12-F12)*E12</f>
        <v>554.39999999999486</v>
      </c>
      <c r="I12" s="19"/>
      <c r="J12" s="20"/>
    </row>
    <row r="13" spans="1:10" ht="15.75" x14ac:dyDescent="0.25">
      <c r="A13" s="27" t="s">
        <v>24</v>
      </c>
      <c r="B13" s="168" t="s">
        <v>14</v>
      </c>
      <c r="C13" s="168">
        <v>51217271</v>
      </c>
      <c r="D13" s="169" t="s">
        <v>22</v>
      </c>
      <c r="E13" s="168">
        <v>21000</v>
      </c>
      <c r="F13" s="21">
        <v>609.05579999999998</v>
      </c>
      <c r="G13" s="21">
        <v>611.7002</v>
      </c>
      <c r="H13" s="18">
        <f t="shared" si="0"/>
        <v>55532.400000000394</v>
      </c>
      <c r="I13" s="19"/>
      <c r="J13" s="20"/>
    </row>
    <row r="14" spans="1:10" ht="15.75" x14ac:dyDescent="0.25">
      <c r="A14" s="27" t="s">
        <v>25</v>
      </c>
      <c r="B14" s="168" t="s">
        <v>14</v>
      </c>
      <c r="C14" s="168">
        <v>51217276</v>
      </c>
      <c r="D14" s="169" t="s">
        <v>22</v>
      </c>
      <c r="E14" s="168">
        <v>21000</v>
      </c>
      <c r="F14" s="28">
        <v>0.56059999999999999</v>
      </c>
      <c r="G14" s="28">
        <v>0.56130000000000002</v>
      </c>
      <c r="H14" s="18">
        <f>(G14-F14)*E14</f>
        <v>14.700000000000713</v>
      </c>
      <c r="I14" s="19"/>
      <c r="J14" s="20"/>
    </row>
    <row r="15" spans="1:10" ht="15.75" x14ac:dyDescent="0.25">
      <c r="A15" s="27" t="s">
        <v>26</v>
      </c>
      <c r="B15" s="168" t="s">
        <v>14</v>
      </c>
      <c r="C15" s="168">
        <v>51100990</v>
      </c>
      <c r="D15" s="169" t="s">
        <v>22</v>
      </c>
      <c r="E15" s="168">
        <v>21000</v>
      </c>
      <c r="F15" s="29">
        <v>666.9547</v>
      </c>
      <c r="G15" s="29">
        <v>669.83960000000002</v>
      </c>
      <c r="H15" s="18">
        <f t="shared" si="0"/>
        <v>60582.900000000336</v>
      </c>
      <c r="I15" s="19"/>
      <c r="J15" s="20"/>
    </row>
    <row r="16" spans="1:10" ht="15.75" x14ac:dyDescent="0.25">
      <c r="A16" s="27" t="s">
        <v>27</v>
      </c>
      <c r="B16" s="168" t="s">
        <v>14</v>
      </c>
      <c r="C16" s="168">
        <v>51097622</v>
      </c>
      <c r="D16" s="169" t="s">
        <v>22</v>
      </c>
      <c r="E16" s="168">
        <v>21000</v>
      </c>
      <c r="F16" s="21">
        <v>2.9222999999999999</v>
      </c>
      <c r="G16" s="21">
        <v>2.9346000000000001</v>
      </c>
      <c r="H16" s="18">
        <f t="shared" si="0"/>
        <v>258.30000000000422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68"/>
      <c r="D17" s="169"/>
      <c r="E17" s="168"/>
      <c r="F17" s="21"/>
      <c r="G17" s="21"/>
      <c r="H17" s="23">
        <f>H11+H12+H13+H14+H15+H16</f>
        <v>183458.10000000164</v>
      </c>
      <c r="I17" s="19"/>
      <c r="J17" s="20"/>
    </row>
    <row r="18" spans="1:10" ht="15.75" x14ac:dyDescent="0.25">
      <c r="A18" s="26" t="s">
        <v>30</v>
      </c>
      <c r="B18" s="168" t="s">
        <v>14</v>
      </c>
      <c r="C18" s="168">
        <v>51097617</v>
      </c>
      <c r="D18" s="169" t="s">
        <v>31</v>
      </c>
      <c r="E18" s="168">
        <v>18000</v>
      </c>
      <c r="F18" s="30">
        <v>806.90980000000002</v>
      </c>
      <c r="G18" s="30">
        <v>811.05050000000006</v>
      </c>
      <c r="H18" s="18">
        <f>(G18-F18)*E18</f>
        <v>74532.60000000069</v>
      </c>
      <c r="I18" s="19"/>
      <c r="J18" s="20"/>
    </row>
    <row r="19" spans="1:10" ht="15.75" x14ac:dyDescent="0.25">
      <c r="A19" s="26" t="s">
        <v>32</v>
      </c>
      <c r="B19" s="168" t="s">
        <v>14</v>
      </c>
      <c r="C19" s="168">
        <v>51097655</v>
      </c>
      <c r="D19" s="169" t="s">
        <v>31</v>
      </c>
      <c r="E19" s="168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68"/>
      <c r="D20" s="169"/>
      <c r="E20" s="168"/>
      <c r="F20" s="30"/>
      <c r="G20" s="30"/>
      <c r="H20" s="23">
        <f>H18+H19</f>
        <v>74532.60000000069</v>
      </c>
      <c r="I20" s="24">
        <f>H20-H35</f>
        <v>2669.2200000004377</v>
      </c>
      <c r="J20" s="25">
        <f>I20/H20</f>
        <v>3.5812785277857112E-2</v>
      </c>
    </row>
    <row r="21" spans="1:10" ht="15.75" x14ac:dyDescent="0.25">
      <c r="A21" s="15" t="s">
        <v>34</v>
      </c>
      <c r="B21" s="168" t="s">
        <v>14</v>
      </c>
      <c r="C21" s="168">
        <v>51217282</v>
      </c>
      <c r="D21" s="169" t="s">
        <v>35</v>
      </c>
      <c r="E21" s="168">
        <v>4800</v>
      </c>
      <c r="F21" s="21">
        <v>379.92489999999998</v>
      </c>
      <c r="G21" s="21">
        <v>379.96949999999998</v>
      </c>
      <c r="H21" s="18">
        <f t="shared" ref="H21:H34" si="1">(G21-F21)*E21</f>
        <v>214.08000000001266</v>
      </c>
      <c r="I21" s="19" t="s">
        <v>28</v>
      </c>
      <c r="J21" s="20"/>
    </row>
    <row r="22" spans="1:10" ht="15.75" x14ac:dyDescent="0.25">
      <c r="A22" s="15" t="s">
        <v>36</v>
      </c>
      <c r="B22" s="168" t="s">
        <v>14</v>
      </c>
      <c r="C22" s="168">
        <v>51217274</v>
      </c>
      <c r="D22" s="169" t="s">
        <v>35</v>
      </c>
      <c r="E22" s="168">
        <v>4800</v>
      </c>
      <c r="F22" s="21">
        <v>1263.8901000000001</v>
      </c>
      <c r="G22" s="21">
        <v>1269.9599000000001</v>
      </c>
      <c r="H22" s="18">
        <f t="shared" si="1"/>
        <v>29135.039999999935</v>
      </c>
      <c r="I22" s="19"/>
      <c r="J22" s="20"/>
    </row>
    <row r="23" spans="1:10" ht="15.75" x14ac:dyDescent="0.25">
      <c r="A23" s="15" t="s">
        <v>37</v>
      </c>
      <c r="B23" s="168" t="s">
        <v>14</v>
      </c>
      <c r="C23" s="168">
        <v>51097664</v>
      </c>
      <c r="D23" s="169" t="s">
        <v>38</v>
      </c>
      <c r="E23" s="168">
        <v>600</v>
      </c>
      <c r="F23" s="21">
        <v>4.4409999999999998</v>
      </c>
      <c r="G23" s="21">
        <v>4.4409999999999998</v>
      </c>
      <c r="H23" s="18">
        <f t="shared" si="1"/>
        <v>0</v>
      </c>
      <c r="I23" s="19"/>
      <c r="J23" s="20"/>
    </row>
    <row r="24" spans="1:10" ht="15.75" x14ac:dyDescent="0.25">
      <c r="A24" s="15" t="s">
        <v>39</v>
      </c>
      <c r="B24" s="168" t="s">
        <v>14</v>
      </c>
      <c r="C24" s="168">
        <v>51097615</v>
      </c>
      <c r="D24" s="169" t="s">
        <v>38</v>
      </c>
      <c r="E24" s="168">
        <v>600</v>
      </c>
      <c r="F24" s="21">
        <v>39.768900000000002</v>
      </c>
      <c r="G24" s="21">
        <v>40.149500000000003</v>
      </c>
      <c r="H24" s="18">
        <f t="shared" si="1"/>
        <v>228.3600000000007</v>
      </c>
      <c r="I24" s="19"/>
      <c r="J24" s="20"/>
    </row>
    <row r="25" spans="1:10" ht="15.75" x14ac:dyDescent="0.25">
      <c r="A25" s="15" t="s">
        <v>40</v>
      </c>
      <c r="B25" s="168" t="s">
        <v>14</v>
      </c>
      <c r="C25" s="168">
        <v>51217264</v>
      </c>
      <c r="D25" s="169" t="s">
        <v>38</v>
      </c>
      <c r="E25" s="168">
        <v>600</v>
      </c>
      <c r="F25" s="21">
        <v>94.260599999999997</v>
      </c>
      <c r="G25" s="21">
        <v>94.920500000000004</v>
      </c>
      <c r="H25" s="18">
        <f t="shared" si="1"/>
        <v>395.94000000000449</v>
      </c>
      <c r="I25" s="19"/>
      <c r="J25" s="20"/>
    </row>
    <row r="26" spans="1:10" ht="15.75" x14ac:dyDescent="0.25">
      <c r="A26" s="15" t="s">
        <v>41</v>
      </c>
      <c r="B26" s="168" t="s">
        <v>14</v>
      </c>
      <c r="C26" s="168">
        <v>51217288</v>
      </c>
      <c r="D26" s="169" t="s">
        <v>38</v>
      </c>
      <c r="E26" s="168">
        <v>600</v>
      </c>
      <c r="F26" s="21">
        <v>20.023900000000001</v>
      </c>
      <c r="G26" s="21">
        <v>20.0547</v>
      </c>
      <c r="H26" s="18">
        <f t="shared" si="1"/>
        <v>18.479999999999563</v>
      </c>
      <c r="I26" s="19" t="s">
        <v>28</v>
      </c>
      <c r="J26" s="20"/>
    </row>
    <row r="27" spans="1:10" ht="15.75" x14ac:dyDescent="0.25">
      <c r="A27" s="15" t="s">
        <v>42</v>
      </c>
      <c r="B27" s="168" t="s">
        <v>14</v>
      </c>
      <c r="C27" s="168">
        <v>51217279</v>
      </c>
      <c r="D27" s="169" t="s">
        <v>38</v>
      </c>
      <c r="E27" s="168">
        <v>600</v>
      </c>
      <c r="F27" s="21">
        <v>14.511699999999999</v>
      </c>
      <c r="G27" s="21">
        <v>14.5656</v>
      </c>
      <c r="H27" s="18">
        <f t="shared" si="1"/>
        <v>32.340000000000302</v>
      </c>
      <c r="I27" s="19" t="s">
        <v>28</v>
      </c>
      <c r="J27" s="20"/>
    </row>
    <row r="28" spans="1:10" ht="15.75" x14ac:dyDescent="0.25">
      <c r="A28" s="15" t="s">
        <v>43</v>
      </c>
      <c r="B28" s="168" t="s">
        <v>14</v>
      </c>
      <c r="C28" s="168">
        <v>51217272</v>
      </c>
      <c r="D28" s="169" t="s">
        <v>38</v>
      </c>
      <c r="E28" s="168">
        <v>600</v>
      </c>
      <c r="F28" s="31">
        <v>14.2348</v>
      </c>
      <c r="G28" s="31">
        <v>14.287699999999999</v>
      </c>
      <c r="H28" s="18">
        <f t="shared" si="1"/>
        <v>31.739999999999569</v>
      </c>
      <c r="I28" s="19"/>
      <c r="J28" s="20"/>
    </row>
    <row r="29" spans="1:10" ht="15.75" x14ac:dyDescent="0.25">
      <c r="A29" s="15" t="s">
        <v>44</v>
      </c>
      <c r="B29" s="168" t="s">
        <v>14</v>
      </c>
      <c r="C29" s="168">
        <v>51616744</v>
      </c>
      <c r="D29" s="169">
        <f>300/5</f>
        <v>60</v>
      </c>
      <c r="E29" s="168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68" t="s">
        <v>14</v>
      </c>
      <c r="C30" s="168">
        <v>51555226</v>
      </c>
      <c r="D30" s="169">
        <f>300/5</f>
        <v>60</v>
      </c>
      <c r="E30" s="168">
        <v>3600</v>
      </c>
      <c r="F30" s="31">
        <v>459.78789999999998</v>
      </c>
      <c r="G30" s="31">
        <v>463.71960000000001</v>
      </c>
      <c r="H30" s="18">
        <f>(G30-F30)*E30</f>
        <v>14154.120000000126</v>
      </c>
      <c r="I30" s="19"/>
      <c r="J30" s="20"/>
    </row>
    <row r="31" spans="1:10" ht="15.75" x14ac:dyDescent="0.25">
      <c r="A31" s="15" t="s">
        <v>46</v>
      </c>
      <c r="B31" s="168" t="s">
        <v>14</v>
      </c>
      <c r="C31" s="168">
        <v>51097658</v>
      </c>
      <c r="D31" s="169" t="s">
        <v>35</v>
      </c>
      <c r="E31" s="168">
        <v>4800</v>
      </c>
      <c r="F31" s="31">
        <v>618.5104</v>
      </c>
      <c r="G31" s="31">
        <v>621.73760000000004</v>
      </c>
      <c r="H31" s="18">
        <f t="shared" si="1"/>
        <v>15490.560000000187</v>
      </c>
      <c r="I31" s="19"/>
      <c r="J31" s="20"/>
    </row>
    <row r="32" spans="1:10" ht="15.75" x14ac:dyDescent="0.25">
      <c r="A32" s="15" t="s">
        <v>47</v>
      </c>
      <c r="B32" s="168" t="s">
        <v>14</v>
      </c>
      <c r="C32" s="168">
        <v>51097635</v>
      </c>
      <c r="D32" s="169" t="s">
        <v>35</v>
      </c>
      <c r="E32" s="168">
        <v>4800</v>
      </c>
      <c r="F32" s="31">
        <v>48.454000000000001</v>
      </c>
      <c r="G32" s="31">
        <v>48.4557</v>
      </c>
      <c r="H32" s="18">
        <f t="shared" si="1"/>
        <v>8.1599999999980355</v>
      </c>
      <c r="I32" s="19"/>
      <c r="J32" s="20"/>
    </row>
    <row r="33" spans="1:10" ht="15.75" x14ac:dyDescent="0.25">
      <c r="A33" s="15" t="s">
        <v>48</v>
      </c>
      <c r="B33" s="168" t="s">
        <v>14</v>
      </c>
      <c r="C33" s="32">
        <v>51097633</v>
      </c>
      <c r="D33" s="169" t="s">
        <v>35</v>
      </c>
      <c r="E33" s="168">
        <v>4800</v>
      </c>
      <c r="F33" s="31">
        <v>156.27950000000001</v>
      </c>
      <c r="G33" s="31">
        <v>158.75630000000001</v>
      </c>
      <c r="H33" s="33">
        <f t="shared" si="1"/>
        <v>11888.639999999987</v>
      </c>
      <c r="I33" s="34"/>
      <c r="J33" s="35"/>
    </row>
    <row r="34" spans="1:10" ht="15.75" x14ac:dyDescent="0.25">
      <c r="A34" s="15" t="s">
        <v>49</v>
      </c>
      <c r="B34" s="168" t="s">
        <v>14</v>
      </c>
      <c r="C34" s="32">
        <v>51097662</v>
      </c>
      <c r="D34" s="169" t="s">
        <v>35</v>
      </c>
      <c r="E34" s="168">
        <v>4800</v>
      </c>
      <c r="F34" s="31">
        <v>3.1402000000000001</v>
      </c>
      <c r="G34" s="31">
        <v>3.1956000000000002</v>
      </c>
      <c r="H34" s="33">
        <f t="shared" si="1"/>
        <v>265.92000000000053</v>
      </c>
      <c r="I34" s="34"/>
      <c r="J34" s="35"/>
    </row>
    <row r="35" spans="1:10" ht="15.75" x14ac:dyDescent="0.25">
      <c r="A35" s="207" t="s">
        <v>50</v>
      </c>
      <c r="B35" s="208"/>
      <c r="C35" s="168"/>
      <c r="D35" s="169"/>
      <c r="E35" s="168"/>
      <c r="F35" s="36"/>
      <c r="G35" s="36"/>
      <c r="H35" s="23">
        <f>H21+H22+H23+H24+H25+H26+H27+H28+H29+H30+H31+H32+H33+H34</f>
        <v>71863.380000000252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68" t="s">
        <v>53</v>
      </c>
      <c r="C37" s="168">
        <v>51555209</v>
      </c>
      <c r="D37" s="169" t="s">
        <v>54</v>
      </c>
      <c r="E37" s="168">
        <v>7000</v>
      </c>
      <c r="F37" s="17">
        <v>5.2984999999999998</v>
      </c>
      <c r="G37" s="17">
        <v>5.3459000000000003</v>
      </c>
      <c r="H37" s="41">
        <f>(G37-F37)*E37</f>
        <v>331.80000000000388</v>
      </c>
      <c r="I37" s="42"/>
      <c r="J37" s="14"/>
    </row>
    <row r="38" spans="1:10" ht="15.75" x14ac:dyDescent="0.25">
      <c r="A38" s="15" t="s">
        <v>55</v>
      </c>
      <c r="B38" s="168" t="s">
        <v>53</v>
      </c>
      <c r="C38" s="168">
        <v>51555209</v>
      </c>
      <c r="D38" s="169" t="s">
        <v>54</v>
      </c>
      <c r="E38" s="168">
        <v>7000</v>
      </c>
      <c r="F38" s="21">
        <v>9.8242999999999991</v>
      </c>
      <c r="G38" s="21">
        <v>9.8660999999999994</v>
      </c>
      <c r="H38" s="18">
        <f>(G38-F38)*E38</f>
        <v>292.60000000000196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68" t="s">
        <v>53</v>
      </c>
      <c r="C40" s="168">
        <v>51097674</v>
      </c>
      <c r="D40" s="168" t="s">
        <v>15</v>
      </c>
      <c r="E40" s="168">
        <v>7200</v>
      </c>
      <c r="F40" s="21">
        <v>566.08180000000004</v>
      </c>
      <c r="G40" s="21">
        <v>568.46640000000002</v>
      </c>
      <c r="H40" s="18">
        <f>(G40-F40)*E40</f>
        <v>17169.119999999839</v>
      </c>
      <c r="I40" s="47"/>
      <c r="J40" s="20"/>
    </row>
    <row r="41" spans="1:10" ht="15.75" x14ac:dyDescent="0.25">
      <c r="A41" s="27" t="s">
        <v>58</v>
      </c>
      <c r="B41" s="168" t="s">
        <v>53</v>
      </c>
      <c r="C41" s="168">
        <v>51259257</v>
      </c>
      <c r="D41" s="168" t="s">
        <v>15</v>
      </c>
      <c r="E41" s="168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68"/>
      <c r="C42" s="168"/>
      <c r="D42" s="168"/>
      <c r="E42" s="168"/>
      <c r="F42" s="21"/>
      <c r="G42" s="21"/>
      <c r="H42" s="48">
        <f>H40+H41</f>
        <v>17169.119999999839</v>
      </c>
      <c r="I42" s="24">
        <f>H42-H50</f>
        <v>-123.08000000001994</v>
      </c>
      <c r="J42" s="25">
        <f>I42/H42</f>
        <v>-7.1686842424085271E-3</v>
      </c>
    </row>
    <row r="43" spans="1:10" ht="15.75" x14ac:dyDescent="0.25">
      <c r="A43" s="15" t="s">
        <v>60</v>
      </c>
      <c r="B43" s="168"/>
      <c r="C43" s="168"/>
      <c r="D43" s="169"/>
      <c r="E43" s="168"/>
      <c r="H43" s="18"/>
      <c r="I43" s="43"/>
      <c r="J43" s="20"/>
    </row>
    <row r="44" spans="1:10" ht="15.75" x14ac:dyDescent="0.25">
      <c r="A44" s="27" t="s">
        <v>61</v>
      </c>
      <c r="B44" s="168" t="s">
        <v>53</v>
      </c>
      <c r="C44" s="32">
        <v>51097648</v>
      </c>
      <c r="D44" s="168" t="s">
        <v>54</v>
      </c>
      <c r="E44" s="168">
        <v>1200</v>
      </c>
      <c r="F44" s="21">
        <v>463.99110000000002</v>
      </c>
      <c r="G44" s="21">
        <v>465.86950000000002</v>
      </c>
      <c r="H44" s="33">
        <f>(G44-F44)*E44</f>
        <v>2254.079999999999</v>
      </c>
      <c r="I44" s="43"/>
      <c r="J44" s="20"/>
    </row>
    <row r="45" spans="1:10" ht="15.75" x14ac:dyDescent="0.25">
      <c r="A45" s="27" t="s">
        <v>62</v>
      </c>
      <c r="B45" s="168" t="s">
        <v>53</v>
      </c>
      <c r="C45" s="32">
        <v>50555043</v>
      </c>
      <c r="D45" s="168" t="s">
        <v>54</v>
      </c>
      <c r="E45" s="168">
        <v>1200</v>
      </c>
      <c r="F45" s="21">
        <v>1939.6377</v>
      </c>
      <c r="G45" s="21">
        <v>1947.5891999999999</v>
      </c>
      <c r="H45" s="33">
        <f>(G45-F45)*E45</f>
        <v>9541.7999999998756</v>
      </c>
      <c r="I45" s="43"/>
      <c r="J45" s="20"/>
    </row>
    <row r="46" spans="1:10" ht="15.75" x14ac:dyDescent="0.25">
      <c r="A46" s="27" t="s">
        <v>63</v>
      </c>
      <c r="B46" s="168" t="s">
        <v>53</v>
      </c>
      <c r="C46" s="32">
        <v>51259336</v>
      </c>
      <c r="D46" s="168" t="s">
        <v>64</v>
      </c>
      <c r="E46" s="168">
        <v>2400</v>
      </c>
      <c r="F46" s="21">
        <v>3.9712000000000001</v>
      </c>
      <c r="G46" s="21">
        <v>3.9847999999999999</v>
      </c>
      <c r="H46" s="33">
        <f>(G46-F46)*E46</f>
        <v>32.639999999999603</v>
      </c>
      <c r="I46" s="43"/>
      <c r="J46" s="20"/>
    </row>
    <row r="47" spans="1:10" ht="15.75" x14ac:dyDescent="0.25">
      <c r="A47" s="27" t="s">
        <v>65</v>
      </c>
      <c r="B47" s="168" t="s">
        <v>53</v>
      </c>
      <c r="C47" s="32">
        <v>51259266</v>
      </c>
      <c r="D47" s="168" t="s">
        <v>54</v>
      </c>
      <c r="E47" s="168">
        <v>1200</v>
      </c>
      <c r="F47" s="21">
        <v>940.80240000000003</v>
      </c>
      <c r="G47" s="21">
        <v>944.92020000000002</v>
      </c>
      <c r="H47" s="33">
        <f>(G47-F47)*E47</f>
        <v>4941.359999999986</v>
      </c>
      <c r="I47" s="43"/>
      <c r="J47" s="20"/>
    </row>
    <row r="48" spans="1:10" ht="15.75" x14ac:dyDescent="0.25">
      <c r="A48" s="27" t="s">
        <v>66</v>
      </c>
      <c r="B48" s="168" t="s">
        <v>53</v>
      </c>
      <c r="C48" s="32">
        <v>51431336</v>
      </c>
      <c r="D48" s="168" t="s">
        <v>54</v>
      </c>
      <c r="E48" s="168">
        <v>1200</v>
      </c>
      <c r="F48" s="21">
        <v>53.763199999999998</v>
      </c>
      <c r="G48" s="21">
        <v>54.156799999999997</v>
      </c>
      <c r="H48" s="33">
        <f>(G48-F48)*E48</f>
        <v>472.31999999999914</v>
      </c>
      <c r="I48" s="43"/>
      <c r="J48" s="20"/>
    </row>
    <row r="49" spans="1:10" ht="15.75" x14ac:dyDescent="0.25">
      <c r="A49" s="15" t="s">
        <v>67</v>
      </c>
      <c r="B49" s="168" t="s">
        <v>68</v>
      </c>
      <c r="C49" s="168">
        <v>49174</v>
      </c>
      <c r="D49" s="169" t="s">
        <v>54</v>
      </c>
      <c r="E49" s="168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17292.199999999859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68" t="s">
        <v>53</v>
      </c>
      <c r="C52" s="168">
        <v>51097603</v>
      </c>
      <c r="D52" s="169" t="s">
        <v>54</v>
      </c>
      <c r="E52" s="168">
        <v>7000</v>
      </c>
      <c r="F52" s="17">
        <v>1859.8063999999999</v>
      </c>
      <c r="G52" s="17">
        <v>1866.6486</v>
      </c>
      <c r="H52" s="18">
        <f>(G52-F52)*E52</f>
        <v>47895.400000000336</v>
      </c>
      <c r="I52" s="43"/>
      <c r="J52" s="20"/>
    </row>
    <row r="53" spans="1:10" ht="15.75" x14ac:dyDescent="0.25">
      <c r="A53" s="27" t="s">
        <v>73</v>
      </c>
      <c r="B53" s="168" t="s">
        <v>53</v>
      </c>
      <c r="C53" s="168">
        <v>51097590</v>
      </c>
      <c r="D53" s="169" t="s">
        <v>54</v>
      </c>
      <c r="E53" s="168">
        <v>7000</v>
      </c>
      <c r="F53" s="21">
        <v>11.885199999999999</v>
      </c>
      <c r="G53" s="21">
        <v>11.9628</v>
      </c>
      <c r="H53" s="18">
        <f>(G53-F53)*E53</f>
        <v>543.20000000000232</v>
      </c>
      <c r="I53" s="43"/>
      <c r="J53" s="20"/>
    </row>
    <row r="54" spans="1:10" ht="15.75" x14ac:dyDescent="0.25">
      <c r="A54" s="15" t="s">
        <v>67</v>
      </c>
      <c r="B54" s="168" t="s">
        <v>68</v>
      </c>
      <c r="C54" s="168">
        <v>49174</v>
      </c>
      <c r="D54" s="169" t="s">
        <v>54</v>
      </c>
      <c r="E54" s="168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68"/>
      <c r="D55" s="169"/>
      <c r="E55" s="168"/>
      <c r="F55" s="21"/>
      <c r="G55" s="21"/>
      <c r="H55" s="48">
        <f>H52+H53+H54</f>
        <v>48538.600000000341</v>
      </c>
      <c r="I55" s="47"/>
      <c r="J55" s="59"/>
    </row>
    <row r="56" spans="1:10" ht="15.75" x14ac:dyDescent="0.25">
      <c r="A56" s="27" t="s">
        <v>75</v>
      </c>
      <c r="B56" s="168" t="s">
        <v>53</v>
      </c>
      <c r="C56" s="168">
        <v>51100980</v>
      </c>
      <c r="D56" s="168" t="s">
        <v>76</v>
      </c>
      <c r="E56" s="168">
        <v>12000</v>
      </c>
      <c r="F56" s="21">
        <v>1094.2295999999999</v>
      </c>
      <c r="G56" s="21">
        <v>1098.2603999999999</v>
      </c>
      <c r="H56" s="18">
        <f>(G56-F56)*E56</f>
        <v>48369.599999999991</v>
      </c>
      <c r="I56" s="47"/>
      <c r="J56" s="58"/>
    </row>
    <row r="57" spans="1:10" ht="15.75" x14ac:dyDescent="0.25">
      <c r="A57" s="27" t="s">
        <v>77</v>
      </c>
      <c r="B57" s="168" t="s">
        <v>53</v>
      </c>
      <c r="C57" s="168">
        <v>51097623</v>
      </c>
      <c r="D57" s="168" t="s">
        <v>76</v>
      </c>
      <c r="E57" s="168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68"/>
      <c r="C58" s="168"/>
      <c r="D58" s="168"/>
      <c r="E58" s="168"/>
      <c r="F58" s="21"/>
      <c r="G58" s="21"/>
      <c r="H58" s="48">
        <f>H56+H57</f>
        <v>48369.599999999991</v>
      </c>
      <c r="I58" s="61">
        <f>H55-H65-H54</f>
        <v>-29.640000000130385</v>
      </c>
      <c r="J58" s="25">
        <f>I58/H58</f>
        <v>-6.1278158182268179E-4</v>
      </c>
    </row>
    <row r="59" spans="1:10" ht="15.75" x14ac:dyDescent="0.25">
      <c r="A59" s="27" t="s">
        <v>79</v>
      </c>
      <c r="B59" s="168" t="s">
        <v>53</v>
      </c>
      <c r="C59" s="168">
        <v>51097675</v>
      </c>
      <c r="D59" s="168" t="s">
        <v>35</v>
      </c>
      <c r="E59" s="168">
        <v>4800</v>
      </c>
      <c r="F59" s="21">
        <v>476.87079999999997</v>
      </c>
      <c r="G59" s="21">
        <v>479.71870000000001</v>
      </c>
      <c r="H59" s="18">
        <f t="shared" ref="H59:H64" si="2">(G59-F59)*E59</f>
        <v>13669.920000000184</v>
      </c>
      <c r="I59" s="62"/>
      <c r="J59" s="59"/>
    </row>
    <row r="60" spans="1:10" ht="15.75" x14ac:dyDescent="0.25">
      <c r="A60" s="27" t="s">
        <v>80</v>
      </c>
      <c r="B60" s="168" t="s">
        <v>53</v>
      </c>
      <c r="C60" s="168">
        <v>51100997</v>
      </c>
      <c r="D60" s="168" t="s">
        <v>22</v>
      </c>
      <c r="E60" s="168">
        <v>3600</v>
      </c>
      <c r="F60" s="21">
        <v>1335.8088</v>
      </c>
      <c r="G60" s="21">
        <v>1338.8759</v>
      </c>
      <c r="H60" s="18">
        <f t="shared" si="2"/>
        <v>11041.559999999936</v>
      </c>
      <c r="I60" s="62"/>
      <c r="J60" s="59"/>
    </row>
    <row r="61" spans="1:10" ht="15.75" x14ac:dyDescent="0.25">
      <c r="A61" s="27" t="s">
        <v>81</v>
      </c>
      <c r="B61" s="168" t="s">
        <v>53</v>
      </c>
      <c r="C61" s="168">
        <v>51555218</v>
      </c>
      <c r="D61" s="168">
        <f>400/5</f>
        <v>80</v>
      </c>
      <c r="E61" s="168">
        <v>4800</v>
      </c>
      <c r="F61" s="21">
        <v>58.709099999999999</v>
      </c>
      <c r="G61" s="21">
        <v>59.188600000000001</v>
      </c>
      <c r="H61" s="18">
        <f t="shared" si="2"/>
        <v>2301.6000000000076</v>
      </c>
      <c r="I61" s="62"/>
      <c r="J61" s="59"/>
    </row>
    <row r="62" spans="1:10" ht="15.75" x14ac:dyDescent="0.25">
      <c r="A62" s="27" t="s">
        <v>82</v>
      </c>
      <c r="B62" s="168" t="s">
        <v>53</v>
      </c>
      <c r="C62" s="168">
        <v>51555151</v>
      </c>
      <c r="D62" s="168">
        <f>400/5</f>
        <v>80</v>
      </c>
      <c r="E62" s="168">
        <v>4800</v>
      </c>
      <c r="F62" s="63">
        <v>0.30659999999999998</v>
      </c>
      <c r="G62" s="63">
        <v>0.30659999999999998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68" t="s">
        <v>53</v>
      </c>
      <c r="C63" s="168">
        <v>51097599</v>
      </c>
      <c r="D63" s="168" t="s">
        <v>22</v>
      </c>
      <c r="E63" s="168">
        <v>3600</v>
      </c>
      <c r="F63" s="21">
        <v>937.92819999999995</v>
      </c>
      <c r="G63" s="21">
        <v>940.29489999999998</v>
      </c>
      <c r="H63" s="18">
        <f t="shared" si="2"/>
        <v>8520.1200000001336</v>
      </c>
      <c r="I63" s="62"/>
      <c r="J63" s="59"/>
    </row>
    <row r="64" spans="1:10" ht="15.75" x14ac:dyDescent="0.25">
      <c r="A64" s="27" t="s">
        <v>84</v>
      </c>
      <c r="B64" s="168" t="s">
        <v>53</v>
      </c>
      <c r="C64" s="168">
        <v>51097620</v>
      </c>
      <c r="D64" s="168" t="s">
        <v>35</v>
      </c>
      <c r="E64" s="168">
        <v>4800</v>
      </c>
      <c r="F64" s="21">
        <v>483.99919999999997</v>
      </c>
      <c r="G64" s="21">
        <v>486.69400000000002</v>
      </c>
      <c r="H64" s="18">
        <f t="shared" si="2"/>
        <v>12935.040000000208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48468.240000000471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68" t="s">
        <v>53</v>
      </c>
      <c r="C67" s="9">
        <v>51259238</v>
      </c>
      <c r="D67" s="74" t="s">
        <v>54</v>
      </c>
      <c r="E67" s="74">
        <v>7000</v>
      </c>
      <c r="F67" s="75">
        <v>525.76890000000003</v>
      </c>
      <c r="G67" s="75">
        <v>528.44759999999997</v>
      </c>
      <c r="H67" s="76">
        <f>(G67-F67)*E67</f>
        <v>18750.899999999547</v>
      </c>
      <c r="I67" s="77"/>
      <c r="J67" s="78"/>
    </row>
    <row r="68" spans="1:10" ht="15.75" x14ac:dyDescent="0.25">
      <c r="A68" s="27" t="s">
        <v>87</v>
      </c>
      <c r="B68" s="168" t="s">
        <v>53</v>
      </c>
      <c r="C68" s="168">
        <v>51259324</v>
      </c>
      <c r="D68" s="169" t="s">
        <v>54</v>
      </c>
      <c r="E68" s="169">
        <v>7000</v>
      </c>
      <c r="F68" s="21">
        <v>409.7088</v>
      </c>
      <c r="G68" s="21">
        <v>411.73050000000001</v>
      </c>
      <c r="H68" s="18">
        <f>(G68-F68)*E68</f>
        <v>14151.900000000069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68">
        <v>51491618</v>
      </c>
      <c r="D69" s="169" t="s">
        <v>64</v>
      </c>
      <c r="E69" s="168">
        <v>40</v>
      </c>
      <c r="F69" s="28">
        <v>1129.0605</v>
      </c>
      <c r="G69" s="28">
        <v>1139.299</v>
      </c>
      <c r="H69" s="18">
        <f>(G69-F69)*E69</f>
        <v>409.53999999999724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68">
        <v>51491624</v>
      </c>
      <c r="D70" s="169" t="s">
        <v>64</v>
      </c>
      <c r="E70" s="168">
        <v>40</v>
      </c>
      <c r="F70" s="28">
        <v>163.37</v>
      </c>
      <c r="G70" s="28">
        <v>164.16249999999999</v>
      </c>
      <c r="H70" s="18">
        <f>(G70-F70)*E70</f>
        <v>31.699999999999591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32902.799999999617</v>
      </c>
      <c r="I71" s="85">
        <f>H71-H74-H69-H70</f>
        <v>-734.04000000005067</v>
      </c>
      <c r="J71" s="25">
        <f>I71/H71</f>
        <v>-2.2309347532734575E-2</v>
      </c>
    </row>
    <row r="72" spans="1:10" ht="15.75" x14ac:dyDescent="0.25">
      <c r="A72" s="27" t="s">
        <v>92</v>
      </c>
      <c r="B72" s="168" t="s">
        <v>53</v>
      </c>
      <c r="C72" s="86">
        <v>51097588</v>
      </c>
      <c r="D72" s="169" t="s">
        <v>76</v>
      </c>
      <c r="E72" s="168">
        <v>12000</v>
      </c>
      <c r="F72" s="21">
        <v>316.03050000000002</v>
      </c>
      <c r="G72" s="21">
        <v>317.56979999999999</v>
      </c>
      <c r="H72" s="18">
        <f>(G72-F72)*E72</f>
        <v>18471.599999999627</v>
      </c>
      <c r="I72" s="51"/>
      <c r="J72" s="58"/>
    </row>
    <row r="73" spans="1:10" ht="15.75" x14ac:dyDescent="0.25">
      <c r="A73" s="27" t="s">
        <v>93</v>
      </c>
      <c r="B73" s="168" t="s">
        <v>53</v>
      </c>
      <c r="C73" s="86">
        <v>51431335</v>
      </c>
      <c r="D73" s="169" t="s">
        <v>76</v>
      </c>
      <c r="E73" s="168">
        <v>12000</v>
      </c>
      <c r="F73" s="21">
        <v>250.93119999999999</v>
      </c>
      <c r="G73" s="21">
        <v>252.15819999999999</v>
      </c>
      <c r="H73" s="18">
        <f>(G73-F73)*E73</f>
        <v>14724.000000000047</v>
      </c>
      <c r="I73" s="51"/>
      <c r="J73" s="58"/>
    </row>
    <row r="74" spans="1:10" ht="15.75" x14ac:dyDescent="0.25">
      <c r="A74" s="87" t="s">
        <v>94</v>
      </c>
      <c r="B74" s="168" t="s">
        <v>28</v>
      </c>
      <c r="C74" s="168"/>
      <c r="D74" s="169"/>
      <c r="E74" s="168"/>
      <c r="F74" s="21"/>
      <c r="G74" s="21"/>
      <c r="H74" s="48">
        <f>H72+ H73</f>
        <v>33195.599999999671</v>
      </c>
      <c r="I74" s="85">
        <f>H74-H82</f>
        <v>-60.600000000289583</v>
      </c>
      <c r="J74" s="25">
        <f>I74/H74</f>
        <v>-1.8255431442808741E-3</v>
      </c>
    </row>
    <row r="75" spans="1:10" ht="15.75" x14ac:dyDescent="0.25">
      <c r="A75" s="27" t="s">
        <v>95</v>
      </c>
      <c r="B75" s="168" t="s">
        <v>53</v>
      </c>
      <c r="C75" s="86">
        <v>51097676</v>
      </c>
      <c r="D75" s="88" t="s">
        <v>64</v>
      </c>
      <c r="E75" s="168">
        <v>2400</v>
      </c>
      <c r="F75" s="21">
        <v>660.39959999999996</v>
      </c>
      <c r="G75" s="21">
        <v>663.80870000000004</v>
      </c>
      <c r="H75" s="18">
        <f>(G75-F75)*E75</f>
        <v>8181.840000000193</v>
      </c>
      <c r="I75" s="51"/>
      <c r="J75" s="58"/>
    </row>
    <row r="76" spans="1:10" ht="15.75" x14ac:dyDescent="0.25">
      <c r="A76" s="27" t="s">
        <v>96</v>
      </c>
      <c r="B76" s="168" t="s">
        <v>53</v>
      </c>
      <c r="C76" s="86">
        <v>51431355</v>
      </c>
      <c r="D76" s="169" t="s">
        <v>22</v>
      </c>
      <c r="E76" s="169">
        <v>3600</v>
      </c>
      <c r="F76" s="21">
        <v>350.1705</v>
      </c>
      <c r="G76" s="21">
        <v>351.56049999999999</v>
      </c>
      <c r="H76" s="18">
        <f>(G76-F76)*E76</f>
        <v>5003.9999999999509</v>
      </c>
      <c r="I76" s="51"/>
      <c r="J76" s="52"/>
    </row>
    <row r="77" spans="1:10" ht="15.75" x14ac:dyDescent="0.25">
      <c r="A77" s="27" t="s">
        <v>97</v>
      </c>
      <c r="B77" s="168" t="s">
        <v>53</v>
      </c>
      <c r="C77" s="86">
        <v>51259331</v>
      </c>
      <c r="D77" s="88" t="s">
        <v>38</v>
      </c>
      <c r="E77" s="168">
        <v>600</v>
      </c>
      <c r="F77" s="21">
        <v>154.9571</v>
      </c>
      <c r="G77" s="21">
        <v>155.8073</v>
      </c>
      <c r="H77" s="18">
        <f>(G77-F77)*E77</f>
        <v>510.12000000000057</v>
      </c>
      <c r="I77" s="51"/>
      <c r="J77" s="52"/>
    </row>
    <row r="78" spans="1:10" ht="15.75" x14ac:dyDescent="0.25">
      <c r="A78" s="27" t="s">
        <v>98</v>
      </c>
      <c r="B78" s="168" t="s">
        <v>53</v>
      </c>
      <c r="C78" s="86">
        <v>51259326</v>
      </c>
      <c r="D78" s="88" t="s">
        <v>15</v>
      </c>
      <c r="E78" s="168">
        <v>7200</v>
      </c>
      <c r="F78" s="21">
        <v>315.11250000000001</v>
      </c>
      <c r="G78" s="21">
        <v>316.54919999999998</v>
      </c>
      <c r="H78" s="18">
        <f>(G78-F78)*E78</f>
        <v>10344.239999999809</v>
      </c>
      <c r="I78" s="51"/>
      <c r="J78" s="52"/>
    </row>
    <row r="79" spans="1:10" ht="15.75" x14ac:dyDescent="0.25">
      <c r="A79" s="27" t="s">
        <v>99</v>
      </c>
      <c r="B79" s="168" t="s">
        <v>53</v>
      </c>
      <c r="C79" s="86">
        <v>51431351</v>
      </c>
      <c r="D79" s="88" t="s">
        <v>15</v>
      </c>
      <c r="E79" s="168">
        <v>7200</v>
      </c>
      <c r="F79" s="21">
        <v>223.4665</v>
      </c>
      <c r="G79" s="21">
        <v>224.7465</v>
      </c>
      <c r="H79" s="18">
        <f>(G79-F79)*E79</f>
        <v>9216.0000000000073</v>
      </c>
      <c r="I79" s="51"/>
      <c r="J79" s="52"/>
    </row>
    <row r="80" spans="1:10" ht="15.75" x14ac:dyDescent="0.25">
      <c r="A80" s="89" t="s">
        <v>100</v>
      </c>
      <c r="B80" s="168" t="s">
        <v>53</v>
      </c>
      <c r="C80" s="90">
        <v>51097666</v>
      </c>
      <c r="D80" s="88" t="s">
        <v>64</v>
      </c>
      <c r="E80" s="168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68" t="s">
        <v>53</v>
      </c>
      <c r="C81" s="90">
        <v>51259323</v>
      </c>
      <c r="D81" s="88" t="s">
        <v>64</v>
      </c>
      <c r="E81" s="168">
        <v>2400</v>
      </c>
      <c r="F81" s="31">
        <v>7.6399999999999996E-2</v>
      </c>
      <c r="G81" s="31">
        <v>7.6399999999999996E-2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33256.199999999961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68" t="s">
        <v>53</v>
      </c>
      <c r="C84" s="106">
        <v>51431297</v>
      </c>
      <c r="D84" s="169" t="s">
        <v>54</v>
      </c>
      <c r="E84" s="100">
        <v>7000</v>
      </c>
      <c r="F84" s="17">
        <v>254.9436</v>
      </c>
      <c r="G84" s="17">
        <v>255.8817</v>
      </c>
      <c r="H84" s="18">
        <f>(G84-F84)*E84</f>
        <v>6566.6999999999407</v>
      </c>
      <c r="I84" s="107"/>
      <c r="J84" s="108"/>
    </row>
    <row r="85" spans="1:10" ht="15.75" x14ac:dyDescent="0.25">
      <c r="A85" s="105" t="s">
        <v>87</v>
      </c>
      <c r="B85" s="168" t="s">
        <v>53</v>
      </c>
      <c r="C85" s="106">
        <v>51431332</v>
      </c>
      <c r="D85" s="169" t="s">
        <v>54</v>
      </c>
      <c r="E85" s="100">
        <v>7000</v>
      </c>
      <c r="F85" s="21">
        <v>350.99740000000003</v>
      </c>
      <c r="G85" s="21">
        <v>352.7124</v>
      </c>
      <c r="H85" s="18">
        <f>(G85-F85)*E85</f>
        <v>12004.999999999825</v>
      </c>
      <c r="I85" s="168"/>
      <c r="J85" s="58"/>
    </row>
    <row r="86" spans="1:10" ht="15.75" x14ac:dyDescent="0.25">
      <c r="A86" s="27" t="s">
        <v>88</v>
      </c>
      <c r="B86" s="168" t="s">
        <v>104</v>
      </c>
      <c r="C86" s="109">
        <v>150773</v>
      </c>
      <c r="D86" s="169" t="s">
        <v>54</v>
      </c>
      <c r="E86" s="109">
        <v>20</v>
      </c>
      <c r="F86" s="17">
        <v>15582.1</v>
      </c>
      <c r="G86" s="17">
        <v>15589.7</v>
      </c>
      <c r="H86" s="18">
        <f>(G86-F86)*E86</f>
        <v>152.00000000000728</v>
      </c>
      <c r="I86" s="51"/>
      <c r="J86" s="58"/>
    </row>
    <row r="87" spans="1:10" ht="15.75" x14ac:dyDescent="0.25">
      <c r="A87" s="27" t="s">
        <v>90</v>
      </c>
      <c r="B87" s="168" t="s">
        <v>104</v>
      </c>
      <c r="C87" s="109">
        <v>150791</v>
      </c>
      <c r="D87" s="169" t="s">
        <v>54</v>
      </c>
      <c r="E87" s="109">
        <v>20</v>
      </c>
      <c r="F87" s="21">
        <v>231.7</v>
      </c>
      <c r="G87" s="21">
        <v>231.7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70"/>
      <c r="C88" s="32"/>
      <c r="D88" s="82"/>
      <c r="E88" s="82"/>
      <c r="F88" s="21"/>
      <c r="G88" s="21"/>
      <c r="H88" s="48">
        <f>H84+H85</f>
        <v>18571.699999999764</v>
      </c>
      <c r="I88" s="85">
        <f>H88-H91-H86-H87</f>
        <v>379.85999999966225</v>
      </c>
      <c r="J88" s="25">
        <f>I88/H88</f>
        <v>2.0453701061274254E-2</v>
      </c>
    </row>
    <row r="89" spans="1:10" ht="15.75" x14ac:dyDescent="0.25">
      <c r="A89" s="27" t="s">
        <v>105</v>
      </c>
      <c r="B89" s="168" t="s">
        <v>53</v>
      </c>
      <c r="C89" s="106">
        <v>51431342</v>
      </c>
      <c r="D89" s="88" t="s">
        <v>35</v>
      </c>
      <c r="E89" s="168">
        <v>4800</v>
      </c>
      <c r="F89" s="21">
        <v>361.44589999999999</v>
      </c>
      <c r="G89" s="21">
        <v>362.78390000000002</v>
      </c>
      <c r="H89" s="18">
        <f>(G89-F89)*E89</f>
        <v>6422.400000000107</v>
      </c>
      <c r="I89" s="51"/>
      <c r="J89" s="52"/>
    </row>
    <row r="90" spans="1:10" ht="15.75" x14ac:dyDescent="0.25">
      <c r="A90" s="27" t="s">
        <v>106</v>
      </c>
      <c r="B90" s="168" t="s">
        <v>53</v>
      </c>
      <c r="C90" s="106">
        <v>51431343</v>
      </c>
      <c r="D90" s="88" t="s">
        <v>35</v>
      </c>
      <c r="E90" s="168">
        <v>4800</v>
      </c>
      <c r="F90" s="21">
        <v>496.41910000000001</v>
      </c>
      <c r="G90" s="21">
        <v>498.83940000000001</v>
      </c>
      <c r="H90" s="18">
        <f>(G90-F90)*E90</f>
        <v>11617.439999999988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18039.840000000095</v>
      </c>
      <c r="I91" s="85">
        <f>H91-H99</f>
        <v>1062.7000000000626</v>
      </c>
      <c r="J91" s="25">
        <f>I91/H91</f>
        <v>5.8908504731752444E-2</v>
      </c>
    </row>
    <row r="92" spans="1:10" ht="15.75" x14ac:dyDescent="0.25">
      <c r="A92" s="27" t="s">
        <v>108</v>
      </c>
      <c r="B92" s="168" t="s">
        <v>53</v>
      </c>
      <c r="C92" s="106">
        <v>51431347</v>
      </c>
      <c r="D92" s="169" t="s">
        <v>54</v>
      </c>
      <c r="E92" s="168">
        <v>1200</v>
      </c>
      <c r="F92" s="21">
        <v>1175.6670999999999</v>
      </c>
      <c r="G92" s="21">
        <v>1184.1351999999999</v>
      </c>
      <c r="H92" s="18">
        <f t="shared" ref="H92:H100" si="4">(G92-F92)*E92</f>
        <v>10161.720000000059</v>
      </c>
      <c r="I92" s="51"/>
      <c r="J92" s="52"/>
    </row>
    <row r="93" spans="1:10" ht="15.75" x14ac:dyDescent="0.25">
      <c r="A93" s="27" t="s">
        <v>109</v>
      </c>
      <c r="B93" s="168" t="s">
        <v>53</v>
      </c>
      <c r="C93" s="106">
        <v>51431339</v>
      </c>
      <c r="D93" s="169" t="s">
        <v>54</v>
      </c>
      <c r="E93" s="168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68" t="s">
        <v>53</v>
      </c>
      <c r="C94" s="106">
        <v>51217244</v>
      </c>
      <c r="D94" s="168" t="s">
        <v>38</v>
      </c>
      <c r="E94" s="168">
        <v>600</v>
      </c>
      <c r="F94" s="30">
        <v>317.2534</v>
      </c>
      <c r="G94" s="30">
        <v>317.59339999999997</v>
      </c>
      <c r="H94" s="18">
        <f t="shared" si="4"/>
        <v>203.99999999998499</v>
      </c>
      <c r="I94" s="51"/>
      <c r="J94" s="52"/>
    </row>
    <row r="95" spans="1:10" ht="15.75" x14ac:dyDescent="0.25">
      <c r="A95" s="27" t="s">
        <v>111</v>
      </c>
      <c r="B95" s="168" t="s">
        <v>53</v>
      </c>
      <c r="C95" s="106">
        <v>51217267</v>
      </c>
      <c r="D95" s="88" t="s">
        <v>64</v>
      </c>
      <c r="E95" s="168">
        <v>2400</v>
      </c>
      <c r="F95" s="30">
        <v>19.9221</v>
      </c>
      <c r="G95" s="30">
        <v>19.953900000000001</v>
      </c>
      <c r="H95" s="18">
        <f t="shared" si="4"/>
        <v>76.320000000001187</v>
      </c>
      <c r="I95" s="51"/>
      <c r="J95" s="52"/>
    </row>
    <row r="96" spans="1:10" ht="15.75" x14ac:dyDescent="0.25">
      <c r="A96" s="27" t="s">
        <v>112</v>
      </c>
      <c r="B96" s="168" t="s">
        <v>53</v>
      </c>
      <c r="C96" s="168">
        <v>51555165</v>
      </c>
      <c r="D96" s="169" t="s">
        <v>54</v>
      </c>
      <c r="E96" s="168">
        <v>1200</v>
      </c>
      <c r="F96" s="30">
        <v>771.62789999999995</v>
      </c>
      <c r="G96" s="30">
        <v>771.62789999999995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68" t="s">
        <v>53</v>
      </c>
      <c r="C97" s="106">
        <v>51431346</v>
      </c>
      <c r="D97" s="114" t="s">
        <v>38</v>
      </c>
      <c r="E97" s="114">
        <v>600</v>
      </c>
      <c r="F97" s="30">
        <v>332.56259999999997</v>
      </c>
      <c r="G97" s="30">
        <v>332.91950000000003</v>
      </c>
      <c r="H97" s="115">
        <f t="shared" si="4"/>
        <v>214.1400000000317</v>
      </c>
      <c r="I97" s="116"/>
      <c r="J97" s="117"/>
    </row>
    <row r="98" spans="1:10" ht="15.75" x14ac:dyDescent="0.25">
      <c r="A98" s="27" t="s">
        <v>114</v>
      </c>
      <c r="B98" s="168" t="s">
        <v>53</v>
      </c>
      <c r="C98" s="106">
        <v>51431352</v>
      </c>
      <c r="D98" s="88" t="s">
        <v>22</v>
      </c>
      <c r="E98" s="168">
        <v>3600</v>
      </c>
      <c r="F98" s="21">
        <v>209.8485</v>
      </c>
      <c r="G98" s="21">
        <v>211.56209999999999</v>
      </c>
      <c r="H98" s="18">
        <f t="shared" si="4"/>
        <v>6168.9599999999473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16977.140000000032</v>
      </c>
      <c r="I99" s="51"/>
      <c r="J99" s="52"/>
    </row>
    <row r="100" spans="1:10" ht="15.75" x14ac:dyDescent="0.25">
      <c r="A100" s="45" t="s">
        <v>115</v>
      </c>
      <c r="B100" s="168" t="s">
        <v>53</v>
      </c>
      <c r="C100" s="120">
        <v>51431357</v>
      </c>
      <c r="D100" s="169" t="s">
        <v>64</v>
      </c>
      <c r="E100" s="169">
        <v>14000</v>
      </c>
      <c r="F100" s="28">
        <v>801.75519999999995</v>
      </c>
      <c r="G100" s="28">
        <v>805.41480000000001</v>
      </c>
      <c r="H100" s="121">
        <f t="shared" si="4"/>
        <v>51234.400000000962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C52" workbookViewId="0">
      <selection activeCell="I103" sqref="I103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133</v>
      </c>
      <c r="G3" s="4" t="s">
        <v>134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71" t="s">
        <v>14</v>
      </c>
      <c r="C5" s="171">
        <v>51555166</v>
      </c>
      <c r="D5" s="171" t="s">
        <v>15</v>
      </c>
      <c r="E5" s="171">
        <v>132000</v>
      </c>
      <c r="F5" s="17">
        <v>3.0017</v>
      </c>
      <c r="G5" s="17">
        <v>3.0017</v>
      </c>
      <c r="H5" s="18">
        <f>(G5-F5)*E5</f>
        <v>0</v>
      </c>
      <c r="I5" s="19"/>
      <c r="J5" s="20"/>
    </row>
    <row r="6" spans="1:10" ht="15.75" x14ac:dyDescent="0.25">
      <c r="A6" s="15" t="s">
        <v>16</v>
      </c>
      <c r="B6" s="171" t="s">
        <v>14</v>
      </c>
      <c r="C6" s="171">
        <v>51555191</v>
      </c>
      <c r="D6" s="171" t="s">
        <v>15</v>
      </c>
      <c r="E6" s="171">
        <v>132000</v>
      </c>
      <c r="F6" s="21">
        <v>350.28590000000003</v>
      </c>
      <c r="G6" s="21">
        <v>352.20870000000002</v>
      </c>
      <c r="H6" s="18">
        <f>(G6-F6)*E6</f>
        <v>253809.59999999937</v>
      </c>
      <c r="I6" s="19"/>
      <c r="J6" s="20"/>
    </row>
    <row r="7" spans="1:10" ht="15.75" x14ac:dyDescent="0.25">
      <c r="A7" s="207" t="s">
        <v>17</v>
      </c>
      <c r="B7" s="208"/>
      <c r="C7" s="171"/>
      <c r="D7" s="172"/>
      <c r="E7" s="171"/>
      <c r="H7" s="23">
        <f>H5+H6</f>
        <v>253809.59999999937</v>
      </c>
      <c r="I7" s="24">
        <f>H7-H10-H20</f>
        <v>920.39999999351858</v>
      </c>
      <c r="J7" s="25">
        <f>I7/H7</f>
        <v>3.6263403748066302E-3</v>
      </c>
    </row>
    <row r="8" spans="1:10" ht="15.75" x14ac:dyDescent="0.25">
      <c r="A8" s="26" t="s">
        <v>18</v>
      </c>
      <c r="B8" s="171" t="s">
        <v>14</v>
      </c>
      <c r="C8" s="171">
        <v>51097629</v>
      </c>
      <c r="D8" s="172" t="s">
        <v>15</v>
      </c>
      <c r="E8" s="171">
        <v>42000</v>
      </c>
      <c r="F8" s="21">
        <v>1055.1724999999999</v>
      </c>
      <c r="G8" s="21">
        <v>1059.4799</v>
      </c>
      <c r="H8" s="18">
        <f>(G8-F8)*E8</f>
        <v>180910.80000000601</v>
      </c>
      <c r="I8" s="19"/>
      <c r="J8" s="20"/>
    </row>
    <row r="9" spans="1:10" ht="15.75" x14ac:dyDescent="0.25">
      <c r="A9" s="26" t="s">
        <v>19</v>
      </c>
      <c r="B9" s="171" t="s">
        <v>14</v>
      </c>
      <c r="C9" s="171">
        <v>51616820</v>
      </c>
      <c r="D9" s="172" t="s">
        <v>15</v>
      </c>
      <c r="E9" s="171">
        <v>42000</v>
      </c>
      <c r="F9" s="21">
        <v>5.1725000000000003</v>
      </c>
      <c r="G9" s="21">
        <v>5.1809000000000003</v>
      </c>
      <c r="H9" s="18">
        <f>(G9-F9)*E9</f>
        <v>352.79999999999848</v>
      </c>
      <c r="I9" s="19"/>
      <c r="J9" s="20"/>
    </row>
    <row r="10" spans="1:10" ht="15.75" x14ac:dyDescent="0.25">
      <c r="A10" s="207" t="s">
        <v>20</v>
      </c>
      <c r="B10" s="208"/>
      <c r="C10" s="171"/>
      <c r="D10" s="172"/>
      <c r="E10" s="171"/>
      <c r="F10" s="21"/>
      <c r="G10" s="21"/>
      <c r="H10" s="23">
        <f>H8+H9</f>
        <v>181263.600000006</v>
      </c>
      <c r="I10" s="24">
        <f>H10-H17</f>
        <v>-109.19999999465654</v>
      </c>
      <c r="J10" s="25">
        <f>I10/H10</f>
        <v>-6.0243755500085467E-4</v>
      </c>
    </row>
    <row r="11" spans="1:10" ht="15.75" x14ac:dyDescent="0.25">
      <c r="A11" s="27" t="s">
        <v>21</v>
      </c>
      <c r="B11" s="171" t="s">
        <v>14</v>
      </c>
      <c r="C11" s="171">
        <v>51217286</v>
      </c>
      <c r="D11" s="172" t="s">
        <v>22</v>
      </c>
      <c r="E11" s="171">
        <v>21000</v>
      </c>
      <c r="F11" s="21">
        <v>834.5018</v>
      </c>
      <c r="G11" s="21">
        <v>837.63220000000001</v>
      </c>
      <c r="H11" s="18">
        <f t="shared" ref="H11:H16" si="0">(G11-F11)*E11</f>
        <v>65738.400000000183</v>
      </c>
      <c r="I11" s="19"/>
      <c r="J11" s="20"/>
    </row>
    <row r="12" spans="1:10" ht="15.75" x14ac:dyDescent="0.25">
      <c r="A12" s="27" t="s">
        <v>23</v>
      </c>
      <c r="B12" s="171" t="s">
        <v>14</v>
      </c>
      <c r="C12" s="171">
        <v>51217292</v>
      </c>
      <c r="D12" s="172" t="s">
        <v>22</v>
      </c>
      <c r="E12" s="171">
        <v>21000</v>
      </c>
      <c r="F12" s="28">
        <v>3.6585999999999999</v>
      </c>
      <c r="G12" s="28">
        <v>3.6787999999999998</v>
      </c>
      <c r="H12" s="18">
        <f>(G12-F12)*E12</f>
        <v>424.19999999999993</v>
      </c>
      <c r="I12" s="19"/>
      <c r="J12" s="20"/>
    </row>
    <row r="13" spans="1:10" ht="15.75" x14ac:dyDescent="0.25">
      <c r="A13" s="27" t="s">
        <v>24</v>
      </c>
      <c r="B13" s="171" t="s">
        <v>14</v>
      </c>
      <c r="C13" s="171">
        <v>51217271</v>
      </c>
      <c r="D13" s="172" t="s">
        <v>22</v>
      </c>
      <c r="E13" s="171">
        <v>21000</v>
      </c>
      <c r="F13" s="21">
        <v>611.7002</v>
      </c>
      <c r="G13" s="21">
        <v>614.29650000000004</v>
      </c>
      <c r="H13" s="18">
        <f t="shared" si="0"/>
        <v>54522.300000000883</v>
      </c>
      <c r="I13" s="19"/>
      <c r="J13" s="20"/>
    </row>
    <row r="14" spans="1:10" ht="15.75" x14ac:dyDescent="0.25">
      <c r="A14" s="27" t="s">
        <v>25</v>
      </c>
      <c r="B14" s="171" t="s">
        <v>14</v>
      </c>
      <c r="C14" s="171">
        <v>51217276</v>
      </c>
      <c r="D14" s="172" t="s">
        <v>22</v>
      </c>
      <c r="E14" s="171">
        <v>21000</v>
      </c>
      <c r="F14" s="28">
        <v>0.56130000000000002</v>
      </c>
      <c r="G14" s="28">
        <v>0.56130000000000002</v>
      </c>
      <c r="H14" s="18">
        <f>(G14-F14)*E14</f>
        <v>0</v>
      </c>
      <c r="I14" s="19"/>
      <c r="J14" s="20"/>
    </row>
    <row r="15" spans="1:10" ht="15.75" x14ac:dyDescent="0.25">
      <c r="A15" s="27" t="s">
        <v>26</v>
      </c>
      <c r="B15" s="171" t="s">
        <v>14</v>
      </c>
      <c r="C15" s="171">
        <v>51100990</v>
      </c>
      <c r="D15" s="172" t="s">
        <v>22</v>
      </c>
      <c r="E15" s="171">
        <v>21000</v>
      </c>
      <c r="F15" s="29">
        <v>669.83960000000002</v>
      </c>
      <c r="G15" s="29">
        <v>672.7174</v>
      </c>
      <c r="H15" s="18">
        <f t="shared" si="0"/>
        <v>60433.799999999566</v>
      </c>
      <c r="I15" s="19"/>
      <c r="J15" s="20"/>
    </row>
    <row r="16" spans="1:10" ht="15.75" x14ac:dyDescent="0.25">
      <c r="A16" s="27" t="s">
        <v>27</v>
      </c>
      <c r="B16" s="171" t="s">
        <v>14</v>
      </c>
      <c r="C16" s="171">
        <v>51097622</v>
      </c>
      <c r="D16" s="172" t="s">
        <v>22</v>
      </c>
      <c r="E16" s="171">
        <v>21000</v>
      </c>
      <c r="F16" s="21">
        <v>2.9346000000000001</v>
      </c>
      <c r="G16" s="21">
        <v>2.9466999999999999</v>
      </c>
      <c r="H16" s="18">
        <f t="shared" si="0"/>
        <v>254.09999999999533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71"/>
      <c r="D17" s="172"/>
      <c r="E17" s="171"/>
      <c r="F17" s="21"/>
      <c r="G17" s="21"/>
      <c r="H17" s="23">
        <f>H11+H12+H13+H14+H15+H16</f>
        <v>181372.80000000066</v>
      </c>
      <c r="I17" s="19"/>
      <c r="J17" s="20"/>
    </row>
    <row r="18" spans="1:10" ht="15.75" x14ac:dyDescent="0.25">
      <c r="A18" s="26" t="s">
        <v>30</v>
      </c>
      <c r="B18" s="171" t="s">
        <v>14</v>
      </c>
      <c r="C18" s="171">
        <v>51097617</v>
      </c>
      <c r="D18" s="172" t="s">
        <v>31</v>
      </c>
      <c r="E18" s="171">
        <v>18000</v>
      </c>
      <c r="F18" s="30">
        <v>811.05050000000006</v>
      </c>
      <c r="G18" s="30">
        <v>815.02970000000005</v>
      </c>
      <c r="H18" s="18">
        <f>(G18-F18)*E18</f>
        <v>71625.599999999846</v>
      </c>
      <c r="I18" s="19"/>
      <c r="J18" s="20"/>
    </row>
    <row r="19" spans="1:10" ht="15.75" x14ac:dyDescent="0.25">
      <c r="A19" s="26" t="s">
        <v>32</v>
      </c>
      <c r="B19" s="171" t="s">
        <v>14</v>
      </c>
      <c r="C19" s="171">
        <v>51097655</v>
      </c>
      <c r="D19" s="172" t="s">
        <v>31</v>
      </c>
      <c r="E19" s="171">
        <v>18000</v>
      </c>
      <c r="F19" s="30">
        <v>6.7220000000000004</v>
      </c>
      <c r="G19" s="30">
        <v>6.7220000000000004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71"/>
      <c r="D20" s="172"/>
      <c r="E20" s="171"/>
      <c r="F20" s="30"/>
      <c r="G20" s="30"/>
      <c r="H20" s="23">
        <f>H18+H19</f>
        <v>71625.599999999846</v>
      </c>
      <c r="I20" s="24">
        <f>H20-H35</f>
        <v>624.42000000030384</v>
      </c>
      <c r="J20" s="25">
        <f>I20/H20</f>
        <v>8.7178327302012849E-3</v>
      </c>
    </row>
    <row r="21" spans="1:10" ht="15.75" x14ac:dyDescent="0.25">
      <c r="A21" s="15" t="s">
        <v>34</v>
      </c>
      <c r="B21" s="171" t="s">
        <v>14</v>
      </c>
      <c r="C21" s="171">
        <v>51217282</v>
      </c>
      <c r="D21" s="172" t="s">
        <v>35</v>
      </c>
      <c r="E21" s="171">
        <v>4800</v>
      </c>
      <c r="F21" s="21">
        <v>379.96949999999998</v>
      </c>
      <c r="G21" s="21">
        <v>380.01010000000002</v>
      </c>
      <c r="H21" s="18">
        <f t="shared" ref="H21:H34" si="1">(G21-F21)*E21</f>
        <v>194.88000000019383</v>
      </c>
      <c r="I21" s="19" t="s">
        <v>28</v>
      </c>
      <c r="J21" s="20"/>
    </row>
    <row r="22" spans="1:10" ht="15.75" x14ac:dyDescent="0.25">
      <c r="A22" s="15" t="s">
        <v>36</v>
      </c>
      <c r="B22" s="171" t="s">
        <v>14</v>
      </c>
      <c r="C22" s="171">
        <v>51217274</v>
      </c>
      <c r="D22" s="172" t="s">
        <v>35</v>
      </c>
      <c r="E22" s="171">
        <v>4800</v>
      </c>
      <c r="F22" s="21">
        <v>1269.9599000000001</v>
      </c>
      <c r="G22" s="21">
        <v>1276.0261</v>
      </c>
      <c r="H22" s="18">
        <f t="shared" si="1"/>
        <v>29117.759999999907</v>
      </c>
      <c r="I22" s="19"/>
      <c r="J22" s="20"/>
    </row>
    <row r="23" spans="1:10" ht="15.75" x14ac:dyDescent="0.25">
      <c r="A23" s="15" t="s">
        <v>37</v>
      </c>
      <c r="B23" s="171" t="s">
        <v>14</v>
      </c>
      <c r="C23" s="171">
        <v>51097664</v>
      </c>
      <c r="D23" s="172" t="s">
        <v>38</v>
      </c>
      <c r="E23" s="171">
        <v>600</v>
      </c>
      <c r="F23" s="21">
        <v>4.4409999999999998</v>
      </c>
      <c r="G23" s="21">
        <v>4.4409999999999998</v>
      </c>
      <c r="H23" s="18">
        <f t="shared" si="1"/>
        <v>0</v>
      </c>
      <c r="I23" s="19"/>
      <c r="J23" s="20"/>
    </row>
    <row r="24" spans="1:10" ht="15.75" x14ac:dyDescent="0.25">
      <c r="A24" s="15" t="s">
        <v>39</v>
      </c>
      <c r="B24" s="171" t="s">
        <v>14</v>
      </c>
      <c r="C24" s="171">
        <v>51097615</v>
      </c>
      <c r="D24" s="172" t="s">
        <v>38</v>
      </c>
      <c r="E24" s="171">
        <v>600</v>
      </c>
      <c r="F24" s="21">
        <v>40.149500000000003</v>
      </c>
      <c r="G24" s="21">
        <v>40.5319</v>
      </c>
      <c r="H24" s="18">
        <f t="shared" si="1"/>
        <v>229.43999999999818</v>
      </c>
      <c r="I24" s="19"/>
      <c r="J24" s="20"/>
    </row>
    <row r="25" spans="1:10" ht="15.75" x14ac:dyDescent="0.25">
      <c r="A25" s="15" t="s">
        <v>40</v>
      </c>
      <c r="B25" s="171" t="s">
        <v>14</v>
      </c>
      <c r="C25" s="171">
        <v>51217264</v>
      </c>
      <c r="D25" s="172" t="s">
        <v>38</v>
      </c>
      <c r="E25" s="171">
        <v>600</v>
      </c>
      <c r="F25" s="21">
        <v>94.920500000000004</v>
      </c>
      <c r="G25" s="21">
        <v>95.524000000000001</v>
      </c>
      <c r="H25" s="18">
        <f t="shared" si="1"/>
        <v>362.09999999999809</v>
      </c>
      <c r="I25" s="19"/>
      <c r="J25" s="20"/>
    </row>
    <row r="26" spans="1:10" ht="15.75" x14ac:dyDescent="0.25">
      <c r="A26" s="15" t="s">
        <v>41</v>
      </c>
      <c r="B26" s="171" t="s">
        <v>14</v>
      </c>
      <c r="C26" s="171">
        <v>51217288</v>
      </c>
      <c r="D26" s="172" t="s">
        <v>38</v>
      </c>
      <c r="E26" s="171">
        <v>600</v>
      </c>
      <c r="F26" s="21">
        <v>20.0547</v>
      </c>
      <c r="G26" s="21">
        <v>20.085899999999999</v>
      </c>
      <c r="H26" s="18">
        <f t="shared" si="1"/>
        <v>18.719999999999004</v>
      </c>
      <c r="I26" s="19" t="s">
        <v>28</v>
      </c>
      <c r="J26" s="20"/>
    </row>
    <row r="27" spans="1:10" ht="15.75" x14ac:dyDescent="0.25">
      <c r="A27" s="15" t="s">
        <v>42</v>
      </c>
      <c r="B27" s="171" t="s">
        <v>14</v>
      </c>
      <c r="C27" s="171">
        <v>51217279</v>
      </c>
      <c r="D27" s="172" t="s">
        <v>38</v>
      </c>
      <c r="E27" s="171">
        <v>600</v>
      </c>
      <c r="F27" s="21">
        <v>14.5656</v>
      </c>
      <c r="G27" s="21">
        <v>15.620100000000001</v>
      </c>
      <c r="H27" s="18">
        <f t="shared" si="1"/>
        <v>632.7000000000005</v>
      </c>
      <c r="I27" s="19" t="s">
        <v>28</v>
      </c>
      <c r="J27" s="20"/>
    </row>
    <row r="28" spans="1:10" ht="15.75" x14ac:dyDescent="0.25">
      <c r="A28" s="15" t="s">
        <v>43</v>
      </c>
      <c r="B28" s="171" t="s">
        <v>14</v>
      </c>
      <c r="C28" s="171">
        <v>51217272</v>
      </c>
      <c r="D28" s="172" t="s">
        <v>38</v>
      </c>
      <c r="E28" s="171">
        <v>600</v>
      </c>
      <c r="F28" s="31">
        <v>14.287699999999999</v>
      </c>
      <c r="G28" s="31">
        <v>14.341200000000001</v>
      </c>
      <c r="H28" s="18">
        <f t="shared" si="1"/>
        <v>32.100000000000861</v>
      </c>
      <c r="I28" s="19"/>
      <c r="J28" s="20"/>
    </row>
    <row r="29" spans="1:10" ht="15.75" x14ac:dyDescent="0.25">
      <c r="A29" s="15" t="s">
        <v>44</v>
      </c>
      <c r="B29" s="171" t="s">
        <v>14</v>
      </c>
      <c r="C29" s="171">
        <v>51616744</v>
      </c>
      <c r="D29" s="172">
        <f>300/5</f>
        <v>60</v>
      </c>
      <c r="E29" s="171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71" t="s">
        <v>14</v>
      </c>
      <c r="C30" s="171">
        <v>51555226</v>
      </c>
      <c r="D30" s="172">
        <f>300/5</f>
        <v>60</v>
      </c>
      <c r="E30" s="171">
        <v>3600</v>
      </c>
      <c r="F30" s="31">
        <v>463.71960000000001</v>
      </c>
      <c r="G30" s="31">
        <v>467.45769999999999</v>
      </c>
      <c r="H30" s="18">
        <f>(G30-F30)*E30</f>
        <v>13457.159999999909</v>
      </c>
      <c r="I30" s="19"/>
      <c r="J30" s="20"/>
    </row>
    <row r="31" spans="1:10" ht="15.75" x14ac:dyDescent="0.25">
      <c r="A31" s="15" t="s">
        <v>46</v>
      </c>
      <c r="B31" s="171" t="s">
        <v>14</v>
      </c>
      <c r="C31" s="171">
        <v>51097658</v>
      </c>
      <c r="D31" s="172" t="s">
        <v>35</v>
      </c>
      <c r="E31" s="171">
        <v>4800</v>
      </c>
      <c r="F31" s="31">
        <v>621.73760000000004</v>
      </c>
      <c r="G31" s="31">
        <v>624.93719999999996</v>
      </c>
      <c r="H31" s="18">
        <f t="shared" si="1"/>
        <v>15358.079999999609</v>
      </c>
      <c r="I31" s="19"/>
      <c r="J31" s="20"/>
    </row>
    <row r="32" spans="1:10" ht="15.75" x14ac:dyDescent="0.25">
      <c r="A32" s="15" t="s">
        <v>47</v>
      </c>
      <c r="B32" s="171" t="s">
        <v>14</v>
      </c>
      <c r="C32" s="171">
        <v>51097635</v>
      </c>
      <c r="D32" s="172" t="s">
        <v>35</v>
      </c>
      <c r="E32" s="171">
        <v>4800</v>
      </c>
      <c r="F32" s="31">
        <v>48.4557</v>
      </c>
      <c r="G32" s="31">
        <v>48.457799999999999</v>
      </c>
      <c r="H32" s="18">
        <f t="shared" si="1"/>
        <v>10.079999999993561</v>
      </c>
      <c r="I32" s="19"/>
      <c r="J32" s="20"/>
    </row>
    <row r="33" spans="1:10" ht="15.75" x14ac:dyDescent="0.25">
      <c r="A33" s="15" t="s">
        <v>48</v>
      </c>
      <c r="B33" s="171" t="s">
        <v>14</v>
      </c>
      <c r="C33" s="32">
        <v>51097633</v>
      </c>
      <c r="D33" s="172" t="s">
        <v>35</v>
      </c>
      <c r="E33" s="171">
        <v>4800</v>
      </c>
      <c r="F33" s="31">
        <v>158.75630000000001</v>
      </c>
      <c r="G33" s="31">
        <v>161.1386</v>
      </c>
      <c r="H33" s="33">
        <f t="shared" si="1"/>
        <v>11435.039999999935</v>
      </c>
      <c r="I33" s="34"/>
      <c r="J33" s="35"/>
    </row>
    <row r="34" spans="1:10" ht="15.75" x14ac:dyDescent="0.25">
      <c r="A34" s="15" t="s">
        <v>49</v>
      </c>
      <c r="B34" s="171" t="s">
        <v>14</v>
      </c>
      <c r="C34" s="32">
        <v>51097662</v>
      </c>
      <c r="D34" s="172" t="s">
        <v>35</v>
      </c>
      <c r="E34" s="171">
        <v>4800</v>
      </c>
      <c r="F34" s="31">
        <v>3.1956000000000002</v>
      </c>
      <c r="G34" s="31">
        <v>3.2275</v>
      </c>
      <c r="H34" s="33">
        <f t="shared" si="1"/>
        <v>153.11999999999912</v>
      </c>
      <c r="I34" s="34"/>
      <c r="J34" s="35"/>
    </row>
    <row r="35" spans="1:10" ht="15.75" x14ac:dyDescent="0.25">
      <c r="A35" s="207" t="s">
        <v>50</v>
      </c>
      <c r="B35" s="208"/>
      <c r="C35" s="171"/>
      <c r="D35" s="172"/>
      <c r="E35" s="171"/>
      <c r="F35" s="36"/>
      <c r="G35" s="36"/>
      <c r="H35" s="23">
        <f>H21+H22+H23+H24+H25+H26+H27+H28+H29+H30+H31+H32+H33+H34</f>
        <v>71001.179999999542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71" t="s">
        <v>53</v>
      </c>
      <c r="C37" s="171">
        <v>51555209</v>
      </c>
      <c r="D37" s="172" t="s">
        <v>54</v>
      </c>
      <c r="E37" s="171">
        <v>7000</v>
      </c>
      <c r="F37" s="17">
        <v>5.3459000000000003</v>
      </c>
      <c r="G37" s="17">
        <v>5.3834</v>
      </c>
      <c r="H37" s="41">
        <f>(G37-F37)*E37</f>
        <v>262.4999999999975</v>
      </c>
      <c r="I37" s="42"/>
      <c r="J37" s="14"/>
    </row>
    <row r="38" spans="1:10" ht="15.75" x14ac:dyDescent="0.25">
      <c r="A38" s="15" t="s">
        <v>55</v>
      </c>
      <c r="B38" s="171" t="s">
        <v>53</v>
      </c>
      <c r="C38" s="171">
        <v>51555209</v>
      </c>
      <c r="D38" s="172" t="s">
        <v>54</v>
      </c>
      <c r="E38" s="171">
        <v>7000</v>
      </c>
      <c r="F38" s="21">
        <v>9.8660999999999994</v>
      </c>
      <c r="G38" s="21">
        <v>9.9164999999999992</v>
      </c>
      <c r="H38" s="18">
        <f>(G38-F38)*E38</f>
        <v>352.79999999999848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71" t="s">
        <v>53</v>
      </c>
      <c r="C40" s="171">
        <v>51097674</v>
      </c>
      <c r="D40" s="171" t="s">
        <v>15</v>
      </c>
      <c r="E40" s="171">
        <v>7200</v>
      </c>
      <c r="F40" s="21">
        <v>568.46640000000002</v>
      </c>
      <c r="G40" s="21">
        <v>570.8356</v>
      </c>
      <c r="H40" s="18">
        <f>(G40-F40)*E40</f>
        <v>17058.239999999842</v>
      </c>
      <c r="I40" s="47"/>
      <c r="J40" s="20"/>
    </row>
    <row r="41" spans="1:10" ht="15.75" x14ac:dyDescent="0.25">
      <c r="A41" s="27" t="s">
        <v>58</v>
      </c>
      <c r="B41" s="171" t="s">
        <v>53</v>
      </c>
      <c r="C41" s="171">
        <v>51259257</v>
      </c>
      <c r="D41" s="171" t="s">
        <v>15</v>
      </c>
      <c r="E41" s="171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71"/>
      <c r="C42" s="171"/>
      <c r="D42" s="171"/>
      <c r="E42" s="171"/>
      <c r="F42" s="21"/>
      <c r="G42" s="21"/>
      <c r="H42" s="48">
        <f>H40+H41</f>
        <v>17058.239999999842</v>
      </c>
      <c r="I42" s="24">
        <f>H42-H50</f>
        <v>-118.28000000018801</v>
      </c>
      <c r="J42" s="25">
        <f>I42/H42</f>
        <v>-6.933892359363516E-3</v>
      </c>
    </row>
    <row r="43" spans="1:10" ht="15.75" x14ac:dyDescent="0.25">
      <c r="A43" s="15" t="s">
        <v>60</v>
      </c>
      <c r="B43" s="171"/>
      <c r="C43" s="171"/>
      <c r="D43" s="172"/>
      <c r="E43" s="171"/>
      <c r="H43" s="18"/>
      <c r="I43" s="43"/>
      <c r="J43" s="20"/>
    </row>
    <row r="44" spans="1:10" ht="15.75" x14ac:dyDescent="0.25">
      <c r="A44" s="27" t="s">
        <v>61</v>
      </c>
      <c r="B44" s="171" t="s">
        <v>53</v>
      </c>
      <c r="C44" s="32">
        <v>51097648</v>
      </c>
      <c r="D44" s="171" t="s">
        <v>54</v>
      </c>
      <c r="E44" s="171">
        <v>1200</v>
      </c>
      <c r="F44" s="21">
        <v>465.86950000000002</v>
      </c>
      <c r="G44" s="21">
        <v>467.70960000000002</v>
      </c>
      <c r="H44" s="33">
        <f>(G44-F44)*E44</f>
        <v>2208.1200000000081</v>
      </c>
      <c r="I44" s="43"/>
      <c r="J44" s="20"/>
    </row>
    <row r="45" spans="1:10" ht="15.75" x14ac:dyDescent="0.25">
      <c r="A45" s="27" t="s">
        <v>62</v>
      </c>
      <c r="B45" s="171" t="s">
        <v>53</v>
      </c>
      <c r="C45" s="32">
        <v>50555043</v>
      </c>
      <c r="D45" s="171" t="s">
        <v>54</v>
      </c>
      <c r="E45" s="171">
        <v>1200</v>
      </c>
      <c r="F45" s="21">
        <v>1947.5891999999999</v>
      </c>
      <c r="G45" s="21">
        <v>1955.6243999999999</v>
      </c>
      <c r="H45" s="33">
        <f>(G45-F45)*E45</f>
        <v>9642.240000000038</v>
      </c>
      <c r="I45" s="43"/>
      <c r="J45" s="20"/>
    </row>
    <row r="46" spans="1:10" ht="15.75" x14ac:dyDescent="0.25">
      <c r="A46" s="27" t="s">
        <v>63</v>
      </c>
      <c r="B46" s="171" t="s">
        <v>53</v>
      </c>
      <c r="C46" s="32">
        <v>51259336</v>
      </c>
      <c r="D46" s="171" t="s">
        <v>64</v>
      </c>
      <c r="E46" s="171">
        <v>2400</v>
      </c>
      <c r="F46" s="21">
        <v>3.9847999999999999</v>
      </c>
      <c r="G46" s="21">
        <v>3.9986000000000002</v>
      </c>
      <c r="H46" s="33">
        <f>(G46-F46)*E46</f>
        <v>33.120000000000616</v>
      </c>
      <c r="I46" s="43"/>
      <c r="J46" s="20"/>
    </row>
    <row r="47" spans="1:10" ht="15.75" x14ac:dyDescent="0.25">
      <c r="A47" s="27" t="s">
        <v>65</v>
      </c>
      <c r="B47" s="171" t="s">
        <v>53</v>
      </c>
      <c r="C47" s="32">
        <v>51259266</v>
      </c>
      <c r="D47" s="171" t="s">
        <v>54</v>
      </c>
      <c r="E47" s="171">
        <v>1200</v>
      </c>
      <c r="F47" s="21">
        <v>944.92020000000002</v>
      </c>
      <c r="G47" s="21">
        <v>948.89490000000001</v>
      </c>
      <c r="H47" s="33">
        <f>(G47-F47)*E47</f>
        <v>4769.6399999999812</v>
      </c>
      <c r="I47" s="43"/>
      <c r="J47" s="20"/>
    </row>
    <row r="48" spans="1:10" ht="15.75" x14ac:dyDescent="0.25">
      <c r="A48" s="27" t="s">
        <v>66</v>
      </c>
      <c r="B48" s="171" t="s">
        <v>53</v>
      </c>
      <c r="C48" s="32">
        <v>51431336</v>
      </c>
      <c r="D48" s="171" t="s">
        <v>54</v>
      </c>
      <c r="E48" s="171">
        <v>1200</v>
      </c>
      <c r="F48" s="21">
        <v>54.156799999999997</v>
      </c>
      <c r="G48" s="21">
        <v>54.551299999999998</v>
      </c>
      <c r="H48" s="33">
        <f>(G48-F48)*E48</f>
        <v>473.40000000000089</v>
      </c>
      <c r="I48" s="43"/>
      <c r="J48" s="20"/>
    </row>
    <row r="49" spans="1:10" ht="15.75" x14ac:dyDescent="0.25">
      <c r="A49" s="15" t="s">
        <v>67</v>
      </c>
      <c r="B49" s="171" t="s">
        <v>68</v>
      </c>
      <c r="C49" s="171">
        <v>49174</v>
      </c>
      <c r="D49" s="172" t="s">
        <v>54</v>
      </c>
      <c r="E49" s="171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17176.52000000003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71" t="s">
        <v>53</v>
      </c>
      <c r="C52" s="171">
        <v>51097603</v>
      </c>
      <c r="D52" s="172" t="s">
        <v>54</v>
      </c>
      <c r="E52" s="171">
        <v>7000</v>
      </c>
      <c r="F52" s="17">
        <v>1866.6486</v>
      </c>
      <c r="G52" s="17">
        <v>1873.4123</v>
      </c>
      <c r="H52" s="18">
        <f>(G52-F52)*E52</f>
        <v>47345.899999999805</v>
      </c>
      <c r="I52" s="43"/>
      <c r="J52" s="20"/>
    </row>
    <row r="53" spans="1:10" ht="15.75" x14ac:dyDescent="0.25">
      <c r="A53" s="27" t="s">
        <v>73</v>
      </c>
      <c r="B53" s="171" t="s">
        <v>53</v>
      </c>
      <c r="C53" s="171">
        <v>51097590</v>
      </c>
      <c r="D53" s="172" t="s">
        <v>54</v>
      </c>
      <c r="E53" s="171">
        <v>7000</v>
      </c>
      <c r="F53" s="21">
        <v>11.9628</v>
      </c>
      <c r="G53" s="21">
        <v>12.0259</v>
      </c>
      <c r="H53" s="18">
        <f>(G53-F53)*E53</f>
        <v>441.70000000000266</v>
      </c>
      <c r="I53" s="43"/>
      <c r="J53" s="20"/>
    </row>
    <row r="54" spans="1:10" ht="15.75" x14ac:dyDescent="0.25">
      <c r="A54" s="15" t="s">
        <v>67</v>
      </c>
      <c r="B54" s="171" t="s">
        <v>68</v>
      </c>
      <c r="C54" s="171">
        <v>49174</v>
      </c>
      <c r="D54" s="172" t="s">
        <v>54</v>
      </c>
      <c r="E54" s="171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71"/>
      <c r="D55" s="172"/>
      <c r="E55" s="171"/>
      <c r="F55" s="21"/>
      <c r="G55" s="21"/>
      <c r="H55" s="48">
        <f>H52+H53+H54</f>
        <v>47887.599999999809</v>
      </c>
      <c r="I55" s="47"/>
      <c r="J55" s="59"/>
    </row>
    <row r="56" spans="1:10" ht="15.75" x14ac:dyDescent="0.25">
      <c r="A56" s="27" t="s">
        <v>75</v>
      </c>
      <c r="B56" s="171" t="s">
        <v>53</v>
      </c>
      <c r="C56" s="171">
        <v>51100980</v>
      </c>
      <c r="D56" s="171" t="s">
        <v>76</v>
      </c>
      <c r="E56" s="171">
        <v>12000</v>
      </c>
      <c r="F56" s="21">
        <v>1098.2603999999999</v>
      </c>
      <c r="G56" s="21">
        <v>1102.2437</v>
      </c>
      <c r="H56" s="18">
        <f>(G56-F56)*E56</f>
        <v>47799.600000001192</v>
      </c>
      <c r="I56" s="47"/>
      <c r="J56" s="58"/>
    </row>
    <row r="57" spans="1:10" ht="15.75" x14ac:dyDescent="0.25">
      <c r="A57" s="27" t="s">
        <v>77</v>
      </c>
      <c r="B57" s="171" t="s">
        <v>53</v>
      </c>
      <c r="C57" s="171">
        <v>51097623</v>
      </c>
      <c r="D57" s="171" t="s">
        <v>76</v>
      </c>
      <c r="E57" s="171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71"/>
      <c r="C58" s="171"/>
      <c r="D58" s="171"/>
      <c r="E58" s="171"/>
      <c r="F58" s="21"/>
      <c r="G58" s="21"/>
      <c r="H58" s="48">
        <f>H56+H57</f>
        <v>47799.600000001192</v>
      </c>
      <c r="I58" s="61">
        <f>H55-H65-H54</f>
        <v>-113.64000000000669</v>
      </c>
      <c r="J58" s="25">
        <f>I58/H58</f>
        <v>-2.3774257525168382E-3</v>
      </c>
    </row>
    <row r="59" spans="1:10" ht="15.75" x14ac:dyDescent="0.25">
      <c r="A59" s="27" t="s">
        <v>79</v>
      </c>
      <c r="B59" s="171" t="s">
        <v>53</v>
      </c>
      <c r="C59" s="171">
        <v>51097675</v>
      </c>
      <c r="D59" s="171" t="s">
        <v>35</v>
      </c>
      <c r="E59" s="171">
        <v>4800</v>
      </c>
      <c r="F59" s="21">
        <v>479.71870000000001</v>
      </c>
      <c r="G59" s="21">
        <v>482.41969999999998</v>
      </c>
      <c r="H59" s="18">
        <f t="shared" ref="H59:H64" si="2">(G59-F59)*E59</f>
        <v>12964.799999999832</v>
      </c>
      <c r="I59" s="62"/>
      <c r="J59" s="59"/>
    </row>
    <row r="60" spans="1:10" ht="15.75" x14ac:dyDescent="0.25">
      <c r="A60" s="27" t="s">
        <v>80</v>
      </c>
      <c r="B60" s="171" t="s">
        <v>53</v>
      </c>
      <c r="C60" s="171">
        <v>51100997</v>
      </c>
      <c r="D60" s="171" t="s">
        <v>22</v>
      </c>
      <c r="E60" s="171">
        <v>3600</v>
      </c>
      <c r="F60" s="21">
        <v>1338.8759</v>
      </c>
      <c r="G60" s="21">
        <v>1341.9556</v>
      </c>
      <c r="H60" s="18">
        <f t="shared" si="2"/>
        <v>11086.920000000009</v>
      </c>
      <c r="I60" s="62"/>
      <c r="J60" s="59"/>
    </row>
    <row r="61" spans="1:10" ht="15.75" x14ac:dyDescent="0.25">
      <c r="A61" s="27" t="s">
        <v>81</v>
      </c>
      <c r="B61" s="171" t="s">
        <v>53</v>
      </c>
      <c r="C61" s="171">
        <v>51555218</v>
      </c>
      <c r="D61" s="171">
        <f>400/5</f>
        <v>80</v>
      </c>
      <c r="E61" s="171">
        <v>4800</v>
      </c>
      <c r="F61" s="21">
        <v>59.188600000000001</v>
      </c>
      <c r="G61" s="21">
        <v>59.633499999999998</v>
      </c>
      <c r="H61" s="18">
        <f t="shared" si="2"/>
        <v>2135.5199999999854</v>
      </c>
      <c r="I61" s="62"/>
      <c r="J61" s="59"/>
    </row>
    <row r="62" spans="1:10" ht="15.75" x14ac:dyDescent="0.25">
      <c r="A62" s="27" t="s">
        <v>82</v>
      </c>
      <c r="B62" s="171" t="s">
        <v>53</v>
      </c>
      <c r="C62" s="171">
        <v>51555151</v>
      </c>
      <c r="D62" s="171">
        <f>400/5</f>
        <v>80</v>
      </c>
      <c r="E62" s="171">
        <v>4800</v>
      </c>
      <c r="F62" s="63">
        <v>0.30659999999999998</v>
      </c>
      <c r="G62" s="63">
        <v>0.30690000000000001</v>
      </c>
      <c r="H62" s="18">
        <f t="shared" si="2"/>
        <v>1.4400000000001079</v>
      </c>
      <c r="I62" s="62"/>
      <c r="J62" s="59"/>
    </row>
    <row r="63" spans="1:10" ht="15.75" x14ac:dyDescent="0.25">
      <c r="A63" s="27" t="s">
        <v>83</v>
      </c>
      <c r="B63" s="171" t="s">
        <v>53</v>
      </c>
      <c r="C63" s="171">
        <v>51097599</v>
      </c>
      <c r="D63" s="171" t="s">
        <v>22</v>
      </c>
      <c r="E63" s="171">
        <v>3600</v>
      </c>
      <c r="F63" s="21">
        <v>940.29489999999998</v>
      </c>
      <c r="G63" s="21">
        <v>942.70550000000003</v>
      </c>
      <c r="H63" s="18">
        <f t="shared" si="2"/>
        <v>8678.1600000001617</v>
      </c>
      <c r="I63" s="62"/>
      <c r="J63" s="59"/>
    </row>
    <row r="64" spans="1:10" ht="15.75" x14ac:dyDescent="0.25">
      <c r="A64" s="27" t="s">
        <v>84</v>
      </c>
      <c r="B64" s="171" t="s">
        <v>53</v>
      </c>
      <c r="C64" s="171">
        <v>51097620</v>
      </c>
      <c r="D64" s="171" t="s">
        <v>35</v>
      </c>
      <c r="E64" s="171">
        <v>4800</v>
      </c>
      <c r="F64" s="21">
        <v>486.69400000000002</v>
      </c>
      <c r="G64" s="21">
        <v>489.40949999999998</v>
      </c>
      <c r="H64" s="18">
        <f t="shared" si="2"/>
        <v>13034.399999999823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47901.239999999816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71" t="s">
        <v>53</v>
      </c>
      <c r="C67" s="9">
        <v>51259238</v>
      </c>
      <c r="D67" s="74" t="s">
        <v>54</v>
      </c>
      <c r="E67" s="74">
        <v>7000</v>
      </c>
      <c r="F67" s="75">
        <v>528.44759999999997</v>
      </c>
      <c r="G67" s="75">
        <v>531.03330000000005</v>
      </c>
      <c r="H67" s="76">
        <f>(G67-F67)*E67</f>
        <v>18099.900000000616</v>
      </c>
      <c r="I67" s="77"/>
      <c r="J67" s="78"/>
    </row>
    <row r="68" spans="1:10" ht="15.75" x14ac:dyDescent="0.25">
      <c r="A68" s="27" t="s">
        <v>87</v>
      </c>
      <c r="B68" s="171" t="s">
        <v>53</v>
      </c>
      <c r="C68" s="171">
        <v>51259324</v>
      </c>
      <c r="D68" s="172" t="s">
        <v>54</v>
      </c>
      <c r="E68" s="172">
        <v>7000</v>
      </c>
      <c r="F68" s="21">
        <v>411.73050000000001</v>
      </c>
      <c r="G68" s="21">
        <v>413.7131</v>
      </c>
      <c r="H68" s="18">
        <f>(G68-F68)*E68</f>
        <v>13878.199999999935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71">
        <v>51491618</v>
      </c>
      <c r="D69" s="172" t="s">
        <v>64</v>
      </c>
      <c r="E69" s="171">
        <v>40</v>
      </c>
      <c r="F69" s="28">
        <v>1139.299</v>
      </c>
      <c r="G69" s="28">
        <v>1149.039</v>
      </c>
      <c r="H69" s="18">
        <f>(G69-F69)*E69</f>
        <v>389.60000000000036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71">
        <v>51491624</v>
      </c>
      <c r="D70" s="172" t="s">
        <v>64</v>
      </c>
      <c r="E70" s="171">
        <v>40</v>
      </c>
      <c r="F70" s="28">
        <v>164.16249999999999</v>
      </c>
      <c r="G70" s="28">
        <v>164.96799999999999</v>
      </c>
      <c r="H70" s="18">
        <f>(G70-F70)*E70</f>
        <v>32.2199999999998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31978.100000000552</v>
      </c>
      <c r="I71" s="85">
        <f>H71-H74-H69-H70</f>
        <v>-820.9199999995767</v>
      </c>
      <c r="J71" s="25">
        <f>I71/H71</f>
        <v>-2.5671318808796098E-2</v>
      </c>
    </row>
    <row r="72" spans="1:10" ht="15.75" x14ac:dyDescent="0.25">
      <c r="A72" s="27" t="s">
        <v>92</v>
      </c>
      <c r="B72" s="171" t="s">
        <v>53</v>
      </c>
      <c r="C72" s="86">
        <v>51097588</v>
      </c>
      <c r="D72" s="172" t="s">
        <v>76</v>
      </c>
      <c r="E72" s="171">
        <v>12000</v>
      </c>
      <c r="F72" s="21">
        <v>317.56979999999999</v>
      </c>
      <c r="G72" s="21">
        <v>319.065</v>
      </c>
      <c r="H72" s="18">
        <f>(G72-F72)*E72</f>
        <v>17942.400000000132</v>
      </c>
      <c r="I72" s="51"/>
      <c r="J72" s="58"/>
    </row>
    <row r="73" spans="1:10" ht="15.75" x14ac:dyDescent="0.25">
      <c r="A73" s="27" t="s">
        <v>93</v>
      </c>
      <c r="B73" s="171" t="s">
        <v>53</v>
      </c>
      <c r="C73" s="86">
        <v>51431335</v>
      </c>
      <c r="D73" s="172" t="s">
        <v>76</v>
      </c>
      <c r="E73" s="171">
        <v>12000</v>
      </c>
      <c r="F73" s="21">
        <v>252.15819999999999</v>
      </c>
      <c r="G73" s="21">
        <v>253.36109999999999</v>
      </c>
      <c r="H73" s="18">
        <f>(G73-F73)*E73</f>
        <v>14434.799999999996</v>
      </c>
      <c r="I73" s="51"/>
      <c r="J73" s="58"/>
    </row>
    <row r="74" spans="1:10" ht="15.75" x14ac:dyDescent="0.25">
      <c r="A74" s="87" t="s">
        <v>94</v>
      </c>
      <c r="B74" s="171" t="s">
        <v>28</v>
      </c>
      <c r="C74" s="171"/>
      <c r="D74" s="172"/>
      <c r="E74" s="171"/>
      <c r="F74" s="21"/>
      <c r="G74" s="21"/>
      <c r="H74" s="48">
        <f>H72+ H73</f>
        <v>32377.200000000128</v>
      </c>
      <c r="I74" s="85">
        <f>H74-H82</f>
        <v>-57.059999999968568</v>
      </c>
      <c r="J74" s="25">
        <f>I74/H74</f>
        <v>-1.7623512842360779E-3</v>
      </c>
    </row>
    <row r="75" spans="1:10" ht="15.75" x14ac:dyDescent="0.25">
      <c r="A75" s="27" t="s">
        <v>95</v>
      </c>
      <c r="B75" s="171" t="s">
        <v>53</v>
      </c>
      <c r="C75" s="86">
        <v>51097676</v>
      </c>
      <c r="D75" s="88" t="s">
        <v>64</v>
      </c>
      <c r="E75" s="171">
        <v>2400</v>
      </c>
      <c r="F75" s="21">
        <v>663.80870000000004</v>
      </c>
      <c r="G75" s="21">
        <v>666.98659999999995</v>
      </c>
      <c r="H75" s="18">
        <f>(G75-F75)*E75</f>
        <v>7626.9599999997808</v>
      </c>
      <c r="I75" s="51"/>
      <c r="J75" s="58"/>
    </row>
    <row r="76" spans="1:10" ht="15.75" x14ac:dyDescent="0.25">
      <c r="A76" s="27" t="s">
        <v>96</v>
      </c>
      <c r="B76" s="171" t="s">
        <v>53</v>
      </c>
      <c r="C76" s="86">
        <v>51431355</v>
      </c>
      <c r="D76" s="172" t="s">
        <v>22</v>
      </c>
      <c r="E76" s="172">
        <v>3600</v>
      </c>
      <c r="F76" s="21">
        <v>351.56049999999999</v>
      </c>
      <c r="G76" s="21">
        <v>352.93630000000002</v>
      </c>
      <c r="H76" s="18">
        <f>(G76-F76)*E76</f>
        <v>4952.8800000000956</v>
      </c>
      <c r="I76" s="51"/>
      <c r="J76" s="52"/>
    </row>
    <row r="77" spans="1:10" ht="15.75" x14ac:dyDescent="0.25">
      <c r="A77" s="27" t="s">
        <v>97</v>
      </c>
      <c r="B77" s="171" t="s">
        <v>53</v>
      </c>
      <c r="C77" s="86">
        <v>51259331</v>
      </c>
      <c r="D77" s="88" t="s">
        <v>38</v>
      </c>
      <c r="E77" s="171">
        <v>600</v>
      </c>
      <c r="F77" s="21">
        <v>155.8073</v>
      </c>
      <c r="G77" s="21">
        <v>156.5856</v>
      </c>
      <c r="H77" s="18">
        <f>(G77-F77)*E77</f>
        <v>466.98000000000093</v>
      </c>
      <c r="I77" s="51"/>
      <c r="J77" s="52"/>
    </row>
    <row r="78" spans="1:10" ht="15.75" x14ac:dyDescent="0.25">
      <c r="A78" s="27" t="s">
        <v>98</v>
      </c>
      <c r="B78" s="171" t="s">
        <v>53</v>
      </c>
      <c r="C78" s="86">
        <v>51259326</v>
      </c>
      <c r="D78" s="88" t="s">
        <v>15</v>
      </c>
      <c r="E78" s="171">
        <v>7200</v>
      </c>
      <c r="F78" s="21">
        <v>316.54919999999998</v>
      </c>
      <c r="G78" s="21">
        <v>317.98860000000002</v>
      </c>
      <c r="H78" s="18">
        <f>(G78-F78)*E78</f>
        <v>10363.680000000249</v>
      </c>
      <c r="I78" s="51"/>
      <c r="J78" s="52"/>
    </row>
    <row r="79" spans="1:10" ht="15.75" x14ac:dyDescent="0.25">
      <c r="A79" s="27" t="s">
        <v>99</v>
      </c>
      <c r="B79" s="171" t="s">
        <v>53</v>
      </c>
      <c r="C79" s="86">
        <v>51431351</v>
      </c>
      <c r="D79" s="88" t="s">
        <v>15</v>
      </c>
      <c r="E79" s="171">
        <v>7200</v>
      </c>
      <c r="F79" s="21">
        <v>224.7465</v>
      </c>
      <c r="G79" s="21">
        <v>225.99979999999999</v>
      </c>
      <c r="H79" s="18">
        <f>(G79-F79)*E79</f>
        <v>9023.7599999999693</v>
      </c>
      <c r="I79" s="51"/>
      <c r="J79" s="52"/>
    </row>
    <row r="80" spans="1:10" ht="15.75" x14ac:dyDescent="0.25">
      <c r="A80" s="89" t="s">
        <v>100</v>
      </c>
      <c r="B80" s="171" t="s">
        <v>53</v>
      </c>
      <c r="C80" s="90">
        <v>51097666</v>
      </c>
      <c r="D80" s="88" t="s">
        <v>64</v>
      </c>
      <c r="E80" s="171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71" t="s">
        <v>53</v>
      </c>
      <c r="C81" s="90">
        <v>51259323</v>
      </c>
      <c r="D81" s="88" t="s">
        <v>64</v>
      </c>
      <c r="E81" s="171">
        <v>2400</v>
      </c>
      <c r="F81" s="31">
        <v>7.6399999999999996E-2</v>
      </c>
      <c r="G81" s="31">
        <v>7.6399999999999996E-2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32434.260000000097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71" t="s">
        <v>53</v>
      </c>
      <c r="C84" s="106">
        <v>51431297</v>
      </c>
      <c r="D84" s="172" t="s">
        <v>54</v>
      </c>
      <c r="E84" s="100">
        <v>7000</v>
      </c>
      <c r="F84" s="17">
        <v>255.8817</v>
      </c>
      <c r="G84" s="17">
        <v>256.79759999999999</v>
      </c>
      <c r="H84" s="18">
        <f>(G84-F84)*E84</f>
        <v>6411.2999999999547</v>
      </c>
      <c r="I84" s="107"/>
      <c r="J84" s="108"/>
    </row>
    <row r="85" spans="1:10" ht="15.75" x14ac:dyDescent="0.25">
      <c r="A85" s="105" t="s">
        <v>87</v>
      </c>
      <c r="B85" s="171" t="s">
        <v>53</v>
      </c>
      <c r="C85" s="106">
        <v>51431332</v>
      </c>
      <c r="D85" s="172" t="s">
        <v>54</v>
      </c>
      <c r="E85" s="100">
        <v>7000</v>
      </c>
      <c r="F85" s="21">
        <v>352.7124</v>
      </c>
      <c r="G85" s="21">
        <v>354.42860000000002</v>
      </c>
      <c r="H85" s="18">
        <f>(G85-F85)*E85</f>
        <v>12013.400000000103</v>
      </c>
      <c r="I85" s="171"/>
      <c r="J85" s="58"/>
    </row>
    <row r="86" spans="1:10" ht="15.75" x14ac:dyDescent="0.25">
      <c r="A86" s="27" t="s">
        <v>88</v>
      </c>
      <c r="B86" s="171" t="s">
        <v>104</v>
      </c>
      <c r="C86" s="109">
        <v>150773</v>
      </c>
      <c r="D86" s="172" t="s">
        <v>54</v>
      </c>
      <c r="E86" s="109">
        <v>20</v>
      </c>
      <c r="F86" s="17">
        <v>15589.7</v>
      </c>
      <c r="G86" s="17">
        <v>15597.3</v>
      </c>
      <c r="H86" s="18">
        <f>(G86-F86)*E86</f>
        <v>151.9999999999709</v>
      </c>
      <c r="I86" s="51"/>
      <c r="J86" s="58"/>
    </row>
    <row r="87" spans="1:10" ht="15.75" x14ac:dyDescent="0.25">
      <c r="A87" s="27" t="s">
        <v>90</v>
      </c>
      <c r="B87" s="171" t="s">
        <v>104</v>
      </c>
      <c r="C87" s="109">
        <v>150791</v>
      </c>
      <c r="D87" s="172" t="s">
        <v>54</v>
      </c>
      <c r="E87" s="109">
        <v>20</v>
      </c>
      <c r="F87" s="21">
        <v>231.7</v>
      </c>
      <c r="G87" s="21">
        <v>231.7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73"/>
      <c r="C88" s="32"/>
      <c r="D88" s="82"/>
      <c r="E88" s="82"/>
      <c r="F88" s="21"/>
      <c r="G88" s="21"/>
      <c r="H88" s="48">
        <f>H84+H85</f>
        <v>18424.700000000059</v>
      </c>
      <c r="I88" s="85">
        <f>H88-H91-H86-H87</f>
        <v>379.74000000023079</v>
      </c>
      <c r="J88" s="25">
        <f>I88/H88</f>
        <v>2.0610376288364509E-2</v>
      </c>
    </row>
    <row r="89" spans="1:10" ht="15.75" x14ac:dyDescent="0.25">
      <c r="A89" s="27" t="s">
        <v>105</v>
      </c>
      <c r="B89" s="171" t="s">
        <v>53</v>
      </c>
      <c r="C89" s="106">
        <v>51431342</v>
      </c>
      <c r="D89" s="88" t="s">
        <v>35</v>
      </c>
      <c r="E89" s="171">
        <v>4800</v>
      </c>
      <c r="F89" s="21">
        <v>362.78390000000002</v>
      </c>
      <c r="G89" s="21">
        <v>364.0899</v>
      </c>
      <c r="H89" s="18">
        <f>(G89-F89)*E89</f>
        <v>6268.7999999999192</v>
      </c>
      <c r="I89" s="51"/>
      <c r="J89" s="52"/>
    </row>
    <row r="90" spans="1:10" ht="15.75" x14ac:dyDescent="0.25">
      <c r="A90" s="27" t="s">
        <v>106</v>
      </c>
      <c r="B90" s="171" t="s">
        <v>53</v>
      </c>
      <c r="C90" s="106">
        <v>51431343</v>
      </c>
      <c r="D90" s="88" t="s">
        <v>35</v>
      </c>
      <c r="E90" s="171">
        <v>4800</v>
      </c>
      <c r="F90" s="21">
        <v>498.83940000000001</v>
      </c>
      <c r="G90" s="21">
        <v>501.2611</v>
      </c>
      <c r="H90" s="18">
        <f>(G90-F90)*E90</f>
        <v>11624.159999999938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17892.959999999857</v>
      </c>
      <c r="I91" s="85">
        <f>H91-H99</f>
        <v>-1340.5400000003392</v>
      </c>
      <c r="J91" s="25">
        <f>I91/H91</f>
        <v>-7.4919968523952996E-2</v>
      </c>
    </row>
    <row r="92" spans="1:10" ht="15.75" x14ac:dyDescent="0.25">
      <c r="A92" s="27" t="s">
        <v>108</v>
      </c>
      <c r="B92" s="171" t="s">
        <v>53</v>
      </c>
      <c r="C92" s="106">
        <v>51431347</v>
      </c>
      <c r="D92" s="172" t="s">
        <v>54</v>
      </c>
      <c r="E92" s="171">
        <v>1200</v>
      </c>
      <c r="F92" s="21">
        <v>1184.1351999999999</v>
      </c>
      <c r="G92" s="21">
        <v>1192.6201000000001</v>
      </c>
      <c r="H92" s="18">
        <f t="shared" ref="H92:H100" si="4">(G92-F92)*E92</f>
        <v>10181.880000000183</v>
      </c>
      <c r="I92" s="51"/>
      <c r="J92" s="52"/>
    </row>
    <row r="93" spans="1:10" ht="15.75" x14ac:dyDescent="0.25">
      <c r="A93" s="27" t="s">
        <v>109</v>
      </c>
      <c r="B93" s="171" t="s">
        <v>53</v>
      </c>
      <c r="C93" s="106">
        <v>51431339</v>
      </c>
      <c r="D93" s="172" t="s">
        <v>54</v>
      </c>
      <c r="E93" s="171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110</v>
      </c>
      <c r="B94" s="171" t="s">
        <v>53</v>
      </c>
      <c r="C94" s="106">
        <v>51217244</v>
      </c>
      <c r="D94" s="171" t="s">
        <v>38</v>
      </c>
      <c r="E94" s="171">
        <v>600</v>
      </c>
      <c r="F94" s="30">
        <v>317.59339999999997</v>
      </c>
      <c r="G94" s="30">
        <v>321.92039999999997</v>
      </c>
      <c r="H94" s="18">
        <f t="shared" si="4"/>
        <v>2596.1999999999989</v>
      </c>
      <c r="I94" s="51"/>
      <c r="J94" s="52"/>
    </row>
    <row r="95" spans="1:10" ht="15.75" x14ac:dyDescent="0.25">
      <c r="A95" s="27" t="s">
        <v>111</v>
      </c>
      <c r="B95" s="171" t="s">
        <v>53</v>
      </c>
      <c r="C95" s="106">
        <v>51217267</v>
      </c>
      <c r="D95" s="88" t="s">
        <v>64</v>
      </c>
      <c r="E95" s="171">
        <v>2400</v>
      </c>
      <c r="F95" s="30">
        <v>19.953900000000001</v>
      </c>
      <c r="G95" s="30">
        <v>19.984100000000002</v>
      </c>
      <c r="H95" s="18">
        <f t="shared" si="4"/>
        <v>72.48000000000161</v>
      </c>
      <c r="I95" s="51"/>
      <c r="J95" s="52"/>
    </row>
    <row r="96" spans="1:10" ht="15.75" x14ac:dyDescent="0.25">
      <c r="A96" s="27" t="s">
        <v>112</v>
      </c>
      <c r="B96" s="171" t="s">
        <v>53</v>
      </c>
      <c r="C96" s="171">
        <v>51555165</v>
      </c>
      <c r="D96" s="172" t="s">
        <v>54</v>
      </c>
      <c r="E96" s="171">
        <v>1200</v>
      </c>
      <c r="F96" s="30">
        <v>771.62789999999995</v>
      </c>
      <c r="G96" s="30">
        <v>771.62789999999995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71" t="s">
        <v>53</v>
      </c>
      <c r="C97" s="106">
        <v>51431346</v>
      </c>
      <c r="D97" s="114" t="s">
        <v>38</v>
      </c>
      <c r="E97" s="114">
        <v>600</v>
      </c>
      <c r="F97" s="30">
        <v>332.91950000000003</v>
      </c>
      <c r="G97" s="30">
        <v>333.27420000000001</v>
      </c>
      <c r="H97" s="115">
        <f t="shared" si="4"/>
        <v>212.81999999998789</v>
      </c>
      <c r="I97" s="116"/>
      <c r="J97" s="117"/>
    </row>
    <row r="98" spans="1:10" ht="15.75" x14ac:dyDescent="0.25">
      <c r="A98" s="27" t="s">
        <v>114</v>
      </c>
      <c r="B98" s="171" t="s">
        <v>53</v>
      </c>
      <c r="C98" s="106">
        <v>51431352</v>
      </c>
      <c r="D98" s="88" t="s">
        <v>22</v>
      </c>
      <c r="E98" s="171">
        <v>3600</v>
      </c>
      <c r="F98" s="21">
        <v>211.56209999999999</v>
      </c>
      <c r="G98" s="21">
        <v>213.2338</v>
      </c>
      <c r="H98" s="18">
        <f t="shared" si="4"/>
        <v>6018.1200000000554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19233.500000000196</v>
      </c>
      <c r="I99" s="51"/>
      <c r="J99" s="52"/>
    </row>
    <row r="100" spans="1:10" ht="15.75" x14ac:dyDescent="0.25">
      <c r="A100" s="45" t="s">
        <v>115</v>
      </c>
      <c r="B100" s="171" t="s">
        <v>53</v>
      </c>
      <c r="C100" s="120">
        <v>51431357</v>
      </c>
      <c r="D100" s="172" t="s">
        <v>64</v>
      </c>
      <c r="E100" s="172">
        <v>14000</v>
      </c>
      <c r="F100" s="28">
        <v>805.41480000000001</v>
      </c>
      <c r="G100" s="28">
        <v>809.072</v>
      </c>
      <c r="H100" s="121">
        <f t="shared" si="4"/>
        <v>51200.799999999843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D55" workbookViewId="0">
      <selection activeCell="F100" sqref="F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134</v>
      </c>
      <c r="G3" s="4" t="s">
        <v>135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74" t="s">
        <v>14</v>
      </c>
      <c r="C5" s="174">
        <v>51555166</v>
      </c>
      <c r="D5" s="174" t="s">
        <v>15</v>
      </c>
      <c r="E5" s="174">
        <v>132000</v>
      </c>
      <c r="F5" s="17">
        <v>3.0017</v>
      </c>
      <c r="G5" s="17">
        <v>3.0851000000000002</v>
      </c>
      <c r="H5" s="18">
        <f>(G5-F5)*E5</f>
        <v>11008.800000000019</v>
      </c>
      <c r="I5" s="19"/>
      <c r="J5" s="20"/>
    </row>
    <row r="6" spans="1:10" ht="15.75" x14ac:dyDescent="0.25">
      <c r="A6" s="15" t="s">
        <v>16</v>
      </c>
      <c r="B6" s="174" t="s">
        <v>14</v>
      </c>
      <c r="C6" s="174">
        <v>51555191</v>
      </c>
      <c r="D6" s="174" t="s">
        <v>15</v>
      </c>
      <c r="E6" s="174">
        <v>132000</v>
      </c>
      <c r="F6" s="21">
        <v>352.20870000000002</v>
      </c>
      <c r="G6" s="21">
        <v>354.0917</v>
      </c>
      <c r="H6" s="18">
        <f>(G6-F6)*E6</f>
        <v>248555.99999999753</v>
      </c>
      <c r="I6" s="19"/>
      <c r="J6" s="20"/>
    </row>
    <row r="7" spans="1:10" ht="15.75" x14ac:dyDescent="0.25">
      <c r="A7" s="207" t="s">
        <v>17</v>
      </c>
      <c r="B7" s="208"/>
      <c r="C7" s="174"/>
      <c r="D7" s="175"/>
      <c r="E7" s="174"/>
      <c r="H7" s="23">
        <f>H5+H6</f>
        <v>259564.79999999754</v>
      </c>
      <c r="I7" s="24">
        <f>H7-H10-H20</f>
        <v>1154.99999999805</v>
      </c>
      <c r="J7" s="25">
        <f>I7/H7</f>
        <v>4.4497558990974932E-3</v>
      </c>
    </row>
    <row r="8" spans="1:10" ht="15.75" x14ac:dyDescent="0.25">
      <c r="A8" s="26" t="s">
        <v>18</v>
      </c>
      <c r="B8" s="174" t="s">
        <v>14</v>
      </c>
      <c r="C8" s="174">
        <v>51097629</v>
      </c>
      <c r="D8" s="175" t="s">
        <v>15</v>
      </c>
      <c r="E8" s="174">
        <v>42000</v>
      </c>
      <c r="F8" s="21">
        <v>1059.4799</v>
      </c>
      <c r="G8" s="21">
        <v>1064.1501000000001</v>
      </c>
      <c r="H8" s="18">
        <f>(G8-F8)*E8</f>
        <v>196148.40000000095</v>
      </c>
      <c r="I8" s="19"/>
      <c r="J8" s="20"/>
    </row>
    <row r="9" spans="1:10" ht="15.75" x14ac:dyDescent="0.25">
      <c r="A9" s="26" t="s">
        <v>19</v>
      </c>
      <c r="B9" s="174" t="s">
        <v>14</v>
      </c>
      <c r="C9" s="174">
        <v>51616820</v>
      </c>
      <c r="D9" s="175" t="s">
        <v>15</v>
      </c>
      <c r="E9" s="174">
        <v>42000</v>
      </c>
      <c r="F9" s="21">
        <v>5.1809000000000003</v>
      </c>
      <c r="G9" s="21">
        <v>5.1913</v>
      </c>
      <c r="H9" s="18">
        <f>(G9-F9)*E9</f>
        <v>436.79999999998921</v>
      </c>
      <c r="I9" s="19"/>
      <c r="J9" s="20"/>
    </row>
    <row r="10" spans="1:10" ht="15.75" x14ac:dyDescent="0.25">
      <c r="A10" s="207" t="s">
        <v>20</v>
      </c>
      <c r="B10" s="208"/>
      <c r="C10" s="174"/>
      <c r="D10" s="175"/>
      <c r="E10" s="174"/>
      <c r="F10" s="21"/>
      <c r="G10" s="21"/>
      <c r="H10" s="23">
        <f>H8+H9</f>
        <v>196585.20000000094</v>
      </c>
      <c r="I10" s="24">
        <f>H10-H17</f>
        <v>-109.19999999788706</v>
      </c>
      <c r="J10" s="25">
        <f>I10/H10</f>
        <v>-5.5548433960382843E-4</v>
      </c>
    </row>
    <row r="11" spans="1:10" ht="15.75" x14ac:dyDescent="0.25">
      <c r="A11" s="27" t="s">
        <v>21</v>
      </c>
      <c r="B11" s="174" t="s">
        <v>14</v>
      </c>
      <c r="C11" s="174">
        <v>51217286</v>
      </c>
      <c r="D11" s="175" t="s">
        <v>22</v>
      </c>
      <c r="E11" s="174">
        <v>21000</v>
      </c>
      <c r="F11" s="21">
        <v>837.63220000000001</v>
      </c>
      <c r="G11" s="21">
        <v>841.37080000000003</v>
      </c>
      <c r="H11" s="18">
        <f t="shared" ref="H11:H16" si="0">(G11-F11)*E11</f>
        <v>78510.600000000413</v>
      </c>
      <c r="I11" s="19"/>
      <c r="J11" s="20"/>
    </row>
    <row r="12" spans="1:10" ht="15.75" x14ac:dyDescent="0.25">
      <c r="A12" s="27" t="s">
        <v>23</v>
      </c>
      <c r="B12" s="174" t="s">
        <v>14</v>
      </c>
      <c r="C12" s="174">
        <v>51217292</v>
      </c>
      <c r="D12" s="175" t="s">
        <v>22</v>
      </c>
      <c r="E12" s="174">
        <v>21000</v>
      </c>
      <c r="F12" s="28">
        <v>3.6787999999999998</v>
      </c>
      <c r="G12" s="28">
        <v>3.7006999999999999</v>
      </c>
      <c r="H12" s="18">
        <f>(G12-F12)*E12</f>
        <v>459.90000000000066</v>
      </c>
      <c r="I12" s="19"/>
      <c r="J12" s="20"/>
    </row>
    <row r="13" spans="1:10" ht="15.75" x14ac:dyDescent="0.25">
      <c r="A13" s="27" t="s">
        <v>24</v>
      </c>
      <c r="B13" s="174" t="s">
        <v>14</v>
      </c>
      <c r="C13" s="174">
        <v>51217271</v>
      </c>
      <c r="D13" s="175" t="s">
        <v>22</v>
      </c>
      <c r="E13" s="174">
        <v>21000</v>
      </c>
      <c r="F13" s="21">
        <v>614.29650000000004</v>
      </c>
      <c r="G13" s="21">
        <v>616.96079999999995</v>
      </c>
      <c r="H13" s="18">
        <f t="shared" si="0"/>
        <v>55950.299999998155</v>
      </c>
      <c r="I13" s="19"/>
      <c r="J13" s="20"/>
    </row>
    <row r="14" spans="1:10" ht="15.75" x14ac:dyDescent="0.25">
      <c r="A14" s="27" t="s">
        <v>25</v>
      </c>
      <c r="B14" s="174" t="s">
        <v>14</v>
      </c>
      <c r="C14" s="174">
        <v>51217276</v>
      </c>
      <c r="D14" s="175" t="s">
        <v>22</v>
      </c>
      <c r="E14" s="174">
        <v>21000</v>
      </c>
      <c r="F14" s="28">
        <v>0.56130000000000002</v>
      </c>
      <c r="G14" s="28">
        <v>0.56130000000000002</v>
      </c>
      <c r="H14" s="18">
        <f>(G14-F14)*E14</f>
        <v>0</v>
      </c>
      <c r="I14" s="19"/>
      <c r="J14" s="20"/>
    </row>
    <row r="15" spans="1:10" ht="15.75" x14ac:dyDescent="0.25">
      <c r="A15" s="27" t="s">
        <v>26</v>
      </c>
      <c r="B15" s="174" t="s">
        <v>14</v>
      </c>
      <c r="C15" s="174">
        <v>51100990</v>
      </c>
      <c r="D15" s="175" t="s">
        <v>22</v>
      </c>
      <c r="E15" s="174">
        <v>21000</v>
      </c>
      <c r="F15" s="29">
        <v>672.7174</v>
      </c>
      <c r="G15" s="29">
        <v>675.64670000000001</v>
      </c>
      <c r="H15" s="18">
        <f t="shared" si="0"/>
        <v>61515.30000000025</v>
      </c>
      <c r="I15" s="19"/>
      <c r="J15" s="20"/>
    </row>
    <row r="16" spans="1:10" ht="15.75" x14ac:dyDescent="0.25">
      <c r="A16" s="27" t="s">
        <v>27</v>
      </c>
      <c r="B16" s="174" t="s">
        <v>14</v>
      </c>
      <c r="C16" s="174">
        <v>51097622</v>
      </c>
      <c r="D16" s="175" t="s">
        <v>22</v>
      </c>
      <c r="E16" s="174">
        <v>21000</v>
      </c>
      <c r="F16" s="21">
        <v>2.9466999999999999</v>
      </c>
      <c r="G16" s="21">
        <v>2.9590000000000001</v>
      </c>
      <c r="H16" s="18">
        <f t="shared" si="0"/>
        <v>258.30000000000422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74"/>
      <c r="D17" s="175"/>
      <c r="E17" s="174"/>
      <c r="F17" s="21"/>
      <c r="G17" s="21"/>
      <c r="H17" s="23">
        <f>H11+H12+H13+H14+H15+H16</f>
        <v>196694.39999999883</v>
      </c>
      <c r="I17" s="19"/>
      <c r="J17" s="20"/>
    </row>
    <row r="18" spans="1:10" ht="15.75" x14ac:dyDescent="0.25">
      <c r="A18" s="26" t="s">
        <v>30</v>
      </c>
      <c r="B18" s="174" t="s">
        <v>14</v>
      </c>
      <c r="C18" s="174">
        <v>51097617</v>
      </c>
      <c r="D18" s="175" t="s">
        <v>31</v>
      </c>
      <c r="E18" s="174">
        <v>18000</v>
      </c>
      <c r="F18" s="30">
        <v>815.02970000000005</v>
      </c>
      <c r="G18" s="30">
        <v>817.86289999999997</v>
      </c>
      <c r="H18" s="18">
        <f>(G18-F18)*E18</f>
        <v>50997.599999998558</v>
      </c>
      <c r="I18" s="19"/>
      <c r="J18" s="20"/>
    </row>
    <row r="19" spans="1:10" ht="15.75" x14ac:dyDescent="0.25">
      <c r="A19" s="26" t="s">
        <v>32</v>
      </c>
      <c r="B19" s="174" t="s">
        <v>14</v>
      </c>
      <c r="C19" s="174">
        <v>51097655</v>
      </c>
      <c r="D19" s="175" t="s">
        <v>31</v>
      </c>
      <c r="E19" s="174">
        <v>18000</v>
      </c>
      <c r="F19" s="30">
        <v>6.7220000000000004</v>
      </c>
      <c r="G19" s="30">
        <v>7.3235000000000001</v>
      </c>
      <c r="H19" s="18">
        <f>(G19-F19)*E19</f>
        <v>10826.999999999995</v>
      </c>
      <c r="I19" s="19"/>
      <c r="J19" s="20"/>
    </row>
    <row r="20" spans="1:10" ht="15.75" x14ac:dyDescent="0.25">
      <c r="A20" s="207" t="s">
        <v>33</v>
      </c>
      <c r="B20" s="208"/>
      <c r="C20" s="174"/>
      <c r="D20" s="175"/>
      <c r="E20" s="174"/>
      <c r="F20" s="30"/>
      <c r="G20" s="30"/>
      <c r="H20" s="23">
        <f>H18+H19</f>
        <v>61824.599999998551</v>
      </c>
      <c r="I20" s="24">
        <f>H20-H35</f>
        <v>785.69999999802531</v>
      </c>
      <c r="J20" s="25">
        <f>I20/H20</f>
        <v>1.2708533496343587E-2</v>
      </c>
    </row>
    <row r="21" spans="1:10" ht="15.75" x14ac:dyDescent="0.25">
      <c r="A21" s="15" t="s">
        <v>34</v>
      </c>
      <c r="B21" s="174" t="s">
        <v>14</v>
      </c>
      <c r="C21" s="174">
        <v>51217282</v>
      </c>
      <c r="D21" s="175" t="s">
        <v>35</v>
      </c>
      <c r="E21" s="174">
        <v>4800</v>
      </c>
      <c r="F21" s="21">
        <v>380.01010000000002</v>
      </c>
      <c r="G21" s="21">
        <v>380.053</v>
      </c>
      <c r="H21" s="18">
        <f t="shared" ref="H21:H34" si="1">(G21-F21)*E21</f>
        <v>205.9199999998782</v>
      </c>
      <c r="I21" s="19" t="s">
        <v>28</v>
      </c>
      <c r="J21" s="20"/>
    </row>
    <row r="22" spans="1:10" ht="15.75" x14ac:dyDescent="0.25">
      <c r="A22" s="15" t="s">
        <v>36</v>
      </c>
      <c r="B22" s="174" t="s">
        <v>14</v>
      </c>
      <c r="C22" s="174">
        <v>51217274</v>
      </c>
      <c r="D22" s="175" t="s">
        <v>35</v>
      </c>
      <c r="E22" s="174">
        <v>4800</v>
      </c>
      <c r="F22" s="21">
        <v>1276.0261</v>
      </c>
      <c r="G22" s="21">
        <v>1282.0449000000001</v>
      </c>
      <c r="H22" s="18">
        <f t="shared" si="1"/>
        <v>28890.240000000267</v>
      </c>
      <c r="I22" s="19"/>
      <c r="J22" s="20"/>
    </row>
    <row r="23" spans="1:10" ht="15.75" x14ac:dyDescent="0.25">
      <c r="A23" s="15" t="s">
        <v>37</v>
      </c>
      <c r="B23" s="174" t="s">
        <v>14</v>
      </c>
      <c r="C23" s="174">
        <v>51097664</v>
      </c>
      <c r="D23" s="175" t="s">
        <v>38</v>
      </c>
      <c r="E23" s="174">
        <v>600</v>
      </c>
      <c r="F23" s="21">
        <v>4.4409999999999998</v>
      </c>
      <c r="G23" s="21">
        <v>4.4409999999999998</v>
      </c>
      <c r="H23" s="18">
        <f t="shared" si="1"/>
        <v>0</v>
      </c>
      <c r="I23" s="19"/>
      <c r="J23" s="20"/>
    </row>
    <row r="24" spans="1:10" ht="15.75" x14ac:dyDescent="0.25">
      <c r="A24" s="15" t="s">
        <v>39</v>
      </c>
      <c r="B24" s="174" t="s">
        <v>14</v>
      </c>
      <c r="C24" s="174">
        <v>51097615</v>
      </c>
      <c r="D24" s="175" t="s">
        <v>38</v>
      </c>
      <c r="E24" s="174">
        <v>600</v>
      </c>
      <c r="F24" s="21">
        <v>40.5319</v>
      </c>
      <c r="G24" s="21">
        <v>40.843600000000002</v>
      </c>
      <c r="H24" s="18">
        <f t="shared" si="1"/>
        <v>187.02000000000112</v>
      </c>
      <c r="I24" s="19"/>
      <c r="J24" s="20"/>
    </row>
    <row r="25" spans="1:10" ht="15.75" x14ac:dyDescent="0.25">
      <c r="A25" s="15" t="s">
        <v>40</v>
      </c>
      <c r="B25" s="174" t="s">
        <v>14</v>
      </c>
      <c r="C25" s="174">
        <v>51217264</v>
      </c>
      <c r="D25" s="175" t="s">
        <v>38</v>
      </c>
      <c r="E25" s="174">
        <v>600</v>
      </c>
      <c r="F25" s="21">
        <v>95.524000000000001</v>
      </c>
      <c r="G25" s="21">
        <v>96.138999999999996</v>
      </c>
      <c r="H25" s="18">
        <f t="shared" si="1"/>
        <v>368.99999999999693</v>
      </c>
      <c r="I25" s="19"/>
      <c r="J25" s="20"/>
    </row>
    <row r="26" spans="1:10" ht="15.75" x14ac:dyDescent="0.25">
      <c r="A26" s="15" t="s">
        <v>41</v>
      </c>
      <c r="B26" s="174" t="s">
        <v>14</v>
      </c>
      <c r="C26" s="174">
        <v>51217288</v>
      </c>
      <c r="D26" s="175" t="s">
        <v>38</v>
      </c>
      <c r="E26" s="174">
        <v>600</v>
      </c>
      <c r="F26" s="21">
        <v>20.085899999999999</v>
      </c>
      <c r="G26" s="21">
        <v>20.116399999999999</v>
      </c>
      <c r="H26" s="18">
        <f t="shared" si="1"/>
        <v>18.299999999999983</v>
      </c>
      <c r="I26" s="19" t="s">
        <v>28</v>
      </c>
      <c r="J26" s="20"/>
    </row>
    <row r="27" spans="1:10" ht="15.75" x14ac:dyDescent="0.25">
      <c r="A27" s="15" t="s">
        <v>42</v>
      </c>
      <c r="B27" s="174" t="s">
        <v>14</v>
      </c>
      <c r="C27" s="174">
        <v>51217279</v>
      </c>
      <c r="D27" s="175" t="s">
        <v>38</v>
      </c>
      <c r="E27" s="174">
        <v>600</v>
      </c>
      <c r="F27" s="21">
        <v>14.620100000000001</v>
      </c>
      <c r="G27" s="21">
        <v>14.674099999999999</v>
      </c>
      <c r="H27" s="18">
        <f t="shared" si="1"/>
        <v>32.399999999999096</v>
      </c>
      <c r="I27" s="19" t="s">
        <v>28</v>
      </c>
      <c r="J27" s="20"/>
    </row>
    <row r="28" spans="1:10" ht="15.75" x14ac:dyDescent="0.25">
      <c r="A28" s="15" t="s">
        <v>43</v>
      </c>
      <c r="B28" s="174" t="s">
        <v>14</v>
      </c>
      <c r="C28" s="174">
        <v>51217272</v>
      </c>
      <c r="D28" s="175" t="s">
        <v>38</v>
      </c>
      <c r="E28" s="174">
        <v>600</v>
      </c>
      <c r="F28" s="31">
        <v>14.341200000000001</v>
      </c>
      <c r="G28" s="31">
        <v>14.3935</v>
      </c>
      <c r="H28" s="18">
        <f t="shared" si="1"/>
        <v>31.379999999999342</v>
      </c>
      <c r="I28" s="19"/>
      <c r="J28" s="20"/>
    </row>
    <row r="29" spans="1:10" ht="15.75" x14ac:dyDescent="0.25">
      <c r="A29" s="15" t="s">
        <v>44</v>
      </c>
      <c r="B29" s="174" t="s">
        <v>14</v>
      </c>
      <c r="C29" s="174">
        <v>51616744</v>
      </c>
      <c r="D29" s="175">
        <f>300/5</f>
        <v>60</v>
      </c>
      <c r="E29" s="174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74" t="s">
        <v>14</v>
      </c>
      <c r="C30" s="174">
        <v>51555226</v>
      </c>
      <c r="D30" s="175">
        <f>300/5</f>
        <v>60</v>
      </c>
      <c r="E30" s="174">
        <v>3600</v>
      </c>
      <c r="F30" s="31">
        <v>467.45769999999999</v>
      </c>
      <c r="G30" s="31">
        <v>471.54410000000001</v>
      </c>
      <c r="H30" s="18">
        <f>(G30-F30)*E30</f>
        <v>14711.040000000094</v>
      </c>
      <c r="I30" s="19"/>
      <c r="J30" s="20"/>
    </row>
    <row r="31" spans="1:10" ht="15.75" x14ac:dyDescent="0.25">
      <c r="A31" s="15" t="s">
        <v>46</v>
      </c>
      <c r="B31" s="174" t="s">
        <v>14</v>
      </c>
      <c r="C31" s="174">
        <v>51097658</v>
      </c>
      <c r="D31" s="175" t="s">
        <v>35</v>
      </c>
      <c r="E31" s="174">
        <v>4800</v>
      </c>
      <c r="F31" s="31">
        <v>624.93719999999996</v>
      </c>
      <c r="G31" s="31">
        <v>628.19100000000003</v>
      </c>
      <c r="H31" s="18">
        <f t="shared" si="1"/>
        <v>15618.240000000333</v>
      </c>
      <c r="I31" s="19"/>
      <c r="J31" s="20"/>
    </row>
    <row r="32" spans="1:10" ht="15.75" x14ac:dyDescent="0.25">
      <c r="A32" s="15" t="s">
        <v>47</v>
      </c>
      <c r="B32" s="174" t="s">
        <v>14</v>
      </c>
      <c r="C32" s="174">
        <v>51097635</v>
      </c>
      <c r="D32" s="175" t="s">
        <v>35</v>
      </c>
      <c r="E32" s="174">
        <v>4800</v>
      </c>
      <c r="F32" s="31">
        <v>48.457799999999999</v>
      </c>
      <c r="G32" s="31">
        <v>48.458799999999997</v>
      </c>
      <c r="H32" s="18">
        <f t="shared" si="1"/>
        <v>4.7999999999888132</v>
      </c>
      <c r="I32" s="19"/>
      <c r="J32" s="20"/>
    </row>
    <row r="33" spans="1:10" ht="15.75" x14ac:dyDescent="0.25">
      <c r="A33" s="15" t="s">
        <v>48</v>
      </c>
      <c r="B33" s="174" t="s">
        <v>14</v>
      </c>
      <c r="C33" s="32">
        <v>51097633</v>
      </c>
      <c r="D33" s="175" t="s">
        <v>35</v>
      </c>
      <c r="E33" s="174">
        <v>4800</v>
      </c>
      <c r="F33" s="31">
        <v>161.1386</v>
      </c>
      <c r="G33" s="31">
        <v>161.31479999999999</v>
      </c>
      <c r="H33" s="33">
        <f t="shared" si="1"/>
        <v>845.75999999997293</v>
      </c>
      <c r="I33" s="34"/>
      <c r="J33" s="35"/>
    </row>
    <row r="34" spans="1:10" ht="15.75" x14ac:dyDescent="0.25">
      <c r="A34" s="15" t="s">
        <v>49</v>
      </c>
      <c r="B34" s="174" t="s">
        <v>14</v>
      </c>
      <c r="C34" s="32">
        <v>51097662</v>
      </c>
      <c r="D34" s="175" t="s">
        <v>35</v>
      </c>
      <c r="E34" s="174">
        <v>4800</v>
      </c>
      <c r="F34" s="31">
        <v>3.2275</v>
      </c>
      <c r="G34" s="31">
        <v>3.2534999999999998</v>
      </c>
      <c r="H34" s="33">
        <f t="shared" si="1"/>
        <v>124.79999999999905</v>
      </c>
      <c r="I34" s="34"/>
      <c r="J34" s="35"/>
    </row>
    <row r="35" spans="1:10" ht="15.75" x14ac:dyDescent="0.25">
      <c r="A35" s="207" t="s">
        <v>50</v>
      </c>
      <c r="B35" s="208"/>
      <c r="C35" s="174"/>
      <c r="D35" s="175"/>
      <c r="E35" s="174"/>
      <c r="F35" s="36"/>
      <c r="G35" s="36"/>
      <c r="H35" s="23">
        <f>H21+H22+H23+H24+H25+H26+H27+H28+H29+H30+H31+H32+H33+H34</f>
        <v>61038.900000000525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74" t="s">
        <v>53</v>
      </c>
      <c r="C37" s="174">
        <v>51555209</v>
      </c>
      <c r="D37" s="175" t="s">
        <v>54</v>
      </c>
      <c r="E37" s="174">
        <v>7000</v>
      </c>
      <c r="F37" s="17">
        <v>5.3834</v>
      </c>
      <c r="G37" s="17">
        <v>5.4329000000000001</v>
      </c>
      <c r="H37" s="41">
        <f>(G37-F37)*E37</f>
        <v>346.50000000000068</v>
      </c>
      <c r="I37" s="42"/>
      <c r="J37" s="14"/>
    </row>
    <row r="38" spans="1:10" ht="15.75" x14ac:dyDescent="0.25">
      <c r="A38" s="15" t="s">
        <v>55</v>
      </c>
      <c r="B38" s="174" t="s">
        <v>53</v>
      </c>
      <c r="C38" s="174">
        <v>51555209</v>
      </c>
      <c r="D38" s="175" t="s">
        <v>54</v>
      </c>
      <c r="E38" s="174">
        <v>7000</v>
      </c>
      <c r="F38" s="21">
        <v>9.9164999999999992</v>
      </c>
      <c r="G38" s="21">
        <v>9.9539000000000009</v>
      </c>
      <c r="H38" s="18">
        <f>(G38-F38)*E38</f>
        <v>261.80000000001155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74" t="s">
        <v>53</v>
      </c>
      <c r="C40" s="174">
        <v>51097674</v>
      </c>
      <c r="D40" s="174" t="s">
        <v>15</v>
      </c>
      <c r="E40" s="174">
        <v>7200</v>
      </c>
      <c r="F40" s="21">
        <v>570.8356</v>
      </c>
      <c r="G40" s="21">
        <v>573.26660000000004</v>
      </c>
      <c r="H40" s="18">
        <f>(G40-F40)*E40</f>
        <v>17503.200000000288</v>
      </c>
      <c r="I40" s="47"/>
      <c r="J40" s="20"/>
    </row>
    <row r="41" spans="1:10" ht="15.75" x14ac:dyDescent="0.25">
      <c r="A41" s="27" t="s">
        <v>58</v>
      </c>
      <c r="B41" s="174" t="s">
        <v>53</v>
      </c>
      <c r="C41" s="174">
        <v>51259257</v>
      </c>
      <c r="D41" s="174" t="s">
        <v>15</v>
      </c>
      <c r="E41" s="174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74"/>
      <c r="C42" s="174"/>
      <c r="D42" s="174"/>
      <c r="E42" s="174"/>
      <c r="F42" s="21"/>
      <c r="G42" s="21"/>
      <c r="H42" s="48">
        <f>H40+H41</f>
        <v>17503.200000000288</v>
      </c>
      <c r="I42" s="24">
        <f>H42-H50</f>
        <v>-116.23999999983062</v>
      </c>
      <c r="J42" s="25">
        <f>I42/H42</f>
        <v>-6.641071346943913E-3</v>
      </c>
    </row>
    <row r="43" spans="1:10" ht="15.75" x14ac:dyDescent="0.25">
      <c r="A43" s="15" t="s">
        <v>60</v>
      </c>
      <c r="B43" s="174"/>
      <c r="C43" s="174"/>
      <c r="D43" s="175"/>
      <c r="E43" s="174"/>
      <c r="H43" s="18"/>
      <c r="I43" s="43"/>
      <c r="J43" s="20"/>
    </row>
    <row r="44" spans="1:10" ht="15.75" x14ac:dyDescent="0.25">
      <c r="A44" s="27" t="s">
        <v>61</v>
      </c>
      <c r="B44" s="174" t="s">
        <v>53</v>
      </c>
      <c r="C44" s="32">
        <v>51097648</v>
      </c>
      <c r="D44" s="174" t="s">
        <v>54</v>
      </c>
      <c r="E44" s="174">
        <v>1200</v>
      </c>
      <c r="F44" s="21">
        <v>467.70960000000002</v>
      </c>
      <c r="G44" s="21">
        <v>469.5505</v>
      </c>
      <c r="H44" s="33">
        <f>(G44-F44)*E44</f>
        <v>2209.0799999999717</v>
      </c>
      <c r="I44" s="43"/>
      <c r="J44" s="20"/>
    </row>
    <row r="45" spans="1:10" ht="15.75" x14ac:dyDescent="0.25">
      <c r="A45" s="27" t="s">
        <v>62</v>
      </c>
      <c r="B45" s="174" t="s">
        <v>53</v>
      </c>
      <c r="C45" s="32">
        <v>50555043</v>
      </c>
      <c r="D45" s="174" t="s">
        <v>54</v>
      </c>
      <c r="E45" s="174">
        <v>1200</v>
      </c>
      <c r="F45" s="21">
        <v>1955.6243999999999</v>
      </c>
      <c r="G45" s="21">
        <v>1963.8539000000001</v>
      </c>
      <c r="H45" s="33">
        <f>(G45-F45)*E45</f>
        <v>9875.4000000001724</v>
      </c>
      <c r="I45" s="43"/>
      <c r="J45" s="20"/>
    </row>
    <row r="46" spans="1:10" ht="15.75" x14ac:dyDescent="0.25">
      <c r="A46" s="27" t="s">
        <v>63</v>
      </c>
      <c r="B46" s="174" t="s">
        <v>53</v>
      </c>
      <c r="C46" s="32">
        <v>51259336</v>
      </c>
      <c r="D46" s="174" t="s">
        <v>64</v>
      </c>
      <c r="E46" s="174">
        <v>2400</v>
      </c>
      <c r="F46" s="21">
        <v>3.9986000000000002</v>
      </c>
      <c r="G46" s="21">
        <v>4.0121000000000002</v>
      </c>
      <c r="H46" s="33">
        <f>(G46-F46)*E46</f>
        <v>32.400000000000162</v>
      </c>
      <c r="I46" s="43"/>
      <c r="J46" s="20"/>
    </row>
    <row r="47" spans="1:10" ht="15.75" x14ac:dyDescent="0.25">
      <c r="A47" s="27" t="s">
        <v>65</v>
      </c>
      <c r="B47" s="174" t="s">
        <v>53</v>
      </c>
      <c r="C47" s="32">
        <v>51259266</v>
      </c>
      <c r="D47" s="174" t="s">
        <v>54</v>
      </c>
      <c r="E47" s="174">
        <v>1200</v>
      </c>
      <c r="F47" s="21">
        <v>948.89490000000001</v>
      </c>
      <c r="G47" s="21">
        <v>953.11149999999998</v>
      </c>
      <c r="H47" s="33">
        <f>(G47-F47)*E47</f>
        <v>5059.9199999999655</v>
      </c>
      <c r="I47" s="43"/>
      <c r="J47" s="20"/>
    </row>
    <row r="48" spans="1:10" ht="15.75" x14ac:dyDescent="0.25">
      <c r="A48" s="27" t="s">
        <v>66</v>
      </c>
      <c r="B48" s="174" t="s">
        <v>53</v>
      </c>
      <c r="C48" s="32">
        <v>51431336</v>
      </c>
      <c r="D48" s="174" t="s">
        <v>54</v>
      </c>
      <c r="E48" s="174">
        <v>1200</v>
      </c>
      <c r="F48" s="21">
        <v>54.551299999999998</v>
      </c>
      <c r="G48" s="21">
        <v>54.878500000000003</v>
      </c>
      <c r="H48" s="33">
        <f>(G48-F48)*E48</f>
        <v>392.64000000000578</v>
      </c>
      <c r="I48" s="43"/>
      <c r="J48" s="20"/>
    </row>
    <row r="49" spans="1:10" ht="15.75" x14ac:dyDescent="0.25">
      <c r="A49" s="15" t="s">
        <v>67</v>
      </c>
      <c r="B49" s="174" t="s">
        <v>68</v>
      </c>
      <c r="C49" s="174">
        <v>49174</v>
      </c>
      <c r="D49" s="175" t="s">
        <v>54</v>
      </c>
      <c r="E49" s="174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17619.440000000119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74" t="s">
        <v>53</v>
      </c>
      <c r="C52" s="174">
        <v>51097603</v>
      </c>
      <c r="D52" s="175" t="s">
        <v>54</v>
      </c>
      <c r="E52" s="174">
        <v>7000</v>
      </c>
      <c r="F52" s="17">
        <v>1873.4123</v>
      </c>
      <c r="G52" s="17">
        <v>1881.9056</v>
      </c>
      <c r="H52" s="18">
        <f>(G52-F52)*E52</f>
        <v>59453.100000000632</v>
      </c>
      <c r="I52" s="43"/>
      <c r="J52" s="20"/>
    </row>
    <row r="53" spans="1:10" ht="15.75" x14ac:dyDescent="0.25">
      <c r="A53" s="27" t="s">
        <v>73</v>
      </c>
      <c r="B53" s="174" t="s">
        <v>53</v>
      </c>
      <c r="C53" s="174">
        <v>51097590</v>
      </c>
      <c r="D53" s="175" t="s">
        <v>54</v>
      </c>
      <c r="E53" s="174">
        <v>7000</v>
      </c>
      <c r="F53" s="21">
        <v>12.0259</v>
      </c>
      <c r="G53" s="21">
        <v>12.0936</v>
      </c>
      <c r="H53" s="18">
        <f>(G53-F53)*E53</f>
        <v>473.90000000000219</v>
      </c>
      <c r="I53" s="43"/>
      <c r="J53" s="20"/>
    </row>
    <row r="54" spans="1:10" ht="15.75" x14ac:dyDescent="0.25">
      <c r="A54" s="15" t="s">
        <v>67</v>
      </c>
      <c r="B54" s="174" t="s">
        <v>68</v>
      </c>
      <c r="C54" s="174">
        <v>49174</v>
      </c>
      <c r="D54" s="175" t="s">
        <v>54</v>
      </c>
      <c r="E54" s="174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74"/>
      <c r="D55" s="175"/>
      <c r="E55" s="174"/>
      <c r="F55" s="21"/>
      <c r="G55" s="21"/>
      <c r="H55" s="48">
        <f>H52+H53+H54</f>
        <v>60027.000000000633</v>
      </c>
      <c r="I55" s="47"/>
      <c r="J55" s="59"/>
    </row>
    <row r="56" spans="1:10" ht="15.75" x14ac:dyDescent="0.25">
      <c r="A56" s="27" t="s">
        <v>75</v>
      </c>
      <c r="B56" s="174" t="s">
        <v>53</v>
      </c>
      <c r="C56" s="174">
        <v>51100980</v>
      </c>
      <c r="D56" s="174" t="s">
        <v>76</v>
      </c>
      <c r="E56" s="174">
        <v>12000</v>
      </c>
      <c r="F56" s="21">
        <v>1102.2437</v>
      </c>
      <c r="G56" s="21">
        <v>1107.2485999999999</v>
      </c>
      <c r="H56" s="18">
        <f>(G56-F56)*E56</f>
        <v>60058.799999998882</v>
      </c>
      <c r="I56" s="47"/>
      <c r="J56" s="58"/>
    </row>
    <row r="57" spans="1:10" ht="15.75" x14ac:dyDescent="0.25">
      <c r="A57" s="27" t="s">
        <v>77</v>
      </c>
      <c r="B57" s="174" t="s">
        <v>53</v>
      </c>
      <c r="C57" s="174">
        <v>51097623</v>
      </c>
      <c r="D57" s="174" t="s">
        <v>76</v>
      </c>
      <c r="E57" s="174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74"/>
      <c r="C58" s="174"/>
      <c r="D58" s="174"/>
      <c r="E58" s="174"/>
      <c r="F58" s="21"/>
      <c r="G58" s="21"/>
      <c r="H58" s="48">
        <f>H56+H57</f>
        <v>60058.799999998882</v>
      </c>
      <c r="I58" s="61">
        <f>H55-H65-H54</f>
        <v>-269.55999999916094</v>
      </c>
      <c r="J58" s="25">
        <f>I58/H58</f>
        <v>-4.4882681638521906E-3</v>
      </c>
    </row>
    <row r="59" spans="1:10" ht="15.75" x14ac:dyDescent="0.25">
      <c r="A59" s="27" t="s">
        <v>79</v>
      </c>
      <c r="B59" s="174" t="s">
        <v>53</v>
      </c>
      <c r="C59" s="174">
        <v>51097675</v>
      </c>
      <c r="D59" s="174" t="s">
        <v>35</v>
      </c>
      <c r="E59" s="174">
        <v>4800</v>
      </c>
      <c r="F59" s="21">
        <v>482.41969999999998</v>
      </c>
      <c r="G59" s="21">
        <v>485.43299999999999</v>
      </c>
      <c r="H59" s="18">
        <f t="shared" ref="H59:H64" si="2">(G59-F59)*E59</f>
        <v>14463.840000000073</v>
      </c>
      <c r="I59" s="62"/>
      <c r="J59" s="59"/>
    </row>
    <row r="60" spans="1:10" ht="15.75" x14ac:dyDescent="0.25">
      <c r="A60" s="27" t="s">
        <v>80</v>
      </c>
      <c r="B60" s="174" t="s">
        <v>53</v>
      </c>
      <c r="C60" s="174">
        <v>51100997</v>
      </c>
      <c r="D60" s="174" t="s">
        <v>22</v>
      </c>
      <c r="E60" s="174">
        <v>3600</v>
      </c>
      <c r="F60" s="21">
        <v>1341.9556</v>
      </c>
      <c r="G60" s="21">
        <v>1348.0229999999999</v>
      </c>
      <c r="H60" s="18">
        <f t="shared" si="2"/>
        <v>21842.639999999665</v>
      </c>
      <c r="I60" s="62"/>
      <c r="J60" s="59"/>
    </row>
    <row r="61" spans="1:10" ht="15.75" x14ac:dyDescent="0.25">
      <c r="A61" s="27" t="s">
        <v>81</v>
      </c>
      <c r="B61" s="174" t="s">
        <v>53</v>
      </c>
      <c r="C61" s="174">
        <v>51555218</v>
      </c>
      <c r="D61" s="174">
        <f>400/5</f>
        <v>80</v>
      </c>
      <c r="E61" s="174">
        <v>4800</v>
      </c>
      <c r="F61" s="21">
        <v>59.633499999999998</v>
      </c>
      <c r="G61" s="21">
        <v>60.138500000000001</v>
      </c>
      <c r="H61" s="18">
        <f t="shared" si="2"/>
        <v>2424.0000000000123</v>
      </c>
      <c r="I61" s="62"/>
      <c r="J61" s="59"/>
    </row>
    <row r="62" spans="1:10" ht="15.75" x14ac:dyDescent="0.25">
      <c r="A62" s="27" t="s">
        <v>82</v>
      </c>
      <c r="B62" s="174" t="s">
        <v>53</v>
      </c>
      <c r="C62" s="174">
        <v>51555151</v>
      </c>
      <c r="D62" s="174">
        <f>400/5</f>
        <v>80</v>
      </c>
      <c r="E62" s="174">
        <v>4800</v>
      </c>
      <c r="F62" s="63">
        <v>0.30690000000000001</v>
      </c>
      <c r="G62" s="63">
        <v>0.30690000000000001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74" t="s">
        <v>53</v>
      </c>
      <c r="C63" s="174">
        <v>51097599</v>
      </c>
      <c r="D63" s="174" t="s">
        <v>22</v>
      </c>
      <c r="E63" s="174">
        <v>3600</v>
      </c>
      <c r="F63" s="21">
        <v>942.70550000000003</v>
      </c>
      <c r="G63" s="21">
        <v>945.11310000000003</v>
      </c>
      <c r="H63" s="18">
        <f t="shared" si="2"/>
        <v>8667.3600000000079</v>
      </c>
      <c r="I63" s="62"/>
      <c r="J63" s="59"/>
    </row>
    <row r="64" spans="1:10" ht="15.75" x14ac:dyDescent="0.25">
      <c r="A64" s="27" t="s">
        <v>84</v>
      </c>
      <c r="B64" s="174" t="s">
        <v>53</v>
      </c>
      <c r="C64" s="174">
        <v>51097620</v>
      </c>
      <c r="D64" s="174" t="s">
        <v>35</v>
      </c>
      <c r="E64" s="174">
        <v>4800</v>
      </c>
      <c r="F64" s="21">
        <v>489.40949999999998</v>
      </c>
      <c r="G64" s="21">
        <v>492.07589999999999</v>
      </c>
      <c r="H64" s="18">
        <f t="shared" si="2"/>
        <v>12798.720000000048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60196.559999999794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74" t="s">
        <v>53</v>
      </c>
      <c r="C67" s="9">
        <v>51259238</v>
      </c>
      <c r="D67" s="74" t="s">
        <v>54</v>
      </c>
      <c r="E67" s="74">
        <v>7000</v>
      </c>
      <c r="F67" s="75">
        <v>531.03330000000005</v>
      </c>
      <c r="G67" s="75">
        <v>533.80259999999998</v>
      </c>
      <c r="H67" s="76">
        <f>(G67-F67)*E67</f>
        <v>19385.099999999511</v>
      </c>
      <c r="I67" s="77"/>
      <c r="J67" s="78"/>
    </row>
    <row r="68" spans="1:10" ht="15.75" x14ac:dyDescent="0.25">
      <c r="A68" s="27" t="s">
        <v>87</v>
      </c>
      <c r="B68" s="174" t="s">
        <v>53</v>
      </c>
      <c r="C68" s="174">
        <v>51259324</v>
      </c>
      <c r="D68" s="175" t="s">
        <v>54</v>
      </c>
      <c r="E68" s="175">
        <v>7000</v>
      </c>
      <c r="F68" s="21">
        <v>413.7131</v>
      </c>
      <c r="G68" s="21">
        <v>415.77429999999998</v>
      </c>
      <c r="H68" s="18">
        <f>(G68-F68)*E68</f>
        <v>14428.399999999896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74">
        <v>51491618</v>
      </c>
      <c r="D69" s="175" t="s">
        <v>64</v>
      </c>
      <c r="E69" s="174">
        <v>40</v>
      </c>
      <c r="F69" s="28">
        <v>1149.039</v>
      </c>
      <c r="G69" s="28">
        <v>1160.232</v>
      </c>
      <c r="H69" s="18">
        <f>(G69-F69)*E69</f>
        <v>447.71999999999935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74">
        <v>51491624</v>
      </c>
      <c r="D70" s="175" t="s">
        <v>64</v>
      </c>
      <c r="E70" s="174">
        <v>40</v>
      </c>
      <c r="F70" s="28">
        <v>164.96799999999999</v>
      </c>
      <c r="G70" s="28">
        <v>165.75049999999999</v>
      </c>
      <c r="H70" s="18">
        <f>(G70-F70)*E70</f>
        <v>31.299999999999955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33813.499999999403</v>
      </c>
      <c r="I71" s="85">
        <f>H71-H74-H69-H70</f>
        <v>-445.52000000090879</v>
      </c>
      <c r="J71" s="25">
        <f>I71/H71</f>
        <v>-1.3175802564091758E-2</v>
      </c>
    </row>
    <row r="72" spans="1:10" ht="15.75" x14ac:dyDescent="0.25">
      <c r="A72" s="27" t="s">
        <v>92</v>
      </c>
      <c r="B72" s="174" t="s">
        <v>53</v>
      </c>
      <c r="C72" s="86">
        <v>51097588</v>
      </c>
      <c r="D72" s="175" t="s">
        <v>76</v>
      </c>
      <c r="E72" s="174">
        <v>12000</v>
      </c>
      <c r="F72" s="21">
        <v>319.065</v>
      </c>
      <c r="G72" s="21">
        <v>320.6508</v>
      </c>
      <c r="H72" s="18">
        <f>(G72-F72)*E72</f>
        <v>19029.600000000071</v>
      </c>
      <c r="I72" s="51"/>
      <c r="J72" s="58"/>
    </row>
    <row r="73" spans="1:10" ht="15.75" x14ac:dyDescent="0.25">
      <c r="A73" s="27" t="s">
        <v>93</v>
      </c>
      <c r="B73" s="174" t="s">
        <v>53</v>
      </c>
      <c r="C73" s="86">
        <v>51431335</v>
      </c>
      <c r="D73" s="175" t="s">
        <v>76</v>
      </c>
      <c r="E73" s="174">
        <v>12000</v>
      </c>
      <c r="F73" s="21">
        <v>253.36109999999999</v>
      </c>
      <c r="G73" s="21">
        <v>254.59030000000001</v>
      </c>
      <c r="H73" s="18">
        <f>(G73-F73)*E73</f>
        <v>14750.400000000242</v>
      </c>
      <c r="I73" s="51"/>
      <c r="J73" s="58"/>
    </row>
    <row r="74" spans="1:10" ht="15.75" x14ac:dyDescent="0.25">
      <c r="A74" s="87" t="s">
        <v>94</v>
      </c>
      <c r="B74" s="174" t="s">
        <v>28</v>
      </c>
      <c r="C74" s="174"/>
      <c r="D74" s="175"/>
      <c r="E74" s="174"/>
      <c r="F74" s="21"/>
      <c r="G74" s="21"/>
      <c r="H74" s="48">
        <f>H72+ H73</f>
        <v>33780.000000000313</v>
      </c>
      <c r="I74" s="85">
        <f>H74-H82</f>
        <v>-71.819999999381253</v>
      </c>
      <c r="J74" s="25">
        <f>I74/H74</f>
        <v>-2.1261101243155887E-3</v>
      </c>
    </row>
    <row r="75" spans="1:10" ht="15.75" x14ac:dyDescent="0.25">
      <c r="A75" s="27" t="s">
        <v>95</v>
      </c>
      <c r="B75" s="174" t="s">
        <v>53</v>
      </c>
      <c r="C75" s="86">
        <v>51097676</v>
      </c>
      <c r="D75" s="88" t="s">
        <v>64</v>
      </c>
      <c r="E75" s="174">
        <v>2400</v>
      </c>
      <c r="F75" s="21">
        <v>666.98659999999995</v>
      </c>
      <c r="G75" s="21">
        <v>670.56769999999995</v>
      </c>
      <c r="H75" s="18">
        <f>(G75-F75)*E75</f>
        <v>8594.6399999999812</v>
      </c>
      <c r="I75" s="51"/>
      <c r="J75" s="58"/>
    </row>
    <row r="76" spans="1:10" ht="15.75" x14ac:dyDescent="0.25">
      <c r="A76" s="27" t="s">
        <v>96</v>
      </c>
      <c r="B76" s="174" t="s">
        <v>53</v>
      </c>
      <c r="C76" s="86">
        <v>51431355</v>
      </c>
      <c r="D76" s="175" t="s">
        <v>22</v>
      </c>
      <c r="E76" s="175">
        <v>3600</v>
      </c>
      <c r="F76" s="21">
        <v>352.93630000000002</v>
      </c>
      <c r="G76" s="21">
        <v>354.29289999999997</v>
      </c>
      <c r="H76" s="18">
        <f>(G76-F76)*E76</f>
        <v>4883.7599999998474</v>
      </c>
      <c r="I76" s="51"/>
      <c r="J76" s="52"/>
    </row>
    <row r="77" spans="1:10" ht="15.75" x14ac:dyDescent="0.25">
      <c r="A77" s="27" t="s">
        <v>97</v>
      </c>
      <c r="B77" s="174" t="s">
        <v>53</v>
      </c>
      <c r="C77" s="86">
        <v>51259331</v>
      </c>
      <c r="D77" s="88" t="s">
        <v>38</v>
      </c>
      <c r="E77" s="174">
        <v>600</v>
      </c>
      <c r="F77" s="21">
        <v>156.5856</v>
      </c>
      <c r="G77" s="21">
        <v>157.49690000000001</v>
      </c>
      <c r="H77" s="18">
        <f>(G77-F77)*E77</f>
        <v>546.78000000000679</v>
      </c>
      <c r="I77" s="51"/>
      <c r="J77" s="52"/>
    </row>
    <row r="78" spans="1:10" ht="15.75" x14ac:dyDescent="0.25">
      <c r="A78" s="27" t="s">
        <v>98</v>
      </c>
      <c r="B78" s="174" t="s">
        <v>53</v>
      </c>
      <c r="C78" s="86">
        <v>51259326</v>
      </c>
      <c r="D78" s="88" t="s">
        <v>15</v>
      </c>
      <c r="E78" s="174">
        <v>7200</v>
      </c>
      <c r="F78" s="21">
        <v>317.98860000000002</v>
      </c>
      <c r="G78" s="21">
        <v>319.44729999999998</v>
      </c>
      <c r="H78" s="18">
        <f>(G78-F78)*E78</f>
        <v>10502.639999999747</v>
      </c>
      <c r="I78" s="51"/>
      <c r="J78" s="52"/>
    </row>
    <row r="79" spans="1:10" ht="15.75" x14ac:dyDescent="0.25">
      <c r="A79" s="27" t="s">
        <v>99</v>
      </c>
      <c r="B79" s="174" t="s">
        <v>53</v>
      </c>
      <c r="C79" s="86">
        <v>51431351</v>
      </c>
      <c r="D79" s="88" t="s">
        <v>15</v>
      </c>
      <c r="E79" s="174">
        <v>7200</v>
      </c>
      <c r="F79" s="21">
        <v>225.99979999999999</v>
      </c>
      <c r="G79" s="21">
        <v>227.29480000000001</v>
      </c>
      <c r="H79" s="18">
        <f>(G79-F79)*E79</f>
        <v>9324.0000000001146</v>
      </c>
      <c r="I79" s="51"/>
      <c r="J79" s="52"/>
    </row>
    <row r="80" spans="1:10" ht="15.75" x14ac:dyDescent="0.25">
      <c r="A80" s="89" t="s">
        <v>100</v>
      </c>
      <c r="B80" s="174" t="s">
        <v>53</v>
      </c>
      <c r="C80" s="90">
        <v>51097666</v>
      </c>
      <c r="D80" s="88" t="s">
        <v>64</v>
      </c>
      <c r="E80" s="174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74" t="s">
        <v>53</v>
      </c>
      <c r="C81" s="90">
        <v>51259323</v>
      </c>
      <c r="D81" s="88" t="s">
        <v>64</v>
      </c>
      <c r="E81" s="174">
        <v>2400</v>
      </c>
      <c r="F81" s="31">
        <v>7.6399999999999996E-2</v>
      </c>
      <c r="G81" s="31">
        <v>7.6399999999999996E-2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33851.819999999694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74" t="s">
        <v>53</v>
      </c>
      <c r="C84" s="106">
        <v>51431297</v>
      </c>
      <c r="D84" s="175" t="s">
        <v>54</v>
      </c>
      <c r="E84" s="100">
        <v>7000</v>
      </c>
      <c r="F84" s="17">
        <v>256.79759999999999</v>
      </c>
      <c r="G84" s="17">
        <v>257.76400000000001</v>
      </c>
      <c r="H84" s="18">
        <f>(G84-F84)*E84</f>
        <v>6764.8000000001502</v>
      </c>
      <c r="I84" s="107"/>
      <c r="J84" s="108"/>
    </row>
    <row r="85" spans="1:10" ht="15.75" x14ac:dyDescent="0.25">
      <c r="A85" s="105" t="s">
        <v>87</v>
      </c>
      <c r="B85" s="174" t="s">
        <v>53</v>
      </c>
      <c r="C85" s="106">
        <v>51431332</v>
      </c>
      <c r="D85" s="175" t="s">
        <v>54</v>
      </c>
      <c r="E85" s="100">
        <v>7000</v>
      </c>
      <c r="F85" s="21">
        <v>354.42860000000002</v>
      </c>
      <c r="G85" s="21">
        <v>356.16239999999999</v>
      </c>
      <c r="H85" s="18">
        <f>(G85-F85)*E85</f>
        <v>12136.599999999817</v>
      </c>
      <c r="I85" s="174"/>
      <c r="J85" s="58"/>
    </row>
    <row r="86" spans="1:10" ht="15.75" x14ac:dyDescent="0.25">
      <c r="A86" s="27" t="s">
        <v>88</v>
      </c>
      <c r="B86" s="174" t="s">
        <v>104</v>
      </c>
      <c r="C86" s="109">
        <v>150773</v>
      </c>
      <c r="D86" s="175" t="s">
        <v>54</v>
      </c>
      <c r="E86" s="109">
        <v>20</v>
      </c>
      <c r="F86" s="17">
        <v>15597.3</v>
      </c>
      <c r="G86" s="17">
        <v>15605.2</v>
      </c>
      <c r="H86" s="18">
        <f>(G86-F86)*E86</f>
        <v>158.0000000000291</v>
      </c>
      <c r="I86" s="51"/>
      <c r="J86" s="58"/>
    </row>
    <row r="87" spans="1:10" ht="15.75" x14ac:dyDescent="0.25">
      <c r="A87" s="27" t="s">
        <v>90</v>
      </c>
      <c r="B87" s="174" t="s">
        <v>104</v>
      </c>
      <c r="C87" s="109">
        <v>150791</v>
      </c>
      <c r="D87" s="175" t="s">
        <v>54</v>
      </c>
      <c r="E87" s="109">
        <v>20</v>
      </c>
      <c r="F87" s="21">
        <v>231.7</v>
      </c>
      <c r="G87" s="21">
        <v>231.7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76"/>
      <c r="C88" s="32"/>
      <c r="D88" s="82"/>
      <c r="E88" s="82"/>
      <c r="F88" s="21"/>
      <c r="G88" s="21"/>
      <c r="H88" s="48">
        <f>H84+H85</f>
        <v>18901.399999999965</v>
      </c>
      <c r="I88" s="85">
        <f>H88-H91-H86-H87</f>
        <v>396.35999999973865</v>
      </c>
      <c r="J88" s="25">
        <f>I88/H88</f>
        <v>2.0969875247322387E-2</v>
      </c>
    </row>
    <row r="89" spans="1:10" ht="15.75" x14ac:dyDescent="0.25">
      <c r="A89" s="27" t="s">
        <v>105</v>
      </c>
      <c r="B89" s="174" t="s">
        <v>53</v>
      </c>
      <c r="C89" s="106">
        <v>51431342</v>
      </c>
      <c r="D89" s="88" t="s">
        <v>35</v>
      </c>
      <c r="E89" s="174">
        <v>4800</v>
      </c>
      <c r="F89" s="21">
        <v>364.0899</v>
      </c>
      <c r="G89" s="21">
        <v>365.46870000000001</v>
      </c>
      <c r="H89" s="18">
        <f>(G89-F89)*E89</f>
        <v>6618.2400000000598</v>
      </c>
      <c r="I89" s="51"/>
      <c r="J89" s="52"/>
    </row>
    <row r="90" spans="1:10" ht="15.75" x14ac:dyDescent="0.25">
      <c r="A90" s="27" t="s">
        <v>106</v>
      </c>
      <c r="B90" s="174" t="s">
        <v>53</v>
      </c>
      <c r="C90" s="106">
        <v>51431343</v>
      </c>
      <c r="D90" s="88" t="s">
        <v>35</v>
      </c>
      <c r="E90" s="174">
        <v>4800</v>
      </c>
      <c r="F90" s="21">
        <v>501.2611</v>
      </c>
      <c r="G90" s="21">
        <v>503.70460000000003</v>
      </c>
      <c r="H90" s="18">
        <f>(G90-F90)*E90</f>
        <v>11728.800000000138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18347.040000000197</v>
      </c>
      <c r="I91" s="85">
        <f>H91-H99</f>
        <v>-146.47999999974127</v>
      </c>
      <c r="J91" s="25">
        <f>I91/H91</f>
        <v>-7.9838491658458088E-3</v>
      </c>
    </row>
    <row r="92" spans="1:10" ht="15.75" x14ac:dyDescent="0.25">
      <c r="A92" s="27" t="s">
        <v>108</v>
      </c>
      <c r="B92" s="174" t="s">
        <v>53</v>
      </c>
      <c r="C92" s="106">
        <v>51431347</v>
      </c>
      <c r="D92" s="175" t="s">
        <v>54</v>
      </c>
      <c r="E92" s="174">
        <v>1200</v>
      </c>
      <c r="F92" s="21">
        <v>1192.6201000000001</v>
      </c>
      <c r="G92" s="21">
        <v>1201.1032</v>
      </c>
      <c r="H92" s="18">
        <f>(G92-F92)*E92</f>
        <v>10179.719999999907</v>
      </c>
      <c r="I92" s="51"/>
      <c r="J92" s="52"/>
    </row>
    <row r="93" spans="1:10" ht="15.75" x14ac:dyDescent="0.25">
      <c r="A93" s="27" t="s">
        <v>109</v>
      </c>
      <c r="B93" s="174" t="s">
        <v>53</v>
      </c>
      <c r="C93" s="106">
        <v>51431339</v>
      </c>
      <c r="D93" s="175" t="s">
        <v>54</v>
      </c>
      <c r="E93" s="174">
        <v>1200</v>
      </c>
      <c r="F93" s="21"/>
      <c r="G93" s="21"/>
      <c r="H93" s="18">
        <f t="shared" ref="H93:H100" si="4">(G93-F93)*E93</f>
        <v>0</v>
      </c>
      <c r="I93" s="51"/>
      <c r="J93" s="52"/>
    </row>
    <row r="94" spans="1:10" ht="15.75" x14ac:dyDescent="0.25">
      <c r="A94" s="27" t="s">
        <v>110</v>
      </c>
      <c r="B94" s="174" t="s">
        <v>53</v>
      </c>
      <c r="C94" s="106">
        <v>51217244</v>
      </c>
      <c r="D94" s="174" t="s">
        <v>38</v>
      </c>
      <c r="E94" s="174">
        <v>600</v>
      </c>
      <c r="F94" s="30">
        <v>321.92039999999997</v>
      </c>
      <c r="G94" s="30">
        <v>324.42259999999999</v>
      </c>
      <c r="H94" s="18">
        <f t="shared" si="4"/>
        <v>1501.3200000000097</v>
      </c>
      <c r="I94" s="51"/>
      <c r="J94" s="52"/>
    </row>
    <row r="95" spans="1:10" ht="15.75" x14ac:dyDescent="0.25">
      <c r="A95" s="27" t="s">
        <v>111</v>
      </c>
      <c r="B95" s="174" t="s">
        <v>53</v>
      </c>
      <c r="C95" s="106">
        <v>51217267</v>
      </c>
      <c r="D95" s="88" t="s">
        <v>64</v>
      </c>
      <c r="E95" s="174">
        <v>2400</v>
      </c>
      <c r="F95" s="30">
        <v>19.984100000000002</v>
      </c>
      <c r="G95" s="30">
        <v>20.015000000000001</v>
      </c>
      <c r="H95" s="18">
        <f t="shared" si="4"/>
        <v>74.159999999997694</v>
      </c>
      <c r="I95" s="51"/>
      <c r="J95" s="52"/>
    </row>
    <row r="96" spans="1:10" ht="15.75" x14ac:dyDescent="0.25">
      <c r="A96" s="27" t="s">
        <v>112</v>
      </c>
      <c r="B96" s="174" t="s">
        <v>53</v>
      </c>
      <c r="C96" s="174">
        <v>51555165</v>
      </c>
      <c r="D96" s="175" t="s">
        <v>54</v>
      </c>
      <c r="E96" s="174">
        <v>1200</v>
      </c>
      <c r="F96" s="30">
        <v>771.62789999999995</v>
      </c>
      <c r="G96" s="30">
        <v>771.62789999999995</v>
      </c>
      <c r="H96" s="18">
        <f t="shared" si="4"/>
        <v>0</v>
      </c>
      <c r="I96" s="51" t="s">
        <v>28</v>
      </c>
      <c r="J96" s="52"/>
    </row>
    <row r="97" spans="1:10" ht="15.75" x14ac:dyDescent="0.25">
      <c r="A97" s="113" t="s">
        <v>113</v>
      </c>
      <c r="B97" s="174" t="s">
        <v>53</v>
      </c>
      <c r="C97" s="106">
        <v>51431346</v>
      </c>
      <c r="D97" s="114" t="s">
        <v>38</v>
      </c>
      <c r="E97" s="114">
        <v>600</v>
      </c>
      <c r="F97" s="30">
        <v>333.27420000000001</v>
      </c>
      <c r="G97" s="30">
        <v>333.6748</v>
      </c>
      <c r="H97" s="115">
        <f t="shared" si="4"/>
        <v>240.35999999999831</v>
      </c>
      <c r="I97" s="116"/>
      <c r="J97" s="117"/>
    </row>
    <row r="98" spans="1:10" ht="15.75" x14ac:dyDescent="0.25">
      <c r="A98" s="27" t="s">
        <v>114</v>
      </c>
      <c r="B98" s="174" t="s">
        <v>53</v>
      </c>
      <c r="C98" s="106">
        <v>51431352</v>
      </c>
      <c r="D98" s="88" t="s">
        <v>22</v>
      </c>
      <c r="E98" s="174">
        <v>3600</v>
      </c>
      <c r="F98" s="21">
        <v>213.2338</v>
      </c>
      <c r="G98" s="21">
        <v>214.9949</v>
      </c>
      <c r="H98" s="18">
        <f t="shared" si="4"/>
        <v>6339.9599999999964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18493.519999999939</v>
      </c>
      <c r="I99" s="51"/>
      <c r="J99" s="52"/>
    </row>
    <row r="100" spans="1:10" ht="15.75" x14ac:dyDescent="0.25">
      <c r="A100" s="45" t="s">
        <v>115</v>
      </c>
      <c r="B100" s="174" t="s">
        <v>53</v>
      </c>
      <c r="C100" s="120">
        <v>51431357</v>
      </c>
      <c r="D100" s="175" t="s">
        <v>64</v>
      </c>
      <c r="E100" s="175">
        <v>14000</v>
      </c>
      <c r="F100" s="28">
        <v>809.072</v>
      </c>
      <c r="G100" s="28">
        <v>812.7627</v>
      </c>
      <c r="H100" s="121">
        <f t="shared" si="4"/>
        <v>51669.799999999894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C55" workbookViewId="0">
      <selection activeCell="D25" sqref="D25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135</v>
      </c>
      <c r="G3" s="4" t="s">
        <v>136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77" t="s">
        <v>14</v>
      </c>
      <c r="C5" s="177">
        <v>51555166</v>
      </c>
      <c r="D5" s="177" t="s">
        <v>15</v>
      </c>
      <c r="E5" s="177">
        <v>132000</v>
      </c>
      <c r="F5" s="17">
        <v>3.0851000000000002</v>
      </c>
      <c r="G5" s="17">
        <v>3.2075999999999998</v>
      </c>
      <c r="H5" s="18">
        <f>(G5-F5)*E5</f>
        <v>16169.999999999949</v>
      </c>
      <c r="I5" s="19"/>
      <c r="J5" s="20"/>
    </row>
    <row r="6" spans="1:10" ht="15.75" x14ac:dyDescent="0.25">
      <c r="A6" s="15" t="s">
        <v>16</v>
      </c>
      <c r="B6" s="177" t="s">
        <v>14</v>
      </c>
      <c r="C6" s="177">
        <v>51555191</v>
      </c>
      <c r="D6" s="177" t="s">
        <v>15</v>
      </c>
      <c r="E6" s="177">
        <v>132000</v>
      </c>
      <c r="F6" s="21">
        <v>354.0917</v>
      </c>
      <c r="G6" s="21">
        <v>355.99790000000002</v>
      </c>
      <c r="H6" s="18">
        <f>(G6-F6)*E6</f>
        <v>251618.40000000165</v>
      </c>
      <c r="I6" s="19"/>
      <c r="J6" s="20"/>
    </row>
    <row r="7" spans="1:10" ht="15.75" x14ac:dyDescent="0.25">
      <c r="A7" s="207" t="s">
        <v>17</v>
      </c>
      <c r="B7" s="208"/>
      <c r="C7" s="177"/>
      <c r="D7" s="178"/>
      <c r="E7" s="177"/>
      <c r="H7" s="23">
        <f>H5+H6</f>
        <v>267788.40000000159</v>
      </c>
      <c r="I7" s="24">
        <f>H7-H10-H20</f>
        <v>1240.1999999982363</v>
      </c>
      <c r="J7" s="25">
        <f>I7/H7</f>
        <v>4.6312685687588742E-3</v>
      </c>
    </row>
    <row r="8" spans="1:10" ht="15.75" x14ac:dyDescent="0.25">
      <c r="A8" s="26" t="s">
        <v>18</v>
      </c>
      <c r="B8" s="177" t="s">
        <v>14</v>
      </c>
      <c r="C8" s="177">
        <v>51097629</v>
      </c>
      <c r="D8" s="178" t="s">
        <v>15</v>
      </c>
      <c r="E8" s="177">
        <v>42000</v>
      </c>
      <c r="F8" s="21">
        <v>1064.1501000000001</v>
      </c>
      <c r="G8" s="21">
        <v>1069.0213000000001</v>
      </c>
      <c r="H8" s="18">
        <f>(G8-F8)*E8</f>
        <v>204590.40000000186</v>
      </c>
      <c r="I8" s="19"/>
      <c r="J8" s="20"/>
    </row>
    <row r="9" spans="1:10" ht="15.75" x14ac:dyDescent="0.25">
      <c r="A9" s="26" t="s">
        <v>19</v>
      </c>
      <c r="B9" s="177" t="s">
        <v>14</v>
      </c>
      <c r="C9" s="177">
        <v>51616820</v>
      </c>
      <c r="D9" s="178" t="s">
        <v>15</v>
      </c>
      <c r="E9" s="177">
        <v>42000</v>
      </c>
      <c r="F9" s="21">
        <v>5.1913</v>
      </c>
      <c r="G9" s="21">
        <v>5.2005999999999997</v>
      </c>
      <c r="H9" s="18">
        <f>(G9-F9)*E9</f>
        <v>390.59999999998496</v>
      </c>
      <c r="I9" s="19"/>
      <c r="J9" s="20"/>
    </row>
    <row r="10" spans="1:10" ht="15.75" x14ac:dyDescent="0.25">
      <c r="A10" s="207" t="s">
        <v>20</v>
      </c>
      <c r="B10" s="208"/>
      <c r="C10" s="177"/>
      <c r="D10" s="178"/>
      <c r="E10" s="177"/>
      <c r="F10" s="21"/>
      <c r="G10" s="21"/>
      <c r="H10" s="23">
        <f>H8+H9</f>
        <v>204981.00000000183</v>
      </c>
      <c r="I10" s="24">
        <f>H10-H17</f>
        <v>-100.79999999981374</v>
      </c>
      <c r="J10" s="25">
        <f>I10/H10</f>
        <v>-4.9175289416976615E-4</v>
      </c>
    </row>
    <row r="11" spans="1:10" ht="15.75" x14ac:dyDescent="0.25">
      <c r="A11" s="27" t="s">
        <v>21</v>
      </c>
      <c r="B11" s="177" t="s">
        <v>14</v>
      </c>
      <c r="C11" s="177">
        <v>51217286</v>
      </c>
      <c r="D11" s="178" t="s">
        <v>22</v>
      </c>
      <c r="E11" s="177">
        <v>21000</v>
      </c>
      <c r="F11" s="21">
        <v>841.37080000000003</v>
      </c>
      <c r="G11" s="21">
        <v>845.05420000000004</v>
      </c>
      <c r="H11" s="18">
        <f t="shared" ref="H11:H16" si="0">(G11-F11)*E11</f>
        <v>77351.400000000125</v>
      </c>
      <c r="I11" s="19"/>
      <c r="J11" s="20"/>
    </row>
    <row r="12" spans="1:10" ht="15.75" x14ac:dyDescent="0.25">
      <c r="A12" s="27" t="s">
        <v>23</v>
      </c>
      <c r="B12" s="177" t="s">
        <v>14</v>
      </c>
      <c r="C12" s="177">
        <v>51217292</v>
      </c>
      <c r="D12" s="178" t="s">
        <v>22</v>
      </c>
      <c r="E12" s="177">
        <v>21000</v>
      </c>
      <c r="F12" s="28">
        <v>3.7006999999999999</v>
      </c>
      <c r="G12" s="28">
        <v>3.7244999999999999</v>
      </c>
      <c r="H12" s="18">
        <f>(G12-F12)*E12</f>
        <v>499.80000000000092</v>
      </c>
      <c r="I12" s="19"/>
      <c r="J12" s="20"/>
    </row>
    <row r="13" spans="1:10" ht="15.75" x14ac:dyDescent="0.25">
      <c r="A13" s="27" t="s">
        <v>24</v>
      </c>
      <c r="B13" s="177" t="s">
        <v>14</v>
      </c>
      <c r="C13" s="177">
        <v>51217271</v>
      </c>
      <c r="D13" s="178" t="s">
        <v>22</v>
      </c>
      <c r="E13" s="177">
        <v>21000</v>
      </c>
      <c r="F13" s="21">
        <v>616.96079999999995</v>
      </c>
      <c r="G13" s="21">
        <v>620.08960000000002</v>
      </c>
      <c r="H13" s="18">
        <f t="shared" si="0"/>
        <v>65704.800000001458</v>
      </c>
      <c r="I13" s="19"/>
      <c r="J13" s="20"/>
    </row>
    <row r="14" spans="1:10" ht="15.75" x14ac:dyDescent="0.25">
      <c r="A14" s="27" t="s">
        <v>25</v>
      </c>
      <c r="B14" s="177" t="s">
        <v>14</v>
      </c>
      <c r="C14" s="177">
        <v>51217276</v>
      </c>
      <c r="D14" s="178" t="s">
        <v>22</v>
      </c>
      <c r="E14" s="177">
        <v>21000</v>
      </c>
      <c r="F14" s="28">
        <v>0.56130000000000002</v>
      </c>
      <c r="G14" s="28">
        <v>0.56130000000000002</v>
      </c>
      <c r="H14" s="18">
        <f>(G14-F14)*E14</f>
        <v>0</v>
      </c>
      <c r="I14" s="19"/>
      <c r="J14" s="20"/>
    </row>
    <row r="15" spans="1:10" ht="15.75" x14ac:dyDescent="0.25">
      <c r="A15" s="27" t="s">
        <v>26</v>
      </c>
      <c r="B15" s="177" t="s">
        <v>14</v>
      </c>
      <c r="C15" s="177">
        <v>51100990</v>
      </c>
      <c r="D15" s="178" t="s">
        <v>22</v>
      </c>
      <c r="E15" s="177">
        <v>21000</v>
      </c>
      <c r="F15" s="29">
        <v>675.64670000000001</v>
      </c>
      <c r="G15" s="29">
        <v>678.56380000000001</v>
      </c>
      <c r="H15" s="18">
        <f t="shared" si="0"/>
        <v>61259.1000000001</v>
      </c>
      <c r="I15" s="19"/>
      <c r="J15" s="20"/>
    </row>
    <row r="16" spans="1:10" ht="15.75" x14ac:dyDescent="0.25">
      <c r="A16" s="27" t="s">
        <v>27</v>
      </c>
      <c r="B16" s="177" t="s">
        <v>14</v>
      </c>
      <c r="C16" s="177">
        <v>51097622</v>
      </c>
      <c r="D16" s="178" t="s">
        <v>22</v>
      </c>
      <c r="E16" s="177">
        <v>21000</v>
      </c>
      <c r="F16" s="21">
        <v>2.9590000000000001</v>
      </c>
      <c r="G16" s="21">
        <v>2.9716999999999998</v>
      </c>
      <c r="H16" s="18">
        <f t="shared" si="0"/>
        <v>266.69999999999396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77"/>
      <c r="D17" s="178"/>
      <c r="E17" s="177"/>
      <c r="F17" s="21"/>
      <c r="G17" s="21"/>
      <c r="H17" s="23">
        <f>H11+H12+H13+H14+H15+H16</f>
        <v>205081.80000000165</v>
      </c>
      <c r="I17" s="19"/>
      <c r="J17" s="20"/>
    </row>
    <row r="18" spans="1:10" ht="15.75" x14ac:dyDescent="0.25">
      <c r="A18" s="26" t="s">
        <v>30</v>
      </c>
      <c r="B18" s="177" t="s">
        <v>14</v>
      </c>
      <c r="C18" s="177">
        <v>51097617</v>
      </c>
      <c r="D18" s="178" t="s">
        <v>31</v>
      </c>
      <c r="E18" s="177">
        <v>18000</v>
      </c>
      <c r="F18" s="30">
        <v>817.86289999999997</v>
      </c>
      <c r="G18" s="30">
        <v>820.39970000000005</v>
      </c>
      <c r="H18" s="18">
        <f>(G18-F18)*E18</f>
        <v>45662.400000001522</v>
      </c>
      <c r="I18" s="19"/>
      <c r="J18" s="20"/>
    </row>
    <row r="19" spans="1:10" ht="15.75" x14ac:dyDescent="0.25">
      <c r="A19" s="26" t="s">
        <v>32</v>
      </c>
      <c r="B19" s="177" t="s">
        <v>14</v>
      </c>
      <c r="C19" s="177">
        <v>51097655</v>
      </c>
      <c r="D19" s="178" t="s">
        <v>31</v>
      </c>
      <c r="E19" s="177">
        <v>18000</v>
      </c>
      <c r="F19" s="30">
        <v>7.3235000000000001</v>
      </c>
      <c r="G19" s="30">
        <v>8.2071000000000005</v>
      </c>
      <c r="H19" s="18">
        <f>(G19-F19)*E19</f>
        <v>15904.800000000007</v>
      </c>
      <c r="I19" s="19"/>
      <c r="J19" s="20"/>
    </row>
    <row r="20" spans="1:10" ht="15.75" x14ac:dyDescent="0.25">
      <c r="A20" s="207" t="s">
        <v>33</v>
      </c>
      <c r="B20" s="208"/>
      <c r="C20" s="177"/>
      <c r="D20" s="178"/>
      <c r="E20" s="177"/>
      <c r="F20" s="30"/>
      <c r="G20" s="30"/>
      <c r="H20" s="23">
        <f>H18+H19</f>
        <v>61567.200000001525</v>
      </c>
      <c r="I20" s="24">
        <f>H20-H35</f>
        <v>770.9400000024325</v>
      </c>
      <c r="J20" s="25">
        <f>I20/H20</f>
        <v>1.2521927260008794E-2</v>
      </c>
    </row>
    <row r="21" spans="1:10" ht="15.75" x14ac:dyDescent="0.25">
      <c r="A21" s="15" t="s">
        <v>34</v>
      </c>
      <c r="B21" s="177" t="s">
        <v>14</v>
      </c>
      <c r="C21" s="177">
        <v>51217282</v>
      </c>
      <c r="D21" s="178" t="s">
        <v>35</v>
      </c>
      <c r="E21" s="177">
        <v>4800</v>
      </c>
      <c r="F21" s="21">
        <v>380.053</v>
      </c>
      <c r="G21" s="21">
        <v>380.09679999999997</v>
      </c>
      <c r="H21" s="18">
        <f t="shared" ref="H21:H34" si="1">(G21-F21)*E21</f>
        <v>210.23999999988519</v>
      </c>
      <c r="I21" s="19" t="s">
        <v>28</v>
      </c>
      <c r="J21" s="20"/>
    </row>
    <row r="22" spans="1:10" ht="15.75" x14ac:dyDescent="0.25">
      <c r="A22" s="15" t="s">
        <v>36</v>
      </c>
      <c r="B22" s="177" t="s">
        <v>14</v>
      </c>
      <c r="C22" s="177">
        <v>51217274</v>
      </c>
      <c r="D22" s="178" t="s">
        <v>35</v>
      </c>
      <c r="E22" s="177">
        <v>4800</v>
      </c>
      <c r="F22" s="21">
        <v>1282.0449000000001</v>
      </c>
      <c r="G22" s="21">
        <v>1288.0319999999999</v>
      </c>
      <c r="H22" s="18">
        <f t="shared" si="1"/>
        <v>28738.079999999172</v>
      </c>
      <c r="I22" s="19"/>
      <c r="J22" s="20"/>
    </row>
    <row r="23" spans="1:10" ht="15.75" x14ac:dyDescent="0.25">
      <c r="A23" s="15" t="s">
        <v>37</v>
      </c>
      <c r="B23" s="177" t="s">
        <v>14</v>
      </c>
      <c r="C23" s="177">
        <v>51097664</v>
      </c>
      <c r="D23" s="178" t="s">
        <v>38</v>
      </c>
      <c r="E23" s="177">
        <v>600</v>
      </c>
      <c r="F23" s="21">
        <v>4.4409999999999998</v>
      </c>
      <c r="G23" s="21">
        <v>4.4409999999999998</v>
      </c>
      <c r="H23" s="18">
        <f t="shared" si="1"/>
        <v>0</v>
      </c>
      <c r="I23" s="19"/>
      <c r="J23" s="20"/>
    </row>
    <row r="24" spans="1:10" ht="15.75" x14ac:dyDescent="0.25">
      <c r="A24" s="15" t="s">
        <v>39</v>
      </c>
      <c r="B24" s="177" t="s">
        <v>14</v>
      </c>
      <c r="C24" s="177">
        <v>51097615</v>
      </c>
      <c r="D24" s="178" t="s">
        <v>38</v>
      </c>
      <c r="E24" s="177">
        <v>600</v>
      </c>
      <c r="F24" s="21">
        <v>40.843600000000002</v>
      </c>
      <c r="G24" s="21">
        <v>41.1389</v>
      </c>
      <c r="H24" s="18">
        <f t="shared" si="1"/>
        <v>177.17999999999847</v>
      </c>
      <c r="I24" s="19"/>
      <c r="J24" s="20"/>
    </row>
    <row r="25" spans="1:10" ht="15.75" x14ac:dyDescent="0.25">
      <c r="A25" s="15" t="s">
        <v>40</v>
      </c>
      <c r="B25" s="177" t="s">
        <v>14</v>
      </c>
      <c r="C25" s="177">
        <v>51217264</v>
      </c>
      <c r="D25" s="178" t="s">
        <v>38</v>
      </c>
      <c r="E25" s="177">
        <v>600</v>
      </c>
      <c r="F25" s="21">
        <v>96.138999999999996</v>
      </c>
      <c r="G25" s="21">
        <v>96.755600000000001</v>
      </c>
      <c r="H25" s="18">
        <f t="shared" si="1"/>
        <v>369.96000000000322</v>
      </c>
      <c r="I25" s="19"/>
      <c r="J25" s="20"/>
    </row>
    <row r="26" spans="1:10" ht="15.75" x14ac:dyDescent="0.25">
      <c r="A26" s="15" t="s">
        <v>41</v>
      </c>
      <c r="B26" s="177" t="s">
        <v>14</v>
      </c>
      <c r="C26" s="177">
        <v>51217288</v>
      </c>
      <c r="D26" s="178" t="s">
        <v>38</v>
      </c>
      <c r="E26" s="177">
        <v>600</v>
      </c>
      <c r="F26" s="21">
        <v>20.116399999999999</v>
      </c>
      <c r="G26" s="21">
        <v>20.147200000000002</v>
      </c>
      <c r="H26" s="18">
        <f t="shared" si="1"/>
        <v>18.480000000001695</v>
      </c>
      <c r="I26" s="19" t="s">
        <v>28</v>
      </c>
      <c r="J26" s="20"/>
    </row>
    <row r="27" spans="1:10" ht="15.75" x14ac:dyDescent="0.25">
      <c r="A27" s="15" t="s">
        <v>42</v>
      </c>
      <c r="B27" s="177" t="s">
        <v>14</v>
      </c>
      <c r="C27" s="177">
        <v>51217279</v>
      </c>
      <c r="D27" s="178" t="s">
        <v>38</v>
      </c>
      <c r="E27" s="177">
        <v>600</v>
      </c>
      <c r="F27" s="21">
        <v>14.674099999999999</v>
      </c>
      <c r="G27" s="21">
        <v>14.728300000000001</v>
      </c>
      <c r="H27" s="18">
        <f t="shared" si="1"/>
        <v>32.520000000000948</v>
      </c>
      <c r="I27" s="19" t="s">
        <v>28</v>
      </c>
      <c r="J27" s="20"/>
    </row>
    <row r="28" spans="1:10" ht="15.75" x14ac:dyDescent="0.25">
      <c r="A28" s="15" t="s">
        <v>43</v>
      </c>
      <c r="B28" s="177" t="s">
        <v>14</v>
      </c>
      <c r="C28" s="177">
        <v>51217272</v>
      </c>
      <c r="D28" s="178" t="s">
        <v>38</v>
      </c>
      <c r="E28" s="177">
        <v>600</v>
      </c>
      <c r="F28" s="31">
        <v>14.3935</v>
      </c>
      <c r="G28" s="31">
        <v>14.4465</v>
      </c>
      <c r="H28" s="18">
        <f t="shared" si="1"/>
        <v>31.800000000000495</v>
      </c>
      <c r="I28" s="19"/>
      <c r="J28" s="20"/>
    </row>
    <row r="29" spans="1:10" ht="15.75" x14ac:dyDescent="0.25">
      <c r="A29" s="15" t="s">
        <v>44</v>
      </c>
      <c r="B29" s="177" t="s">
        <v>14</v>
      </c>
      <c r="C29" s="177">
        <v>51616744</v>
      </c>
      <c r="D29" s="178">
        <f>300/5</f>
        <v>60</v>
      </c>
      <c r="E29" s="177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77" t="s">
        <v>14</v>
      </c>
      <c r="C30" s="177">
        <v>51555226</v>
      </c>
      <c r="D30" s="178">
        <f>300/5</f>
        <v>60</v>
      </c>
      <c r="E30" s="177">
        <v>3600</v>
      </c>
      <c r="F30" s="31">
        <v>471.54410000000001</v>
      </c>
      <c r="G30" s="31">
        <v>475.48630000000003</v>
      </c>
      <c r="H30" s="18">
        <f>(G30-F30)*E30</f>
        <v>14191.920000000049</v>
      </c>
      <c r="I30" s="19"/>
      <c r="J30" s="20"/>
    </row>
    <row r="31" spans="1:10" ht="15.75" x14ac:dyDescent="0.25">
      <c r="A31" s="15" t="s">
        <v>46</v>
      </c>
      <c r="B31" s="177" t="s">
        <v>14</v>
      </c>
      <c r="C31" s="177">
        <v>51097658</v>
      </c>
      <c r="D31" s="178" t="s">
        <v>35</v>
      </c>
      <c r="E31" s="177">
        <v>4800</v>
      </c>
      <c r="F31" s="31">
        <v>628.19100000000003</v>
      </c>
      <c r="G31" s="31">
        <v>631.71730000000002</v>
      </c>
      <c r="H31" s="18">
        <f t="shared" si="1"/>
        <v>16926.239999999962</v>
      </c>
      <c r="I31" s="19"/>
      <c r="J31" s="20"/>
    </row>
    <row r="32" spans="1:10" ht="15.75" x14ac:dyDescent="0.25">
      <c r="A32" s="15" t="s">
        <v>47</v>
      </c>
      <c r="B32" s="177" t="s">
        <v>14</v>
      </c>
      <c r="C32" s="177">
        <v>51097635</v>
      </c>
      <c r="D32" s="178" t="s">
        <v>35</v>
      </c>
      <c r="E32" s="177">
        <v>4800</v>
      </c>
      <c r="F32" s="31">
        <v>48.458799999999997</v>
      </c>
      <c r="G32" s="31">
        <v>48.459800000000001</v>
      </c>
      <c r="H32" s="18">
        <f t="shared" si="1"/>
        <v>4.8000000000229193</v>
      </c>
      <c r="I32" s="19"/>
      <c r="J32" s="20"/>
    </row>
    <row r="33" spans="1:10" ht="15.75" x14ac:dyDescent="0.25">
      <c r="A33" s="15" t="s">
        <v>48</v>
      </c>
      <c r="B33" s="177" t="s">
        <v>14</v>
      </c>
      <c r="C33" s="32">
        <v>51097633</v>
      </c>
      <c r="D33" s="178" t="s">
        <v>35</v>
      </c>
      <c r="E33" s="177">
        <v>4800</v>
      </c>
      <c r="F33" s="31">
        <v>161.31479999999999</v>
      </c>
      <c r="G33" s="31">
        <v>161.31479999999999</v>
      </c>
      <c r="H33" s="33">
        <f t="shared" si="1"/>
        <v>0</v>
      </c>
      <c r="I33" s="34"/>
      <c r="J33" s="35"/>
    </row>
    <row r="34" spans="1:10" ht="15.75" x14ac:dyDescent="0.25">
      <c r="A34" s="15" t="s">
        <v>49</v>
      </c>
      <c r="B34" s="177" t="s">
        <v>14</v>
      </c>
      <c r="C34" s="32">
        <v>51097662</v>
      </c>
      <c r="D34" s="178" t="s">
        <v>35</v>
      </c>
      <c r="E34" s="177">
        <v>4800</v>
      </c>
      <c r="F34" s="31">
        <v>3.2534999999999998</v>
      </c>
      <c r="G34" s="31">
        <v>3.2732999999999999</v>
      </c>
      <c r="H34" s="33">
        <f t="shared" si="1"/>
        <v>95.040000000000191</v>
      </c>
      <c r="I34" s="34"/>
      <c r="J34" s="35"/>
    </row>
    <row r="35" spans="1:10" ht="15.75" x14ac:dyDescent="0.25">
      <c r="A35" s="207" t="s">
        <v>50</v>
      </c>
      <c r="B35" s="208"/>
      <c r="C35" s="177"/>
      <c r="D35" s="178"/>
      <c r="E35" s="177"/>
      <c r="F35" s="36"/>
      <c r="G35" s="36"/>
      <c r="H35" s="23">
        <f>H21+H22+H23+H24+H25+H26+H27+H28+H29+H30+H31+H32+H33+H34</f>
        <v>60796.259999999093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77" t="s">
        <v>53</v>
      </c>
      <c r="C37" s="177">
        <v>51555209</v>
      </c>
      <c r="D37" s="178" t="s">
        <v>54</v>
      </c>
      <c r="E37" s="177">
        <v>7000</v>
      </c>
      <c r="F37" s="17">
        <v>5.4329000000000001</v>
      </c>
      <c r="G37" s="17">
        <v>5.4798999999999998</v>
      </c>
      <c r="H37" s="41">
        <f>(G37-F37)*E37</f>
        <v>328.99999999999795</v>
      </c>
      <c r="I37" s="42"/>
      <c r="J37" s="14"/>
    </row>
    <row r="38" spans="1:10" ht="15.75" x14ac:dyDescent="0.25">
      <c r="A38" s="15" t="s">
        <v>55</v>
      </c>
      <c r="B38" s="177" t="s">
        <v>53</v>
      </c>
      <c r="C38" s="177">
        <v>51555209</v>
      </c>
      <c r="D38" s="178" t="s">
        <v>54</v>
      </c>
      <c r="E38" s="177">
        <v>7000</v>
      </c>
      <c r="F38" s="21">
        <v>9.9539000000000009</v>
      </c>
      <c r="G38" s="21">
        <v>9.9984000000000002</v>
      </c>
      <c r="H38" s="18">
        <f>(G38-F38)*E38</f>
        <v>311.49999999999523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77" t="s">
        <v>53</v>
      </c>
      <c r="C40" s="177">
        <v>51097674</v>
      </c>
      <c r="D40" s="177" t="s">
        <v>15</v>
      </c>
      <c r="E40" s="177">
        <v>7200</v>
      </c>
      <c r="F40" s="21">
        <v>573.26660000000004</v>
      </c>
      <c r="G40" s="21">
        <v>575.63869999999997</v>
      </c>
      <c r="H40" s="18">
        <f>(G40-F40)*E40</f>
        <v>17079.119999999511</v>
      </c>
      <c r="I40" s="47"/>
      <c r="J40" s="20"/>
    </row>
    <row r="41" spans="1:10" ht="15.75" x14ac:dyDescent="0.25">
      <c r="A41" s="27" t="s">
        <v>58</v>
      </c>
      <c r="B41" s="177" t="s">
        <v>53</v>
      </c>
      <c r="C41" s="177">
        <v>51259257</v>
      </c>
      <c r="D41" s="177" t="s">
        <v>15</v>
      </c>
      <c r="E41" s="177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77"/>
      <c r="C42" s="177"/>
      <c r="D42" s="177"/>
      <c r="E42" s="177"/>
      <c r="F42" s="21"/>
      <c r="G42" s="21"/>
      <c r="H42" s="48">
        <f>H40+H41</f>
        <v>17079.119999999511</v>
      </c>
      <c r="I42" s="24">
        <f>H42-H50</f>
        <v>-122.24000000045999</v>
      </c>
      <c r="J42" s="25">
        <f>I42/H42</f>
        <v>-7.1572774241567176E-3</v>
      </c>
    </row>
    <row r="43" spans="1:10" ht="15.75" x14ac:dyDescent="0.25">
      <c r="A43" s="15" t="s">
        <v>60</v>
      </c>
      <c r="B43" s="177"/>
      <c r="C43" s="177"/>
      <c r="D43" s="178"/>
      <c r="E43" s="177"/>
      <c r="H43" s="18"/>
      <c r="I43" s="43"/>
      <c r="J43" s="20"/>
    </row>
    <row r="44" spans="1:10" ht="15.75" x14ac:dyDescent="0.25">
      <c r="A44" s="27" t="s">
        <v>61</v>
      </c>
      <c r="B44" s="177" t="s">
        <v>53</v>
      </c>
      <c r="C44" s="32">
        <v>51097648</v>
      </c>
      <c r="D44" s="177" t="s">
        <v>54</v>
      </c>
      <c r="E44" s="177">
        <v>1200</v>
      </c>
      <c r="F44" s="21">
        <v>469.5505</v>
      </c>
      <c r="G44" s="21">
        <v>471.42770000000002</v>
      </c>
      <c r="H44" s="33">
        <f>(G44-F44)*E44</f>
        <v>2252.6400000000194</v>
      </c>
      <c r="I44" s="43"/>
      <c r="J44" s="20"/>
    </row>
    <row r="45" spans="1:10" ht="15.75" x14ac:dyDescent="0.25">
      <c r="A45" s="27" t="s">
        <v>62</v>
      </c>
      <c r="B45" s="177" t="s">
        <v>53</v>
      </c>
      <c r="C45" s="32">
        <v>50555043</v>
      </c>
      <c r="D45" s="177" t="s">
        <v>54</v>
      </c>
      <c r="E45" s="177">
        <v>1200</v>
      </c>
      <c r="F45" s="21">
        <v>1963.8539000000001</v>
      </c>
      <c r="G45" s="21">
        <v>1971.9925000000001</v>
      </c>
      <c r="H45" s="33">
        <f>(G45-F45)*E45</f>
        <v>9766.3199999999961</v>
      </c>
      <c r="I45" s="43"/>
      <c r="J45" s="20"/>
    </row>
    <row r="46" spans="1:10" ht="15.75" x14ac:dyDescent="0.25">
      <c r="A46" s="27" t="s">
        <v>63</v>
      </c>
      <c r="B46" s="177" t="s">
        <v>53</v>
      </c>
      <c r="C46" s="32">
        <v>51259336</v>
      </c>
      <c r="D46" s="177" t="s">
        <v>64</v>
      </c>
      <c r="E46" s="177">
        <v>2400</v>
      </c>
      <c r="F46" s="21">
        <v>4.0121000000000002</v>
      </c>
      <c r="G46" s="21">
        <v>4.0256999999999996</v>
      </c>
      <c r="H46" s="33">
        <f>(G46-F46)*E46</f>
        <v>32.639999999998537</v>
      </c>
      <c r="I46" s="43"/>
      <c r="J46" s="20"/>
    </row>
    <row r="47" spans="1:10" ht="15.75" x14ac:dyDescent="0.25">
      <c r="A47" s="27" t="s">
        <v>65</v>
      </c>
      <c r="B47" s="177" t="s">
        <v>53</v>
      </c>
      <c r="C47" s="32">
        <v>51259266</v>
      </c>
      <c r="D47" s="177" t="s">
        <v>54</v>
      </c>
      <c r="E47" s="177">
        <v>1200</v>
      </c>
      <c r="F47" s="21">
        <v>953.11149999999998</v>
      </c>
      <c r="G47" s="21">
        <v>956.97349999999994</v>
      </c>
      <c r="H47" s="33">
        <f>(G47-F47)*E47</f>
        <v>4634.3999999999596</v>
      </c>
      <c r="I47" s="43"/>
      <c r="J47" s="20"/>
    </row>
    <row r="48" spans="1:10" ht="15.75" x14ac:dyDescent="0.25">
      <c r="A48" s="27" t="s">
        <v>66</v>
      </c>
      <c r="B48" s="177" t="s">
        <v>53</v>
      </c>
      <c r="C48" s="32">
        <v>51431336</v>
      </c>
      <c r="D48" s="177" t="s">
        <v>54</v>
      </c>
      <c r="E48" s="177">
        <v>1200</v>
      </c>
      <c r="F48" s="21">
        <v>54.878500000000003</v>
      </c>
      <c r="G48" s="21">
        <v>55.266300000000001</v>
      </c>
      <c r="H48" s="33">
        <f>(G48-F48)*E48</f>
        <v>465.35999999999831</v>
      </c>
      <c r="I48" s="43"/>
      <c r="J48" s="20"/>
    </row>
    <row r="49" spans="1:10" ht="15.75" x14ac:dyDescent="0.25">
      <c r="A49" s="15" t="s">
        <v>67</v>
      </c>
      <c r="B49" s="177" t="s">
        <v>68</v>
      </c>
      <c r="C49" s="177">
        <v>49174</v>
      </c>
      <c r="D49" s="178" t="s">
        <v>54</v>
      </c>
      <c r="E49" s="177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17201.359999999971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77" t="s">
        <v>53</v>
      </c>
      <c r="C52" s="177">
        <v>51097603</v>
      </c>
      <c r="D52" s="178" t="s">
        <v>54</v>
      </c>
      <c r="E52" s="177">
        <v>7000</v>
      </c>
      <c r="F52" s="17">
        <v>1881.9056</v>
      </c>
      <c r="G52" s="17">
        <v>1890.2865999999999</v>
      </c>
      <c r="H52" s="18">
        <f>(G52-F52)*E52</f>
        <v>58666.99999999901</v>
      </c>
      <c r="I52" s="43"/>
      <c r="J52" s="20"/>
    </row>
    <row r="53" spans="1:10" ht="15.75" x14ac:dyDescent="0.25">
      <c r="A53" s="27" t="s">
        <v>73</v>
      </c>
      <c r="B53" s="177" t="s">
        <v>53</v>
      </c>
      <c r="C53" s="177">
        <v>51097590</v>
      </c>
      <c r="D53" s="178" t="s">
        <v>54</v>
      </c>
      <c r="E53" s="177">
        <v>7000</v>
      </c>
      <c r="F53" s="21">
        <v>12.0936</v>
      </c>
      <c r="G53" s="21">
        <v>12.1645</v>
      </c>
      <c r="H53" s="18">
        <f>(G53-F53)*E53</f>
        <v>496.29999999999973</v>
      </c>
      <c r="I53" s="43"/>
      <c r="J53" s="20"/>
    </row>
    <row r="54" spans="1:10" ht="15.75" x14ac:dyDescent="0.25">
      <c r="A54" s="15" t="s">
        <v>67</v>
      </c>
      <c r="B54" s="177" t="s">
        <v>68</v>
      </c>
      <c r="C54" s="177">
        <v>49174</v>
      </c>
      <c r="D54" s="178" t="s">
        <v>54</v>
      </c>
      <c r="E54" s="177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77"/>
      <c r="D55" s="178"/>
      <c r="E55" s="177"/>
      <c r="F55" s="21"/>
      <c r="G55" s="21"/>
      <c r="H55" s="48">
        <f>H52+H53+H54</f>
        <v>59263.299999999013</v>
      </c>
      <c r="I55" s="47"/>
      <c r="J55" s="59"/>
    </row>
    <row r="56" spans="1:10" ht="15.75" x14ac:dyDescent="0.25">
      <c r="A56" s="27" t="s">
        <v>75</v>
      </c>
      <c r="B56" s="177" t="s">
        <v>53</v>
      </c>
      <c r="C56" s="177">
        <v>51100980</v>
      </c>
      <c r="D56" s="177" t="s">
        <v>76</v>
      </c>
      <c r="E56" s="177">
        <v>12000</v>
      </c>
      <c r="F56" s="21">
        <v>1107.2485999999999</v>
      </c>
      <c r="G56" s="21">
        <v>1112.1856</v>
      </c>
      <c r="H56" s="18">
        <f>(G56-F56)*E56</f>
        <v>59244.000000001506</v>
      </c>
      <c r="I56" s="47"/>
      <c r="J56" s="58"/>
    </row>
    <row r="57" spans="1:10" ht="15.75" x14ac:dyDescent="0.25">
      <c r="A57" s="27" t="s">
        <v>77</v>
      </c>
      <c r="B57" s="177" t="s">
        <v>53</v>
      </c>
      <c r="C57" s="177">
        <v>51097623</v>
      </c>
      <c r="D57" s="177" t="s">
        <v>76</v>
      </c>
      <c r="E57" s="177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77"/>
      <c r="C58" s="177"/>
      <c r="D58" s="177"/>
      <c r="E58" s="177"/>
      <c r="F58" s="21"/>
      <c r="G58" s="21"/>
      <c r="H58" s="48">
        <f>H56+H57</f>
        <v>59244.000000001506</v>
      </c>
      <c r="I58" s="61">
        <f>H55-H65-H54</f>
        <v>-222.30000000077416</v>
      </c>
      <c r="J58" s="25">
        <f>I58/H58</f>
        <v>-3.7522787117812524E-3</v>
      </c>
    </row>
    <row r="59" spans="1:10" ht="15.75" x14ac:dyDescent="0.25">
      <c r="A59" s="27" t="s">
        <v>79</v>
      </c>
      <c r="B59" s="177" t="s">
        <v>53</v>
      </c>
      <c r="C59" s="177">
        <v>51097675</v>
      </c>
      <c r="D59" s="177" t="s">
        <v>35</v>
      </c>
      <c r="E59" s="177">
        <v>4800</v>
      </c>
      <c r="F59" s="21">
        <v>485.43299999999999</v>
      </c>
      <c r="G59" s="21">
        <v>488.27429999999998</v>
      </c>
      <c r="H59" s="18">
        <f t="shared" ref="H59:H64" si="2">(G59-F59)*E59</f>
        <v>13638.239999999951</v>
      </c>
      <c r="I59" s="62"/>
      <c r="J59" s="59"/>
    </row>
    <row r="60" spans="1:10" ht="15.75" x14ac:dyDescent="0.25">
      <c r="A60" s="27" t="s">
        <v>80</v>
      </c>
      <c r="B60" s="177" t="s">
        <v>53</v>
      </c>
      <c r="C60" s="177">
        <v>51100997</v>
      </c>
      <c r="D60" s="177" t="s">
        <v>22</v>
      </c>
      <c r="E60" s="177">
        <v>3600</v>
      </c>
      <c r="F60" s="21">
        <v>1348.0229999999999</v>
      </c>
      <c r="G60" s="21">
        <v>1354.1452999999999</v>
      </c>
      <c r="H60" s="18">
        <f t="shared" si="2"/>
        <v>22040.279999999984</v>
      </c>
      <c r="I60" s="62"/>
      <c r="J60" s="59"/>
    </row>
    <row r="61" spans="1:10" ht="15.75" x14ac:dyDescent="0.25">
      <c r="A61" s="27" t="s">
        <v>81</v>
      </c>
      <c r="B61" s="177" t="s">
        <v>53</v>
      </c>
      <c r="C61" s="177">
        <v>51555218</v>
      </c>
      <c r="D61" s="177">
        <f>400/5</f>
        <v>80</v>
      </c>
      <c r="E61" s="177">
        <v>4800</v>
      </c>
      <c r="F61" s="21">
        <v>60.138500000000001</v>
      </c>
      <c r="G61" s="21">
        <v>60.6325</v>
      </c>
      <c r="H61" s="18">
        <f t="shared" si="2"/>
        <v>2371.1999999999989</v>
      </c>
      <c r="I61" s="62"/>
      <c r="J61" s="59"/>
    </row>
    <row r="62" spans="1:10" ht="15.75" x14ac:dyDescent="0.25">
      <c r="A62" s="27" t="s">
        <v>82</v>
      </c>
      <c r="B62" s="177" t="s">
        <v>53</v>
      </c>
      <c r="C62" s="177">
        <v>51555151</v>
      </c>
      <c r="D62" s="177">
        <f>400/5</f>
        <v>80</v>
      </c>
      <c r="E62" s="177">
        <v>4800</v>
      </c>
      <c r="F62" s="63">
        <v>0.30690000000000001</v>
      </c>
      <c r="G62" s="63">
        <v>0.30690000000000001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77" t="s">
        <v>53</v>
      </c>
      <c r="C63" s="177">
        <v>51097599</v>
      </c>
      <c r="D63" s="177" t="s">
        <v>22</v>
      </c>
      <c r="E63" s="177">
        <v>3600</v>
      </c>
      <c r="F63" s="21">
        <v>945.11310000000003</v>
      </c>
      <c r="G63" s="21">
        <v>947.47879999999998</v>
      </c>
      <c r="H63" s="18">
        <f t="shared" si="2"/>
        <v>8516.5199999998094</v>
      </c>
      <c r="I63" s="62"/>
      <c r="J63" s="59"/>
    </row>
    <row r="64" spans="1:10" ht="15.75" x14ac:dyDescent="0.25">
      <c r="A64" s="27" t="s">
        <v>84</v>
      </c>
      <c r="B64" s="177" t="s">
        <v>53</v>
      </c>
      <c r="C64" s="177">
        <v>51097620</v>
      </c>
      <c r="D64" s="177" t="s">
        <v>35</v>
      </c>
      <c r="E64" s="177">
        <v>4800</v>
      </c>
      <c r="F64" s="21">
        <v>492.07589999999999</v>
      </c>
      <c r="G64" s="21">
        <v>494.7466</v>
      </c>
      <c r="H64" s="18">
        <f t="shared" si="2"/>
        <v>12819.360000000052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59385.599999999788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77" t="s">
        <v>53</v>
      </c>
      <c r="C67" s="9">
        <v>51259238</v>
      </c>
      <c r="D67" s="74" t="s">
        <v>54</v>
      </c>
      <c r="E67" s="74">
        <v>7000</v>
      </c>
      <c r="F67" s="75">
        <v>533.80259999999998</v>
      </c>
      <c r="G67" s="75">
        <v>536.44309999999996</v>
      </c>
      <c r="H67" s="76">
        <f>(G67-F67)*E67</f>
        <v>18483.499999999822</v>
      </c>
      <c r="I67" s="77"/>
      <c r="J67" s="78"/>
    </row>
    <row r="68" spans="1:10" ht="15.75" x14ac:dyDescent="0.25">
      <c r="A68" s="27" t="s">
        <v>87</v>
      </c>
      <c r="B68" s="177" t="s">
        <v>53</v>
      </c>
      <c r="C68" s="177">
        <v>51259324</v>
      </c>
      <c r="D68" s="178" t="s">
        <v>54</v>
      </c>
      <c r="E68" s="178">
        <v>7000</v>
      </c>
      <c r="F68" s="21">
        <v>415.77429999999998</v>
      </c>
      <c r="G68" s="21">
        <v>417.92610000000002</v>
      </c>
      <c r="H68" s="18">
        <f>(G68-F68)*E68</f>
        <v>15062.600000000259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77">
        <v>51491618</v>
      </c>
      <c r="D69" s="178" t="s">
        <v>64</v>
      </c>
      <c r="E69" s="177">
        <v>40</v>
      </c>
      <c r="F69" s="28">
        <v>1160.232</v>
      </c>
      <c r="G69" s="28">
        <v>1171.2845</v>
      </c>
      <c r="H69" s="18">
        <f>(G69-F69)*E69</f>
        <v>442.10000000000036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77">
        <v>51491624</v>
      </c>
      <c r="D70" s="178" t="s">
        <v>64</v>
      </c>
      <c r="E70" s="177">
        <v>40</v>
      </c>
      <c r="F70" s="28">
        <v>165.75049999999999</v>
      </c>
      <c r="G70" s="28">
        <v>166.57749999999999</v>
      </c>
      <c r="H70" s="18">
        <f>(G70-F70)*E70</f>
        <v>33.079999999999927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33546.100000000079</v>
      </c>
      <c r="I71" s="85">
        <f>H71-H74-H69-H70</f>
        <v>-59.879999999488064</v>
      </c>
      <c r="J71" s="25">
        <f>I71/H71</f>
        <v>-1.7850063047414729E-3</v>
      </c>
    </row>
    <row r="72" spans="1:10" ht="15.75" x14ac:dyDescent="0.25">
      <c r="A72" s="27" t="s">
        <v>92</v>
      </c>
      <c r="B72" s="177" t="s">
        <v>53</v>
      </c>
      <c r="C72" s="86">
        <v>51097588</v>
      </c>
      <c r="D72" s="178" t="s">
        <v>76</v>
      </c>
      <c r="E72" s="177">
        <v>12000</v>
      </c>
      <c r="F72" s="21">
        <v>320.6508</v>
      </c>
      <c r="G72" s="21">
        <v>322.17059999999998</v>
      </c>
      <c r="H72" s="18">
        <f>(G72-F72)*E72</f>
        <v>18237.5999999997</v>
      </c>
      <c r="I72" s="51"/>
      <c r="J72" s="58"/>
    </row>
    <row r="73" spans="1:10" ht="15.75" x14ac:dyDescent="0.25">
      <c r="A73" s="27" t="s">
        <v>93</v>
      </c>
      <c r="B73" s="177" t="s">
        <v>53</v>
      </c>
      <c r="C73" s="86">
        <v>51431335</v>
      </c>
      <c r="D73" s="178" t="s">
        <v>76</v>
      </c>
      <c r="E73" s="177">
        <v>12000</v>
      </c>
      <c r="F73" s="21">
        <v>254.59030000000001</v>
      </c>
      <c r="G73" s="21">
        <v>255.8314</v>
      </c>
      <c r="H73" s="18">
        <f>(G73-F73)*E73</f>
        <v>14893.199999999866</v>
      </c>
      <c r="I73" s="51"/>
      <c r="J73" s="58"/>
    </row>
    <row r="74" spans="1:10" ht="15.75" x14ac:dyDescent="0.25">
      <c r="A74" s="87" t="s">
        <v>94</v>
      </c>
      <c r="B74" s="177" t="s">
        <v>28</v>
      </c>
      <c r="C74" s="177"/>
      <c r="D74" s="178"/>
      <c r="E74" s="177"/>
      <c r="F74" s="21"/>
      <c r="G74" s="21"/>
      <c r="H74" s="48">
        <f>H72+ H73</f>
        <v>33130.799999999566</v>
      </c>
      <c r="I74" s="85">
        <f>H74-H82</f>
        <v>-63.780000000871951</v>
      </c>
      <c r="J74" s="25">
        <f>I74/H74</f>
        <v>-1.9250968887220589E-3</v>
      </c>
    </row>
    <row r="75" spans="1:10" ht="15.75" x14ac:dyDescent="0.25">
      <c r="A75" s="27" t="s">
        <v>95</v>
      </c>
      <c r="B75" s="177" t="s">
        <v>53</v>
      </c>
      <c r="C75" s="86">
        <v>51097676</v>
      </c>
      <c r="D75" s="88" t="s">
        <v>64</v>
      </c>
      <c r="E75" s="177">
        <v>2400</v>
      </c>
      <c r="F75" s="21">
        <v>670.56769999999995</v>
      </c>
      <c r="G75" s="21">
        <v>673.9008</v>
      </c>
      <c r="H75" s="18">
        <f>(G75-F75)*E75</f>
        <v>7999.4400000001406</v>
      </c>
      <c r="I75" s="51"/>
      <c r="J75" s="58"/>
    </row>
    <row r="76" spans="1:10" ht="15.75" x14ac:dyDescent="0.25">
      <c r="A76" s="27" t="s">
        <v>96</v>
      </c>
      <c r="B76" s="177" t="s">
        <v>53</v>
      </c>
      <c r="C76" s="86">
        <v>51431355</v>
      </c>
      <c r="D76" s="178" t="s">
        <v>22</v>
      </c>
      <c r="E76" s="178">
        <v>3600</v>
      </c>
      <c r="F76" s="21">
        <v>354.29289999999997</v>
      </c>
      <c r="G76" s="21">
        <v>355.71820000000002</v>
      </c>
      <c r="H76" s="18">
        <f>(G76-F76)*E76</f>
        <v>5131.0800000001791</v>
      </c>
      <c r="I76" s="51"/>
      <c r="J76" s="52"/>
    </row>
    <row r="77" spans="1:10" ht="15.75" x14ac:dyDescent="0.25">
      <c r="A77" s="27" t="s">
        <v>97</v>
      </c>
      <c r="B77" s="177" t="s">
        <v>53</v>
      </c>
      <c r="C77" s="86">
        <v>51259331</v>
      </c>
      <c r="D77" s="88" t="s">
        <v>38</v>
      </c>
      <c r="E77" s="177">
        <v>600</v>
      </c>
      <c r="F77" s="21">
        <v>157.49690000000001</v>
      </c>
      <c r="G77" s="21">
        <v>158.35220000000001</v>
      </c>
      <c r="H77" s="18">
        <f>(G77-F77)*E77</f>
        <v>513.17999999999984</v>
      </c>
      <c r="I77" s="51"/>
      <c r="J77" s="52"/>
    </row>
    <row r="78" spans="1:10" ht="15.75" x14ac:dyDescent="0.25">
      <c r="A78" s="27" t="s">
        <v>98</v>
      </c>
      <c r="B78" s="177" t="s">
        <v>53</v>
      </c>
      <c r="C78" s="86">
        <v>51259326</v>
      </c>
      <c r="D78" s="88" t="s">
        <v>15</v>
      </c>
      <c r="E78" s="177">
        <v>7200</v>
      </c>
      <c r="F78" s="21">
        <v>319.44729999999998</v>
      </c>
      <c r="G78" s="21">
        <v>320.8775</v>
      </c>
      <c r="H78" s="18">
        <f>(G78-F78)*E78</f>
        <v>10297.440000000097</v>
      </c>
      <c r="I78" s="51"/>
      <c r="J78" s="52"/>
    </row>
    <row r="79" spans="1:10" ht="15.75" x14ac:dyDescent="0.25">
      <c r="A79" s="27" t="s">
        <v>99</v>
      </c>
      <c r="B79" s="177" t="s">
        <v>53</v>
      </c>
      <c r="C79" s="86">
        <v>51431351</v>
      </c>
      <c r="D79" s="88" t="s">
        <v>15</v>
      </c>
      <c r="E79" s="177">
        <v>7200</v>
      </c>
      <c r="F79" s="21">
        <v>227.29480000000001</v>
      </c>
      <c r="G79" s="21">
        <v>228.58</v>
      </c>
      <c r="H79" s="18">
        <f>(G79-F79)*E79</f>
        <v>9253.4400000000242</v>
      </c>
      <c r="I79" s="51"/>
      <c r="J79" s="52"/>
    </row>
    <row r="80" spans="1:10" ht="15.75" x14ac:dyDescent="0.25">
      <c r="A80" s="89" t="s">
        <v>100</v>
      </c>
      <c r="B80" s="177" t="s">
        <v>53</v>
      </c>
      <c r="C80" s="90">
        <v>51097666</v>
      </c>
      <c r="D80" s="88" t="s">
        <v>64</v>
      </c>
      <c r="E80" s="177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77" t="s">
        <v>53</v>
      </c>
      <c r="C81" s="90">
        <v>51259323</v>
      </c>
      <c r="D81" s="88" t="s">
        <v>64</v>
      </c>
      <c r="E81" s="177">
        <v>2400</v>
      </c>
      <c r="F81" s="31">
        <v>7.6399999999999996E-2</v>
      </c>
      <c r="G81" s="31">
        <v>7.6399999999999996E-2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33194.580000000438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77" t="s">
        <v>53</v>
      </c>
      <c r="C84" s="106">
        <v>51431297</v>
      </c>
      <c r="D84" s="178" t="s">
        <v>54</v>
      </c>
      <c r="E84" s="100">
        <v>7000</v>
      </c>
      <c r="F84" s="17">
        <v>257.76400000000001</v>
      </c>
      <c r="G84" s="17">
        <v>260.11439999999999</v>
      </c>
      <c r="H84" s="18">
        <f>(G84-F84)*E84</f>
        <v>16452.799999999854</v>
      </c>
      <c r="I84" s="107"/>
      <c r="J84" s="108"/>
    </row>
    <row r="85" spans="1:10" ht="15.75" x14ac:dyDescent="0.25">
      <c r="A85" s="105" t="s">
        <v>87</v>
      </c>
      <c r="B85" s="177" t="s">
        <v>53</v>
      </c>
      <c r="C85" s="106">
        <v>51431332</v>
      </c>
      <c r="D85" s="178" t="s">
        <v>54</v>
      </c>
      <c r="E85" s="100">
        <v>7000</v>
      </c>
      <c r="F85" s="21">
        <v>356.16239999999999</v>
      </c>
      <c r="G85" s="21">
        <v>356.4984</v>
      </c>
      <c r="H85" s="18">
        <f>(G85-F85)*E85</f>
        <v>2352.0000000000891</v>
      </c>
      <c r="I85" s="177"/>
      <c r="J85" s="58"/>
    </row>
    <row r="86" spans="1:10" ht="15.75" x14ac:dyDescent="0.25">
      <c r="A86" s="27" t="s">
        <v>88</v>
      </c>
      <c r="B86" s="177" t="s">
        <v>104</v>
      </c>
      <c r="C86" s="109">
        <v>150773</v>
      </c>
      <c r="D86" s="178" t="s">
        <v>54</v>
      </c>
      <c r="E86" s="109">
        <v>20</v>
      </c>
      <c r="F86" s="17">
        <v>15605.2</v>
      </c>
      <c r="G86" s="17">
        <v>15613</v>
      </c>
      <c r="H86" s="18">
        <f>(G86-F86)*E86</f>
        <v>155.99999999998545</v>
      </c>
      <c r="I86" s="51"/>
      <c r="J86" s="58"/>
    </row>
    <row r="87" spans="1:10" ht="15.75" x14ac:dyDescent="0.25">
      <c r="A87" s="27" t="s">
        <v>90</v>
      </c>
      <c r="B87" s="177" t="s">
        <v>104</v>
      </c>
      <c r="C87" s="109">
        <v>150791</v>
      </c>
      <c r="D87" s="178" t="s">
        <v>54</v>
      </c>
      <c r="E87" s="109">
        <v>20</v>
      </c>
      <c r="F87" s="21">
        <v>231.7</v>
      </c>
      <c r="G87" s="21">
        <v>231.7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79"/>
      <c r="C88" s="32"/>
      <c r="D88" s="82"/>
      <c r="E88" s="82"/>
      <c r="F88" s="21"/>
      <c r="G88" s="21"/>
      <c r="H88" s="48">
        <f>H84+H85</f>
        <v>18804.799999999945</v>
      </c>
      <c r="I88" s="85">
        <f>H88-H91-H86-H87</f>
        <v>376.64000000033775</v>
      </c>
      <c r="J88" s="25">
        <f>I88/H88</f>
        <v>2.002892878415824E-2</v>
      </c>
    </row>
    <row r="89" spans="1:10" ht="15.75" x14ac:dyDescent="0.25">
      <c r="A89" s="27" t="s">
        <v>105</v>
      </c>
      <c r="B89" s="177" t="s">
        <v>53</v>
      </c>
      <c r="C89" s="106">
        <v>51431342</v>
      </c>
      <c r="D89" s="88" t="s">
        <v>35</v>
      </c>
      <c r="E89" s="177">
        <v>4800</v>
      </c>
      <c r="F89" s="21">
        <v>365.46870000000001</v>
      </c>
      <c r="G89" s="21">
        <v>368.85809999999998</v>
      </c>
      <c r="H89" s="18">
        <f>(G89-F89)*E89</f>
        <v>16269.119999999839</v>
      </c>
      <c r="I89" s="51"/>
      <c r="J89" s="52"/>
    </row>
    <row r="90" spans="1:10" ht="15.75" x14ac:dyDescent="0.25">
      <c r="A90" s="27" t="s">
        <v>106</v>
      </c>
      <c r="B90" s="177" t="s">
        <v>53</v>
      </c>
      <c r="C90" s="106">
        <v>51431343</v>
      </c>
      <c r="D90" s="88" t="s">
        <v>35</v>
      </c>
      <c r="E90" s="177">
        <v>4800</v>
      </c>
      <c r="F90" s="21">
        <v>503.70460000000003</v>
      </c>
      <c r="G90" s="21">
        <v>504.12189999999998</v>
      </c>
      <c r="H90" s="18">
        <f>(G90-F90)*E90</f>
        <v>2003.0399999997826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18272.159999999622</v>
      </c>
      <c r="I91" s="85">
        <f>H91-H99</f>
        <v>-108.72000000051412</v>
      </c>
      <c r="J91" s="25">
        <f>I91/H91</f>
        <v>-5.9500354638157924E-3</v>
      </c>
    </row>
    <row r="92" spans="1:10" ht="15.75" x14ac:dyDescent="0.25">
      <c r="A92" s="27" t="s">
        <v>108</v>
      </c>
      <c r="B92" s="177" t="s">
        <v>53</v>
      </c>
      <c r="C92" s="106">
        <v>51431347</v>
      </c>
      <c r="D92" s="178" t="s">
        <v>54</v>
      </c>
      <c r="E92" s="177">
        <v>1200</v>
      </c>
      <c r="F92" s="21">
        <v>1201.1032</v>
      </c>
      <c r="G92" s="21">
        <v>1202.1474000000001</v>
      </c>
      <c r="H92" s="18">
        <f>(G92-F92)*E92</f>
        <v>1253.0400000000554</v>
      </c>
      <c r="I92" s="51"/>
      <c r="J92" s="52"/>
    </row>
    <row r="93" spans="1:10" ht="15.75" x14ac:dyDescent="0.25">
      <c r="A93" s="27" t="s">
        <v>109</v>
      </c>
      <c r="B93" s="177" t="s">
        <v>53</v>
      </c>
      <c r="C93" s="106">
        <v>51431339</v>
      </c>
      <c r="D93" s="178" t="s">
        <v>54</v>
      </c>
      <c r="E93" s="177">
        <v>1200</v>
      </c>
      <c r="F93" s="21"/>
      <c r="G93" s="21"/>
      <c r="H93" s="18">
        <f t="shared" ref="H93:H100" si="4">(G93-F93)*E93</f>
        <v>0</v>
      </c>
      <c r="I93" s="51"/>
      <c r="J93" s="52"/>
    </row>
    <row r="94" spans="1:10" ht="15.75" x14ac:dyDescent="0.25">
      <c r="A94" s="27" t="s">
        <v>110</v>
      </c>
      <c r="B94" s="177" t="s">
        <v>53</v>
      </c>
      <c r="C94" s="106">
        <v>51217244</v>
      </c>
      <c r="D94" s="177" t="s">
        <v>38</v>
      </c>
      <c r="E94" s="177">
        <v>600</v>
      </c>
      <c r="F94" s="30">
        <v>324.42259999999999</v>
      </c>
      <c r="G94" s="30">
        <v>325.55509999999998</v>
      </c>
      <c r="H94" s="18">
        <f t="shared" si="4"/>
        <v>679.49999999999591</v>
      </c>
      <c r="I94" s="51"/>
      <c r="J94" s="52"/>
    </row>
    <row r="95" spans="1:10" ht="15.75" x14ac:dyDescent="0.25">
      <c r="A95" s="27" t="s">
        <v>111</v>
      </c>
      <c r="B95" s="177" t="s">
        <v>53</v>
      </c>
      <c r="C95" s="106">
        <v>51217267</v>
      </c>
      <c r="D95" s="88" t="s">
        <v>64</v>
      </c>
      <c r="E95" s="177">
        <v>2400</v>
      </c>
      <c r="F95" s="30">
        <v>20.015000000000001</v>
      </c>
      <c r="G95" s="30">
        <v>20.046900000000001</v>
      </c>
      <c r="H95" s="18">
        <f t="shared" si="4"/>
        <v>76.560000000000628</v>
      </c>
      <c r="I95" s="51"/>
      <c r="J95" s="52"/>
    </row>
    <row r="96" spans="1:10" ht="15.75" x14ac:dyDescent="0.25">
      <c r="A96" s="27" t="s">
        <v>112</v>
      </c>
      <c r="B96" s="177" t="s">
        <v>53</v>
      </c>
      <c r="C96" s="177">
        <v>51555165</v>
      </c>
      <c r="D96" s="178" t="s">
        <v>54</v>
      </c>
      <c r="E96" s="177">
        <v>1200</v>
      </c>
      <c r="F96" s="30">
        <v>771.62789999999995</v>
      </c>
      <c r="G96" s="30">
        <v>779.18110000000001</v>
      </c>
      <c r="H96" s="18">
        <f t="shared" si="4"/>
        <v>9063.8400000000729</v>
      </c>
      <c r="I96" s="51" t="s">
        <v>28</v>
      </c>
      <c r="J96" s="52"/>
    </row>
    <row r="97" spans="1:10" ht="15.75" x14ac:dyDescent="0.25">
      <c r="A97" s="113" t="s">
        <v>113</v>
      </c>
      <c r="B97" s="177" t="s">
        <v>53</v>
      </c>
      <c r="C97" s="106">
        <v>51431346</v>
      </c>
      <c r="D97" s="114" t="s">
        <v>38</v>
      </c>
      <c r="E97" s="114">
        <v>600</v>
      </c>
      <c r="F97" s="30">
        <v>333.6748</v>
      </c>
      <c r="G97" s="30">
        <v>335.52969999999999</v>
      </c>
      <c r="H97" s="115">
        <f t="shared" si="4"/>
        <v>1112.9399999999919</v>
      </c>
      <c r="I97" s="116"/>
      <c r="J97" s="117"/>
    </row>
    <row r="98" spans="1:10" ht="15.75" x14ac:dyDescent="0.25">
      <c r="A98" s="27" t="s">
        <v>114</v>
      </c>
      <c r="B98" s="177" t="s">
        <v>53</v>
      </c>
      <c r="C98" s="106">
        <v>51431352</v>
      </c>
      <c r="D98" s="88" t="s">
        <v>22</v>
      </c>
      <c r="E98" s="177">
        <v>3600</v>
      </c>
      <c r="F98" s="21">
        <v>214.9949</v>
      </c>
      <c r="G98" s="21">
        <v>216.67240000000001</v>
      </c>
      <c r="H98" s="18">
        <f t="shared" si="4"/>
        <v>6039.0000000000327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18380.880000000136</v>
      </c>
      <c r="I99" s="51"/>
      <c r="J99" s="52"/>
    </row>
    <row r="100" spans="1:10" ht="15.75" x14ac:dyDescent="0.25">
      <c r="A100" s="45" t="s">
        <v>115</v>
      </c>
      <c r="B100" s="177" t="s">
        <v>53</v>
      </c>
      <c r="C100" s="120">
        <v>51431357</v>
      </c>
      <c r="D100" s="178" t="s">
        <v>64</v>
      </c>
      <c r="E100" s="178">
        <v>14000</v>
      </c>
      <c r="F100" s="28">
        <v>812.7627</v>
      </c>
      <c r="G100" s="28">
        <v>815.66070000000002</v>
      </c>
      <c r="H100" s="121">
        <f t="shared" si="4"/>
        <v>40572.000000000342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E4" workbookViewId="0">
      <selection activeCell="G25" sqref="G25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136</v>
      </c>
      <c r="G3" s="4" t="s">
        <v>137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80" t="s">
        <v>14</v>
      </c>
      <c r="C5" s="180">
        <v>51555166</v>
      </c>
      <c r="D5" s="180" t="s">
        <v>15</v>
      </c>
      <c r="E5" s="180">
        <v>132000</v>
      </c>
      <c r="F5" s="17">
        <v>3.2075999999999998</v>
      </c>
      <c r="G5" s="17">
        <v>3.2498</v>
      </c>
      <c r="H5" s="18">
        <f>(G5-F5)*E5</f>
        <v>5570.4000000000315</v>
      </c>
      <c r="I5" s="19"/>
      <c r="J5" s="20"/>
    </row>
    <row r="6" spans="1:10" ht="15.75" x14ac:dyDescent="0.25">
      <c r="A6" s="15" t="s">
        <v>16</v>
      </c>
      <c r="B6" s="180" t="s">
        <v>14</v>
      </c>
      <c r="C6" s="180">
        <v>51555191</v>
      </c>
      <c r="D6" s="180" t="s">
        <v>15</v>
      </c>
      <c r="E6" s="180">
        <v>132000</v>
      </c>
      <c r="F6" s="21">
        <v>355.99790000000002</v>
      </c>
      <c r="G6" s="21">
        <v>358.00659999999999</v>
      </c>
      <c r="H6" s="18">
        <f>(G6-F6)*E6</f>
        <v>265148.39999999688</v>
      </c>
      <c r="I6" s="19"/>
      <c r="J6" s="20"/>
    </row>
    <row r="7" spans="1:10" ht="15.75" x14ac:dyDescent="0.25">
      <c r="A7" s="207" t="s">
        <v>17</v>
      </c>
      <c r="B7" s="208"/>
      <c r="C7" s="180"/>
      <c r="D7" s="181"/>
      <c r="E7" s="180"/>
      <c r="H7" s="23">
        <f>H5+H6</f>
        <v>270718.7999999969</v>
      </c>
      <c r="I7" s="24">
        <f>H7-H10-H20</f>
        <v>898.20000000604341</v>
      </c>
      <c r="J7" s="25">
        <f>I7/H7</f>
        <v>3.3178338556688848E-3</v>
      </c>
    </row>
    <row r="8" spans="1:10" ht="15.75" x14ac:dyDescent="0.25">
      <c r="A8" s="26" t="s">
        <v>18</v>
      </c>
      <c r="B8" s="180" t="s">
        <v>14</v>
      </c>
      <c r="C8" s="180">
        <v>51097629</v>
      </c>
      <c r="D8" s="181" t="s">
        <v>15</v>
      </c>
      <c r="E8" s="180">
        <v>42000</v>
      </c>
      <c r="F8" s="21">
        <v>1069.0213000000001</v>
      </c>
      <c r="G8" s="21">
        <v>1073.7883999999999</v>
      </c>
      <c r="H8" s="18">
        <f>(G8-F8)*E8</f>
        <v>200218.1999999916</v>
      </c>
      <c r="I8" s="19"/>
      <c r="J8" s="20"/>
    </row>
    <row r="9" spans="1:10" ht="15.75" x14ac:dyDescent="0.25">
      <c r="A9" s="26" t="s">
        <v>19</v>
      </c>
      <c r="B9" s="180" t="s">
        <v>14</v>
      </c>
      <c r="C9" s="180">
        <v>51616820</v>
      </c>
      <c r="D9" s="181" t="s">
        <v>15</v>
      </c>
      <c r="E9" s="180">
        <v>42000</v>
      </c>
      <c r="F9" s="21">
        <v>5.2005999999999997</v>
      </c>
      <c r="G9" s="21">
        <v>5.3455000000000004</v>
      </c>
      <c r="H9" s="18">
        <f>(G9-F9)*E9</f>
        <v>6085.8000000000293</v>
      </c>
      <c r="I9" s="19"/>
      <c r="J9" s="20"/>
    </row>
    <row r="10" spans="1:10" ht="15.75" x14ac:dyDescent="0.25">
      <c r="A10" s="207" t="s">
        <v>20</v>
      </c>
      <c r="B10" s="208"/>
      <c r="C10" s="180"/>
      <c r="D10" s="181"/>
      <c r="E10" s="180"/>
      <c r="F10" s="21"/>
      <c r="G10" s="21"/>
      <c r="H10" s="23">
        <f>H8+H9</f>
        <v>206303.99999999162</v>
      </c>
      <c r="I10" s="24">
        <f>H10-H17</f>
        <v>-140.70000000597793</v>
      </c>
      <c r="J10" s="25">
        <f>I10/H10</f>
        <v>-6.8200325735799422E-4</v>
      </c>
    </row>
    <row r="11" spans="1:10" ht="15.75" x14ac:dyDescent="0.25">
      <c r="A11" s="27" t="s">
        <v>21</v>
      </c>
      <c r="B11" s="180" t="s">
        <v>14</v>
      </c>
      <c r="C11" s="180">
        <v>51217286</v>
      </c>
      <c r="D11" s="181" t="s">
        <v>22</v>
      </c>
      <c r="E11" s="180">
        <v>21000</v>
      </c>
      <c r="F11" s="21">
        <v>845.05420000000004</v>
      </c>
      <c r="G11" s="21">
        <v>848.72919999999999</v>
      </c>
      <c r="H11" s="18">
        <f t="shared" ref="H11:H16" si="0">(G11-F11)*E11</f>
        <v>77174.99999999904</v>
      </c>
      <c r="I11" s="19"/>
      <c r="J11" s="20"/>
    </row>
    <row r="12" spans="1:10" ht="15.75" x14ac:dyDescent="0.25">
      <c r="A12" s="27" t="s">
        <v>23</v>
      </c>
      <c r="B12" s="180" t="s">
        <v>14</v>
      </c>
      <c r="C12" s="180">
        <v>51217292</v>
      </c>
      <c r="D12" s="181" t="s">
        <v>22</v>
      </c>
      <c r="E12" s="180">
        <v>21000</v>
      </c>
      <c r="F12" s="28">
        <v>3.7244999999999999</v>
      </c>
      <c r="G12" s="28">
        <v>3.7452000000000001</v>
      </c>
      <c r="H12" s="18">
        <f>(G12-F12)*E12</f>
        <v>434.7000000000034</v>
      </c>
      <c r="I12" s="19"/>
      <c r="J12" s="20"/>
    </row>
    <row r="13" spans="1:10" ht="15.75" x14ac:dyDescent="0.25">
      <c r="A13" s="27" t="s">
        <v>24</v>
      </c>
      <c r="B13" s="180" t="s">
        <v>14</v>
      </c>
      <c r="C13" s="180">
        <v>51217271</v>
      </c>
      <c r="D13" s="181" t="s">
        <v>22</v>
      </c>
      <c r="E13" s="180">
        <v>21000</v>
      </c>
      <c r="F13" s="21">
        <v>620.08960000000002</v>
      </c>
      <c r="G13" s="21">
        <v>623.274</v>
      </c>
      <c r="H13" s="18">
        <f t="shared" si="0"/>
        <v>66872.39999999963</v>
      </c>
      <c r="I13" s="19"/>
      <c r="J13" s="20"/>
    </row>
    <row r="14" spans="1:10" ht="15.75" x14ac:dyDescent="0.25">
      <c r="A14" s="27" t="s">
        <v>25</v>
      </c>
      <c r="B14" s="180" t="s">
        <v>14</v>
      </c>
      <c r="C14" s="180">
        <v>51217276</v>
      </c>
      <c r="D14" s="181" t="s">
        <v>22</v>
      </c>
      <c r="E14" s="180">
        <v>21000</v>
      </c>
      <c r="F14" s="28">
        <v>0.56130000000000002</v>
      </c>
      <c r="G14" s="28">
        <v>0.56130000000000002</v>
      </c>
      <c r="H14" s="18">
        <f>(G14-F14)*E14</f>
        <v>0</v>
      </c>
      <c r="I14" s="19"/>
      <c r="J14" s="20"/>
    </row>
    <row r="15" spans="1:10" ht="15.75" x14ac:dyDescent="0.25">
      <c r="A15" s="27" t="s">
        <v>26</v>
      </c>
      <c r="B15" s="180" t="s">
        <v>14</v>
      </c>
      <c r="C15" s="180">
        <v>51100990</v>
      </c>
      <c r="D15" s="181" t="s">
        <v>22</v>
      </c>
      <c r="E15" s="180">
        <v>21000</v>
      </c>
      <c r="F15" s="29">
        <v>678.56380000000001</v>
      </c>
      <c r="G15" s="29">
        <v>681.41409999999996</v>
      </c>
      <c r="H15" s="18">
        <f t="shared" si="0"/>
        <v>59856.299999998897</v>
      </c>
      <c r="I15" s="19"/>
      <c r="J15" s="20"/>
    </row>
    <row r="16" spans="1:10" ht="15.75" x14ac:dyDescent="0.25">
      <c r="A16" s="27" t="s">
        <v>27</v>
      </c>
      <c r="B16" s="180" t="s">
        <v>14</v>
      </c>
      <c r="C16" s="180">
        <v>51097622</v>
      </c>
      <c r="D16" s="181" t="s">
        <v>22</v>
      </c>
      <c r="E16" s="180">
        <v>21000</v>
      </c>
      <c r="F16" s="21">
        <v>2.9716999999999998</v>
      </c>
      <c r="G16" s="21">
        <v>3.0720000000000001</v>
      </c>
      <c r="H16" s="18">
        <f t="shared" si="0"/>
        <v>2106.3000000000056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80"/>
      <c r="D17" s="181"/>
      <c r="E17" s="180"/>
      <c r="F17" s="21"/>
      <c r="G17" s="21"/>
      <c r="H17" s="23">
        <f>H11+H12+H13+H14+H15+H16</f>
        <v>206444.6999999976</v>
      </c>
      <c r="I17" s="19"/>
      <c r="J17" s="20"/>
    </row>
    <row r="18" spans="1:10" ht="15.75" x14ac:dyDescent="0.25">
      <c r="A18" s="26" t="s">
        <v>30</v>
      </c>
      <c r="B18" s="180" t="s">
        <v>14</v>
      </c>
      <c r="C18" s="180">
        <v>51097617</v>
      </c>
      <c r="D18" s="181" t="s">
        <v>31</v>
      </c>
      <c r="E18" s="180">
        <v>18000</v>
      </c>
      <c r="F18" s="30">
        <v>820.39970000000005</v>
      </c>
      <c r="G18" s="30">
        <v>823.92840000000001</v>
      </c>
      <c r="H18" s="18">
        <f>(G18-F18)*E18</f>
        <v>63516.599999999242</v>
      </c>
      <c r="I18" s="19"/>
      <c r="J18" s="20"/>
    </row>
    <row r="19" spans="1:10" ht="15.75" x14ac:dyDescent="0.25">
      <c r="A19" s="26" t="s">
        <v>32</v>
      </c>
      <c r="B19" s="180" t="s">
        <v>14</v>
      </c>
      <c r="C19" s="180">
        <v>51097655</v>
      </c>
      <c r="D19" s="181" t="s">
        <v>31</v>
      </c>
      <c r="E19" s="180">
        <v>18000</v>
      </c>
      <c r="F19" s="30">
        <v>8.2071000000000005</v>
      </c>
      <c r="G19" s="30">
        <v>8.2071000000000005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80"/>
      <c r="D20" s="181"/>
      <c r="E20" s="180"/>
      <c r="F20" s="30"/>
      <c r="G20" s="30"/>
      <c r="H20" s="23">
        <f>H18+H19</f>
        <v>63516.599999999242</v>
      </c>
      <c r="I20" s="24">
        <f>H20-H35</f>
        <v>2247.5399999991569</v>
      </c>
      <c r="J20" s="25">
        <f>I20/H20</f>
        <v>3.5385080435652784E-2</v>
      </c>
    </row>
    <row r="21" spans="1:10" ht="15.75" x14ac:dyDescent="0.25">
      <c r="A21" s="15" t="s">
        <v>34</v>
      </c>
      <c r="B21" s="180" t="s">
        <v>14</v>
      </c>
      <c r="C21" s="180">
        <v>51217282</v>
      </c>
      <c r="D21" s="181" t="s">
        <v>35</v>
      </c>
      <c r="E21" s="180">
        <v>4800</v>
      </c>
      <c r="F21" s="21">
        <v>380.09679999999997</v>
      </c>
      <c r="G21" s="21">
        <v>380.3845</v>
      </c>
      <c r="H21" s="18">
        <f t="shared" ref="H21:H34" si="1">(G21-F21)*E21</f>
        <v>1380.960000000141</v>
      </c>
      <c r="I21" s="19" t="s">
        <v>28</v>
      </c>
      <c r="J21" s="20"/>
    </row>
    <row r="22" spans="1:10" ht="15.75" x14ac:dyDescent="0.25">
      <c r="A22" s="15" t="s">
        <v>36</v>
      </c>
      <c r="B22" s="180" t="s">
        <v>14</v>
      </c>
      <c r="C22" s="180">
        <v>51217274</v>
      </c>
      <c r="D22" s="181" t="s">
        <v>35</v>
      </c>
      <c r="E22" s="180">
        <v>4800</v>
      </c>
      <c r="F22" s="21">
        <v>1288.0319999999999</v>
      </c>
      <c r="G22" s="21">
        <v>1293.7203999999999</v>
      </c>
      <c r="H22" s="18">
        <f t="shared" si="1"/>
        <v>27304.320000000007</v>
      </c>
      <c r="I22" s="19"/>
      <c r="J22" s="20"/>
    </row>
    <row r="23" spans="1:10" ht="15.75" x14ac:dyDescent="0.25">
      <c r="A23" s="15" t="s">
        <v>37</v>
      </c>
      <c r="B23" s="180" t="s">
        <v>14</v>
      </c>
      <c r="C23" s="180">
        <v>51097664</v>
      </c>
      <c r="D23" s="181" t="s">
        <v>38</v>
      </c>
      <c r="E23" s="180">
        <v>600</v>
      </c>
      <c r="F23" s="21">
        <v>4.4409999999999998</v>
      </c>
      <c r="G23" s="21">
        <v>4.4409999999999998</v>
      </c>
      <c r="H23" s="18">
        <f t="shared" si="1"/>
        <v>0</v>
      </c>
      <c r="I23" s="19"/>
      <c r="J23" s="20"/>
    </row>
    <row r="24" spans="1:10" ht="15.75" x14ac:dyDescent="0.25">
      <c r="A24" s="15" t="s">
        <v>39</v>
      </c>
      <c r="B24" s="180" t="s">
        <v>14</v>
      </c>
      <c r="C24" s="180">
        <v>51097615</v>
      </c>
      <c r="D24" s="181" t="s">
        <v>38</v>
      </c>
      <c r="E24" s="180">
        <v>600</v>
      </c>
      <c r="F24" s="21">
        <v>41.1389</v>
      </c>
      <c r="G24" s="21">
        <v>41.434199999999997</v>
      </c>
      <c r="H24" s="18">
        <f t="shared" si="1"/>
        <v>177.17999999999847</v>
      </c>
      <c r="I24" s="19"/>
      <c r="J24" s="20"/>
    </row>
    <row r="25" spans="1:10" ht="15.75" x14ac:dyDescent="0.25">
      <c r="A25" s="15" t="s">
        <v>40</v>
      </c>
      <c r="B25" s="180" t="s">
        <v>14</v>
      </c>
      <c r="C25" s="180">
        <v>51217264</v>
      </c>
      <c r="D25" s="181" t="s">
        <v>38</v>
      </c>
      <c r="E25" s="180">
        <v>600</v>
      </c>
      <c r="F25" s="21">
        <v>96.755600000000001</v>
      </c>
      <c r="G25" s="21">
        <v>97.4148</v>
      </c>
      <c r="H25" s="18">
        <f t="shared" si="1"/>
        <v>395.51999999999907</v>
      </c>
      <c r="I25" s="19"/>
      <c r="J25" s="20"/>
    </row>
    <row r="26" spans="1:10" ht="15.75" x14ac:dyDescent="0.25">
      <c r="A26" s="15" t="s">
        <v>41</v>
      </c>
      <c r="B26" s="180" t="s">
        <v>14</v>
      </c>
      <c r="C26" s="180">
        <v>51217288</v>
      </c>
      <c r="D26" s="181" t="s">
        <v>38</v>
      </c>
      <c r="E26" s="180">
        <v>600</v>
      </c>
      <c r="F26" s="21">
        <v>20.147200000000002</v>
      </c>
      <c r="G26" s="21">
        <v>20.177800000000001</v>
      </c>
      <c r="H26" s="18">
        <f t="shared" si="1"/>
        <v>18.359999999999843</v>
      </c>
      <c r="I26" s="19" t="s">
        <v>28</v>
      </c>
      <c r="J26" s="20"/>
    </row>
    <row r="27" spans="1:10" ht="15.75" x14ac:dyDescent="0.25">
      <c r="A27" s="15" t="s">
        <v>42</v>
      </c>
      <c r="B27" s="180" t="s">
        <v>14</v>
      </c>
      <c r="C27" s="180">
        <v>51217279</v>
      </c>
      <c r="D27" s="181" t="s">
        <v>38</v>
      </c>
      <c r="E27" s="180">
        <v>600</v>
      </c>
      <c r="F27" s="21">
        <v>14.728300000000001</v>
      </c>
      <c r="G27" s="21">
        <v>14.7822</v>
      </c>
      <c r="H27" s="18">
        <f t="shared" si="1"/>
        <v>32.339999999999236</v>
      </c>
      <c r="I27" s="19" t="s">
        <v>28</v>
      </c>
      <c r="J27" s="20"/>
    </row>
    <row r="28" spans="1:10" ht="15.75" x14ac:dyDescent="0.25">
      <c r="A28" s="15" t="s">
        <v>43</v>
      </c>
      <c r="B28" s="180" t="s">
        <v>14</v>
      </c>
      <c r="C28" s="180">
        <v>51217272</v>
      </c>
      <c r="D28" s="181" t="s">
        <v>38</v>
      </c>
      <c r="E28" s="180">
        <v>600</v>
      </c>
      <c r="F28" s="31">
        <v>14.4465</v>
      </c>
      <c r="G28" s="31">
        <v>14.4992</v>
      </c>
      <c r="H28" s="18">
        <f t="shared" si="1"/>
        <v>31.619999999999848</v>
      </c>
      <c r="I28" s="19"/>
      <c r="J28" s="20"/>
    </row>
    <row r="29" spans="1:10" ht="15.75" x14ac:dyDescent="0.25">
      <c r="A29" s="15" t="s">
        <v>44</v>
      </c>
      <c r="B29" s="180" t="s">
        <v>14</v>
      </c>
      <c r="C29" s="180">
        <v>51616744</v>
      </c>
      <c r="D29" s="181">
        <f>300/5</f>
        <v>60</v>
      </c>
      <c r="E29" s="180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80" t="s">
        <v>14</v>
      </c>
      <c r="C30" s="180">
        <v>51555226</v>
      </c>
      <c r="D30" s="181">
        <f>300/5</f>
        <v>60</v>
      </c>
      <c r="E30" s="180">
        <v>3600</v>
      </c>
      <c r="F30" s="31">
        <v>475.48630000000003</v>
      </c>
      <c r="G30" s="31">
        <v>479.40699999999998</v>
      </c>
      <c r="H30" s="18">
        <f>(G30-F30)*E30</f>
        <v>14114.519999999833</v>
      </c>
      <c r="I30" s="19"/>
      <c r="J30" s="20"/>
    </row>
    <row r="31" spans="1:10" ht="15.75" x14ac:dyDescent="0.25">
      <c r="A31" s="15" t="s">
        <v>46</v>
      </c>
      <c r="B31" s="180" t="s">
        <v>14</v>
      </c>
      <c r="C31" s="180">
        <v>51097658</v>
      </c>
      <c r="D31" s="181" t="s">
        <v>35</v>
      </c>
      <c r="E31" s="180">
        <v>4800</v>
      </c>
      <c r="F31" s="31">
        <v>631.71730000000002</v>
      </c>
      <c r="G31" s="31">
        <v>635.38070000000005</v>
      </c>
      <c r="H31" s="18">
        <f t="shared" si="1"/>
        <v>17584.320000000116</v>
      </c>
      <c r="I31" s="19"/>
      <c r="J31" s="20"/>
    </row>
    <row r="32" spans="1:10" ht="15.75" x14ac:dyDescent="0.25">
      <c r="A32" s="15" t="s">
        <v>47</v>
      </c>
      <c r="B32" s="180" t="s">
        <v>14</v>
      </c>
      <c r="C32" s="180">
        <v>51097635</v>
      </c>
      <c r="D32" s="181" t="s">
        <v>35</v>
      </c>
      <c r="E32" s="180">
        <v>4800</v>
      </c>
      <c r="F32" s="31">
        <v>48.459800000000001</v>
      </c>
      <c r="G32" s="31">
        <v>48.460799999999999</v>
      </c>
      <c r="H32" s="18">
        <f t="shared" si="1"/>
        <v>4.7999999999888132</v>
      </c>
      <c r="I32" s="19"/>
      <c r="J32" s="20"/>
    </row>
    <row r="33" spans="1:10" ht="15.75" x14ac:dyDescent="0.25">
      <c r="A33" s="15" t="s">
        <v>48</v>
      </c>
      <c r="B33" s="180" t="s">
        <v>14</v>
      </c>
      <c r="C33" s="32">
        <v>51097633</v>
      </c>
      <c r="D33" s="181" t="s">
        <v>35</v>
      </c>
      <c r="E33" s="180">
        <v>4800</v>
      </c>
      <c r="F33" s="31">
        <v>161.31479999999999</v>
      </c>
      <c r="G33" s="31">
        <v>161.31479999999999</v>
      </c>
      <c r="H33" s="33">
        <f t="shared" si="1"/>
        <v>0</v>
      </c>
      <c r="I33" s="34"/>
      <c r="J33" s="35"/>
    </row>
    <row r="34" spans="1:10" ht="15.75" x14ac:dyDescent="0.25">
      <c r="A34" s="15" t="s">
        <v>49</v>
      </c>
      <c r="B34" s="180" t="s">
        <v>14</v>
      </c>
      <c r="C34" s="32">
        <v>51097662</v>
      </c>
      <c r="D34" s="181" t="s">
        <v>35</v>
      </c>
      <c r="E34" s="180">
        <v>4800</v>
      </c>
      <c r="F34" s="31">
        <v>3.2732999999999999</v>
      </c>
      <c r="G34" s="31">
        <v>3.3201999999999998</v>
      </c>
      <c r="H34" s="33">
        <f t="shared" si="1"/>
        <v>225.11999999999972</v>
      </c>
      <c r="I34" s="34"/>
      <c r="J34" s="35"/>
    </row>
    <row r="35" spans="1:10" ht="15.75" x14ac:dyDescent="0.25">
      <c r="A35" s="207" t="s">
        <v>50</v>
      </c>
      <c r="B35" s="208"/>
      <c r="C35" s="180"/>
      <c r="D35" s="181"/>
      <c r="E35" s="180"/>
      <c r="F35" s="36"/>
      <c r="G35" s="36"/>
      <c r="H35" s="23">
        <f>H21+H22+H23+H24+H25+H26+H27+H28+H29+H30+H31+H32+H33+H34</f>
        <v>61269.060000000085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80" t="s">
        <v>53</v>
      </c>
      <c r="C37" s="180">
        <v>51555209</v>
      </c>
      <c r="D37" s="181" t="s">
        <v>54</v>
      </c>
      <c r="E37" s="180">
        <v>7000</v>
      </c>
      <c r="F37" s="17">
        <v>5.4798999999999998</v>
      </c>
      <c r="G37" s="17">
        <v>5.5274999999999999</v>
      </c>
      <c r="H37" s="41">
        <f>(G37-F37)*E37</f>
        <v>333.20000000000061</v>
      </c>
      <c r="I37" s="42"/>
      <c r="J37" s="14"/>
    </row>
    <row r="38" spans="1:10" ht="15.75" x14ac:dyDescent="0.25">
      <c r="A38" s="15" t="s">
        <v>55</v>
      </c>
      <c r="B38" s="180" t="s">
        <v>53</v>
      </c>
      <c r="C38" s="180">
        <v>51555209</v>
      </c>
      <c r="D38" s="181" t="s">
        <v>54</v>
      </c>
      <c r="E38" s="180">
        <v>7000</v>
      </c>
      <c r="F38" s="21">
        <v>9.9984000000000002</v>
      </c>
      <c r="G38" s="21">
        <v>10.0405</v>
      </c>
      <c r="H38" s="18">
        <f>(G38-F38)*E38</f>
        <v>294.69999999999709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80" t="s">
        <v>53</v>
      </c>
      <c r="C40" s="180">
        <v>51097674</v>
      </c>
      <c r="D40" s="180" t="s">
        <v>15</v>
      </c>
      <c r="E40" s="180">
        <v>7200</v>
      </c>
      <c r="F40" s="21">
        <v>575.63869999999997</v>
      </c>
      <c r="G40" s="21">
        <v>578.02070000000003</v>
      </c>
      <c r="H40" s="18">
        <f>(G40-F40)*E40</f>
        <v>17150.400000000445</v>
      </c>
      <c r="I40" s="47"/>
      <c r="J40" s="20"/>
    </row>
    <row r="41" spans="1:10" ht="15.75" x14ac:dyDescent="0.25">
      <c r="A41" s="27" t="s">
        <v>58</v>
      </c>
      <c r="B41" s="180" t="s">
        <v>53</v>
      </c>
      <c r="C41" s="180">
        <v>51259257</v>
      </c>
      <c r="D41" s="180" t="s">
        <v>15</v>
      </c>
      <c r="E41" s="180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80"/>
      <c r="C42" s="180"/>
      <c r="D42" s="180"/>
      <c r="E42" s="180"/>
      <c r="F42" s="21"/>
      <c r="G42" s="21"/>
      <c r="H42" s="48">
        <f>H40+H41</f>
        <v>17150.400000000445</v>
      </c>
      <c r="I42" s="24">
        <f>H42-H50</f>
        <v>-123.5599999995793</v>
      </c>
      <c r="J42" s="25">
        <f>I42/H42</f>
        <v>-7.2044966880991752E-3</v>
      </c>
    </row>
    <row r="43" spans="1:10" ht="15.75" x14ac:dyDescent="0.25">
      <c r="A43" s="15" t="s">
        <v>60</v>
      </c>
      <c r="B43" s="180"/>
      <c r="C43" s="180"/>
      <c r="D43" s="181"/>
      <c r="E43" s="180"/>
      <c r="H43" s="18"/>
      <c r="I43" s="43"/>
      <c r="J43" s="20"/>
    </row>
    <row r="44" spans="1:10" ht="15.75" x14ac:dyDescent="0.25">
      <c r="A44" s="27" t="s">
        <v>61</v>
      </c>
      <c r="B44" s="180" t="s">
        <v>53</v>
      </c>
      <c r="C44" s="32">
        <v>51097648</v>
      </c>
      <c r="D44" s="180" t="s">
        <v>54</v>
      </c>
      <c r="E44" s="180">
        <v>1200</v>
      </c>
      <c r="F44" s="21">
        <v>471.42770000000002</v>
      </c>
      <c r="G44" s="21">
        <v>473.31</v>
      </c>
      <c r="H44" s="33">
        <f>(G44-F44)*E44</f>
        <v>2258.7599999999838</v>
      </c>
      <c r="I44" s="43"/>
      <c r="J44" s="20"/>
    </row>
    <row r="45" spans="1:10" ht="15.75" x14ac:dyDescent="0.25">
      <c r="A45" s="27" t="s">
        <v>62</v>
      </c>
      <c r="B45" s="180" t="s">
        <v>53</v>
      </c>
      <c r="C45" s="32">
        <v>50555043</v>
      </c>
      <c r="D45" s="180" t="s">
        <v>54</v>
      </c>
      <c r="E45" s="180">
        <v>1200</v>
      </c>
      <c r="F45" s="21">
        <v>1971.9925000000001</v>
      </c>
      <c r="G45" s="21">
        <v>1980.1935000000001</v>
      </c>
      <c r="H45" s="33">
        <f>(G45-F45)*E45</f>
        <v>9841.2000000000262</v>
      </c>
      <c r="I45" s="43"/>
      <c r="J45" s="20"/>
    </row>
    <row r="46" spans="1:10" ht="15.75" x14ac:dyDescent="0.25">
      <c r="A46" s="27" t="s">
        <v>63</v>
      </c>
      <c r="B46" s="180" t="s">
        <v>53</v>
      </c>
      <c r="C46" s="32">
        <v>51259336</v>
      </c>
      <c r="D46" s="180" t="s">
        <v>64</v>
      </c>
      <c r="E46" s="180">
        <v>2400</v>
      </c>
      <c r="F46" s="21">
        <v>4.0256999999999996</v>
      </c>
      <c r="G46" s="21">
        <v>4.0392999999999999</v>
      </c>
      <c r="H46" s="33">
        <f>(G46-F46)*E46</f>
        <v>32.640000000000668</v>
      </c>
      <c r="I46" s="43"/>
      <c r="J46" s="20"/>
    </row>
    <row r="47" spans="1:10" ht="15.75" x14ac:dyDescent="0.25">
      <c r="A47" s="27" t="s">
        <v>65</v>
      </c>
      <c r="B47" s="180" t="s">
        <v>53</v>
      </c>
      <c r="C47" s="32">
        <v>51259266</v>
      </c>
      <c r="D47" s="180" t="s">
        <v>54</v>
      </c>
      <c r="E47" s="180">
        <v>1200</v>
      </c>
      <c r="F47" s="21">
        <v>956.97349999999994</v>
      </c>
      <c r="G47" s="21">
        <v>960.82489999999996</v>
      </c>
      <c r="H47" s="33">
        <f>(G47-F47)*E47</f>
        <v>4621.6800000000148</v>
      </c>
      <c r="I47" s="43"/>
      <c r="J47" s="20"/>
    </row>
    <row r="48" spans="1:10" ht="15.75" x14ac:dyDescent="0.25">
      <c r="A48" s="27" t="s">
        <v>66</v>
      </c>
      <c r="B48" s="180" t="s">
        <v>53</v>
      </c>
      <c r="C48" s="32">
        <v>51431336</v>
      </c>
      <c r="D48" s="180" t="s">
        <v>54</v>
      </c>
      <c r="E48" s="180">
        <v>1200</v>
      </c>
      <c r="F48" s="21">
        <v>55.266300000000001</v>
      </c>
      <c r="G48" s="21">
        <v>55.657699999999998</v>
      </c>
      <c r="H48" s="33">
        <f>(G48-F48)*E48</f>
        <v>469.67999999999677</v>
      </c>
      <c r="I48" s="43"/>
      <c r="J48" s="20"/>
    </row>
    <row r="49" spans="1:10" ht="15.75" x14ac:dyDescent="0.25">
      <c r="A49" s="15" t="s">
        <v>67</v>
      </c>
      <c r="B49" s="180" t="s">
        <v>68</v>
      </c>
      <c r="C49" s="180">
        <v>49174</v>
      </c>
      <c r="D49" s="181" t="s">
        <v>54</v>
      </c>
      <c r="E49" s="180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17273.960000000025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80" t="s">
        <v>53</v>
      </c>
      <c r="C52" s="180">
        <v>51097603</v>
      </c>
      <c r="D52" s="181" t="s">
        <v>54</v>
      </c>
      <c r="E52" s="180">
        <v>7000</v>
      </c>
      <c r="F52" s="17">
        <v>1890.2865999999999</v>
      </c>
      <c r="G52" s="17">
        <v>1898.6338000000001</v>
      </c>
      <c r="H52" s="18">
        <f>(G52-F52)*E52</f>
        <v>58430.4000000011</v>
      </c>
      <c r="I52" s="43"/>
      <c r="J52" s="20"/>
    </row>
    <row r="53" spans="1:10" ht="15.75" x14ac:dyDescent="0.25">
      <c r="A53" s="27" t="s">
        <v>73</v>
      </c>
      <c r="B53" s="180" t="s">
        <v>53</v>
      </c>
      <c r="C53" s="180">
        <v>51097590</v>
      </c>
      <c r="D53" s="181" t="s">
        <v>54</v>
      </c>
      <c r="E53" s="180">
        <v>7000</v>
      </c>
      <c r="F53" s="21">
        <v>12.1645</v>
      </c>
      <c r="G53" s="21">
        <v>12.232699999999999</v>
      </c>
      <c r="H53" s="18">
        <f>(G53-F53)*E53</f>
        <v>477.39999999999407</v>
      </c>
      <c r="I53" s="43"/>
      <c r="J53" s="20"/>
    </row>
    <row r="54" spans="1:10" ht="15.75" x14ac:dyDescent="0.25">
      <c r="A54" s="15" t="s">
        <v>67</v>
      </c>
      <c r="B54" s="180" t="s">
        <v>68</v>
      </c>
      <c r="C54" s="180">
        <v>49174</v>
      </c>
      <c r="D54" s="181" t="s">
        <v>54</v>
      </c>
      <c r="E54" s="180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80"/>
      <c r="D55" s="181"/>
      <c r="E55" s="180"/>
      <c r="F55" s="21"/>
      <c r="G55" s="21"/>
      <c r="H55" s="48">
        <f>H52+H53+H54</f>
        <v>59007.800000001094</v>
      </c>
      <c r="I55" s="47"/>
      <c r="J55" s="59"/>
    </row>
    <row r="56" spans="1:10" ht="15.75" x14ac:dyDescent="0.25">
      <c r="A56" s="27" t="s">
        <v>75</v>
      </c>
      <c r="B56" s="180" t="s">
        <v>53</v>
      </c>
      <c r="C56" s="180">
        <v>51100980</v>
      </c>
      <c r="D56" s="180" t="s">
        <v>76</v>
      </c>
      <c r="E56" s="180">
        <v>12000</v>
      </c>
      <c r="F56" s="21">
        <v>1112.1856</v>
      </c>
      <c r="G56" s="21">
        <v>1117.1021000000001</v>
      </c>
      <c r="H56" s="18">
        <f>(G56-F56)*E56</f>
        <v>58998.000000000502</v>
      </c>
      <c r="I56" s="47"/>
      <c r="J56" s="58"/>
    </row>
    <row r="57" spans="1:10" ht="15.75" x14ac:dyDescent="0.25">
      <c r="A57" s="27" t="s">
        <v>77</v>
      </c>
      <c r="B57" s="180" t="s">
        <v>53</v>
      </c>
      <c r="C57" s="180">
        <v>51097623</v>
      </c>
      <c r="D57" s="180" t="s">
        <v>76</v>
      </c>
      <c r="E57" s="180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80"/>
      <c r="C58" s="180"/>
      <c r="D58" s="180"/>
      <c r="E58" s="180"/>
      <c r="F58" s="21"/>
      <c r="G58" s="21"/>
      <c r="H58" s="48">
        <f>H56+H57</f>
        <v>58998.000000000502</v>
      </c>
      <c r="I58" s="61">
        <f>H55-H65-H54</f>
        <v>-232.99999999943248</v>
      </c>
      <c r="J58" s="25">
        <f>I58/H58</f>
        <v>-3.9492864164790411E-3</v>
      </c>
    </row>
    <row r="59" spans="1:10" ht="15.75" x14ac:dyDescent="0.25">
      <c r="A59" s="27" t="s">
        <v>79</v>
      </c>
      <c r="B59" s="180" t="s">
        <v>53</v>
      </c>
      <c r="C59" s="180">
        <v>51097675</v>
      </c>
      <c r="D59" s="180" t="s">
        <v>35</v>
      </c>
      <c r="E59" s="180">
        <v>4800</v>
      </c>
      <c r="F59" s="21">
        <v>488.27429999999998</v>
      </c>
      <c r="G59" s="21">
        <v>491.1327</v>
      </c>
      <c r="H59" s="18">
        <f t="shared" ref="H59:H64" si="2">(G59-F59)*E59</f>
        <v>13720.320000000083</v>
      </c>
      <c r="I59" s="62"/>
      <c r="J59" s="59"/>
    </row>
    <row r="60" spans="1:10" ht="15.75" x14ac:dyDescent="0.25">
      <c r="A60" s="27" t="s">
        <v>80</v>
      </c>
      <c r="B60" s="180" t="s">
        <v>53</v>
      </c>
      <c r="C60" s="180">
        <v>51100997</v>
      </c>
      <c r="D60" s="180" t="s">
        <v>22</v>
      </c>
      <c r="E60" s="180">
        <v>3600</v>
      </c>
      <c r="F60" s="21">
        <v>1354.1452999999999</v>
      </c>
      <c r="G60" s="21">
        <v>1360.3027</v>
      </c>
      <c r="H60" s="18">
        <f t="shared" si="2"/>
        <v>22166.640000000189</v>
      </c>
      <c r="I60" s="62"/>
      <c r="J60" s="59"/>
    </row>
    <row r="61" spans="1:10" ht="15.75" x14ac:dyDescent="0.25">
      <c r="A61" s="27" t="s">
        <v>81</v>
      </c>
      <c r="B61" s="180" t="s">
        <v>53</v>
      </c>
      <c r="C61" s="180">
        <v>51555218</v>
      </c>
      <c r="D61" s="180">
        <f>400/5</f>
        <v>80</v>
      </c>
      <c r="E61" s="180">
        <v>4800</v>
      </c>
      <c r="F61" s="21">
        <v>60.6325</v>
      </c>
      <c r="G61" s="21">
        <v>61.1342</v>
      </c>
      <c r="H61" s="18">
        <f t="shared" si="2"/>
        <v>2408.159999999998</v>
      </c>
      <c r="I61" s="62"/>
      <c r="J61" s="59"/>
    </row>
    <row r="62" spans="1:10" ht="15.75" x14ac:dyDescent="0.25">
      <c r="A62" s="27" t="s">
        <v>82</v>
      </c>
      <c r="B62" s="180" t="s">
        <v>53</v>
      </c>
      <c r="C62" s="180">
        <v>51555151</v>
      </c>
      <c r="D62" s="180">
        <f>400/5</f>
        <v>80</v>
      </c>
      <c r="E62" s="180">
        <v>4800</v>
      </c>
      <c r="F62" s="63">
        <v>0.30690000000000001</v>
      </c>
      <c r="G62" s="63">
        <v>0.30690000000000001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80" t="s">
        <v>53</v>
      </c>
      <c r="C63" s="180">
        <v>51097599</v>
      </c>
      <c r="D63" s="180" t="s">
        <v>22</v>
      </c>
      <c r="E63" s="180">
        <v>3600</v>
      </c>
      <c r="F63" s="21">
        <v>947.47879999999998</v>
      </c>
      <c r="G63" s="21">
        <v>949.78660000000002</v>
      </c>
      <c r="H63" s="18">
        <f t="shared" si="2"/>
        <v>8308.0800000001545</v>
      </c>
      <c r="I63" s="62"/>
      <c r="J63" s="59"/>
    </row>
    <row r="64" spans="1:10" ht="15.75" x14ac:dyDescent="0.25">
      <c r="A64" s="27" t="s">
        <v>84</v>
      </c>
      <c r="B64" s="180" t="s">
        <v>53</v>
      </c>
      <c r="C64" s="180">
        <v>51097620</v>
      </c>
      <c r="D64" s="180" t="s">
        <v>35</v>
      </c>
      <c r="E64" s="180">
        <v>4800</v>
      </c>
      <c r="F64" s="21">
        <v>494.7466</v>
      </c>
      <c r="G64" s="21">
        <v>497.35860000000002</v>
      </c>
      <c r="H64" s="18">
        <f t="shared" si="2"/>
        <v>12537.600000000111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59140.800000000527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80" t="s">
        <v>53</v>
      </c>
      <c r="C67" s="9">
        <v>51259238</v>
      </c>
      <c r="D67" s="74" t="s">
        <v>54</v>
      </c>
      <c r="E67" s="74">
        <v>7000</v>
      </c>
      <c r="F67" s="75">
        <v>536.44309999999996</v>
      </c>
      <c r="G67" s="75">
        <v>539.06439999999998</v>
      </c>
      <c r="H67" s="76">
        <f>(G67-F67)*E67</f>
        <v>18349.100000000137</v>
      </c>
      <c r="I67" s="77"/>
      <c r="J67" s="78"/>
    </row>
    <row r="68" spans="1:10" ht="15.75" x14ac:dyDescent="0.25">
      <c r="A68" s="27" t="s">
        <v>87</v>
      </c>
      <c r="B68" s="180" t="s">
        <v>53</v>
      </c>
      <c r="C68" s="180">
        <v>51259324</v>
      </c>
      <c r="D68" s="181" t="s">
        <v>54</v>
      </c>
      <c r="E68" s="181">
        <v>7000</v>
      </c>
      <c r="F68" s="21">
        <v>417.92610000000002</v>
      </c>
      <c r="G68" s="21">
        <v>420.0711</v>
      </c>
      <c r="H68" s="18">
        <f>(G68-F68)*E68</f>
        <v>15014.999999999873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80">
        <v>51491618</v>
      </c>
      <c r="D69" s="181" t="s">
        <v>64</v>
      </c>
      <c r="E69" s="180">
        <v>40</v>
      </c>
      <c r="F69" s="28">
        <v>1171.2845</v>
      </c>
      <c r="G69" s="28">
        <v>1182.4090000000001</v>
      </c>
      <c r="H69" s="18">
        <f>(G69-F69)*E69</f>
        <v>444.98000000000502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80">
        <v>51491624</v>
      </c>
      <c r="D70" s="181" t="s">
        <v>64</v>
      </c>
      <c r="E70" s="180">
        <v>40</v>
      </c>
      <c r="F70" s="28">
        <v>166.57749999999999</v>
      </c>
      <c r="G70" s="28">
        <v>167.42449999999999</v>
      </c>
      <c r="H70" s="18">
        <f>(G70-F70)*E70</f>
        <v>33.880000000000337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33364.100000000006</v>
      </c>
      <c r="I71" s="85">
        <f>H71-H74-H69-H70</f>
        <v>13.639999999485326</v>
      </c>
      <c r="J71" s="25">
        <f>I71/H71</f>
        <v>4.0882265667245105E-4</v>
      </c>
    </row>
    <row r="72" spans="1:10" ht="15.75" x14ac:dyDescent="0.25">
      <c r="A72" s="27" t="s">
        <v>92</v>
      </c>
      <c r="B72" s="180" t="s">
        <v>53</v>
      </c>
      <c r="C72" s="86">
        <v>51097588</v>
      </c>
      <c r="D72" s="181" t="s">
        <v>76</v>
      </c>
      <c r="E72" s="180">
        <v>12000</v>
      </c>
      <c r="F72" s="21">
        <v>322.17059999999998</v>
      </c>
      <c r="G72" s="21">
        <v>323.67250000000001</v>
      </c>
      <c r="H72" s="18">
        <f>(G72-F72)*E72</f>
        <v>18022.800000000418</v>
      </c>
      <c r="I72" s="51"/>
      <c r="J72" s="58"/>
    </row>
    <row r="73" spans="1:10" ht="15.75" x14ac:dyDescent="0.25">
      <c r="A73" s="27" t="s">
        <v>93</v>
      </c>
      <c r="B73" s="180" t="s">
        <v>53</v>
      </c>
      <c r="C73" s="86">
        <v>51431335</v>
      </c>
      <c r="D73" s="181" t="s">
        <v>76</v>
      </c>
      <c r="E73" s="180">
        <v>12000</v>
      </c>
      <c r="F73" s="21">
        <v>255.8314</v>
      </c>
      <c r="G73" s="21">
        <v>257.06880000000001</v>
      </c>
      <c r="H73" s="18">
        <f>(G73-F73)*E73</f>
        <v>14848.800000000097</v>
      </c>
      <c r="I73" s="51"/>
      <c r="J73" s="58"/>
    </row>
    <row r="74" spans="1:10" ht="15.75" x14ac:dyDescent="0.25">
      <c r="A74" s="87" t="s">
        <v>94</v>
      </c>
      <c r="B74" s="180" t="s">
        <v>28</v>
      </c>
      <c r="C74" s="180"/>
      <c r="D74" s="181"/>
      <c r="E74" s="180"/>
      <c r="F74" s="21"/>
      <c r="G74" s="21"/>
      <c r="H74" s="48">
        <f>H72+ H73</f>
        <v>32871.600000000515</v>
      </c>
      <c r="I74" s="85">
        <f>H74-H82</f>
        <v>-62.459999999322463</v>
      </c>
      <c r="J74" s="25">
        <f>I74/H74</f>
        <v>-1.9001204687122465E-3</v>
      </c>
    </row>
    <row r="75" spans="1:10" ht="15.75" x14ac:dyDescent="0.25">
      <c r="A75" s="27" t="s">
        <v>95</v>
      </c>
      <c r="B75" s="180" t="s">
        <v>53</v>
      </c>
      <c r="C75" s="86">
        <v>51097676</v>
      </c>
      <c r="D75" s="88" t="s">
        <v>64</v>
      </c>
      <c r="E75" s="180">
        <v>2400</v>
      </c>
      <c r="F75" s="21">
        <v>673.9008</v>
      </c>
      <c r="G75" s="21">
        <v>677.17340000000002</v>
      </c>
      <c r="H75" s="18">
        <f>(G75-F75)*E75</f>
        <v>7854.2400000000271</v>
      </c>
      <c r="I75" s="51"/>
      <c r="J75" s="58"/>
    </row>
    <row r="76" spans="1:10" ht="15.75" x14ac:dyDescent="0.25">
      <c r="A76" s="27" t="s">
        <v>96</v>
      </c>
      <c r="B76" s="180" t="s">
        <v>53</v>
      </c>
      <c r="C76" s="86">
        <v>51431355</v>
      </c>
      <c r="D76" s="181" t="s">
        <v>22</v>
      </c>
      <c r="E76" s="181">
        <v>3600</v>
      </c>
      <c r="F76" s="21">
        <v>355.71820000000002</v>
      </c>
      <c r="G76" s="21">
        <v>357.15600000000001</v>
      </c>
      <c r="H76" s="18">
        <f>(G76-F76)*E76</f>
        <v>5176.0799999999335</v>
      </c>
      <c r="I76" s="51"/>
      <c r="J76" s="52"/>
    </row>
    <row r="77" spans="1:10" ht="15.75" x14ac:dyDescent="0.25">
      <c r="A77" s="27" t="s">
        <v>97</v>
      </c>
      <c r="B77" s="180" t="s">
        <v>53</v>
      </c>
      <c r="C77" s="86">
        <v>51259331</v>
      </c>
      <c r="D77" s="88" t="s">
        <v>38</v>
      </c>
      <c r="E77" s="180">
        <v>600</v>
      </c>
      <c r="F77" s="21">
        <v>158.35220000000001</v>
      </c>
      <c r="G77" s="21">
        <v>159.12629999999999</v>
      </c>
      <c r="H77" s="18">
        <f>(G77-F77)*E77</f>
        <v>464.45999999998548</v>
      </c>
      <c r="I77" s="51"/>
      <c r="J77" s="52"/>
    </row>
    <row r="78" spans="1:10" ht="15.75" x14ac:dyDescent="0.25">
      <c r="A78" s="27" t="s">
        <v>98</v>
      </c>
      <c r="B78" s="180" t="s">
        <v>53</v>
      </c>
      <c r="C78" s="86">
        <v>51259326</v>
      </c>
      <c r="D78" s="88" t="s">
        <v>15</v>
      </c>
      <c r="E78" s="180">
        <v>7200</v>
      </c>
      <c r="F78" s="21">
        <v>320.8775</v>
      </c>
      <c r="G78" s="21">
        <v>322.29759999999999</v>
      </c>
      <c r="H78" s="18">
        <f>(G78-F78)*E78</f>
        <v>10224.719999999934</v>
      </c>
      <c r="I78" s="51"/>
      <c r="J78" s="52"/>
    </row>
    <row r="79" spans="1:10" ht="15.75" x14ac:dyDescent="0.25">
      <c r="A79" s="27" t="s">
        <v>99</v>
      </c>
      <c r="B79" s="180" t="s">
        <v>53</v>
      </c>
      <c r="C79" s="86">
        <v>51431351</v>
      </c>
      <c r="D79" s="88" t="s">
        <v>15</v>
      </c>
      <c r="E79" s="180">
        <v>7200</v>
      </c>
      <c r="F79" s="21">
        <v>228.58</v>
      </c>
      <c r="G79" s="21">
        <v>229.85980000000001</v>
      </c>
      <c r="H79" s="18">
        <f>(G79-F79)*E79</f>
        <v>9214.5599999999613</v>
      </c>
      <c r="I79" s="51"/>
      <c r="J79" s="52"/>
    </row>
    <row r="80" spans="1:10" ht="15.75" x14ac:dyDescent="0.25">
      <c r="A80" s="89" t="s">
        <v>100</v>
      </c>
      <c r="B80" s="180" t="s">
        <v>53</v>
      </c>
      <c r="C80" s="90">
        <v>51097666</v>
      </c>
      <c r="D80" s="88" t="s">
        <v>64</v>
      </c>
      <c r="E80" s="180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80" t="s">
        <v>53</v>
      </c>
      <c r="C81" s="90">
        <v>51259323</v>
      </c>
      <c r="D81" s="88" t="s">
        <v>64</v>
      </c>
      <c r="E81" s="180">
        <v>2400</v>
      </c>
      <c r="F81" s="31">
        <v>7.6399999999999996E-2</v>
      </c>
      <c r="G81" s="31">
        <v>7.6399999999999996E-2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32934.059999999838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80" t="s">
        <v>53</v>
      </c>
      <c r="C84" s="106">
        <v>51431297</v>
      </c>
      <c r="D84" s="181" t="s">
        <v>54</v>
      </c>
      <c r="E84" s="100">
        <v>7000</v>
      </c>
      <c r="F84" s="17">
        <v>260.11439999999999</v>
      </c>
      <c r="G84" s="17">
        <v>262.66430000000003</v>
      </c>
      <c r="H84" s="18">
        <f>(G84-F84)*E84</f>
        <v>17849.300000000254</v>
      </c>
      <c r="I84" s="107"/>
      <c r="J84" s="108"/>
    </row>
    <row r="85" spans="1:10" ht="15.75" x14ac:dyDescent="0.25">
      <c r="A85" s="105" t="s">
        <v>87</v>
      </c>
      <c r="B85" s="180" t="s">
        <v>53</v>
      </c>
      <c r="C85" s="106">
        <v>51431332</v>
      </c>
      <c r="D85" s="181" t="s">
        <v>54</v>
      </c>
      <c r="E85" s="100">
        <v>7000</v>
      </c>
      <c r="F85" s="21">
        <v>356.4984</v>
      </c>
      <c r="G85" s="21">
        <v>356.63470000000001</v>
      </c>
      <c r="H85" s="18">
        <f>(G85-F85)*E85</f>
        <v>954.10000000003947</v>
      </c>
      <c r="I85" s="180"/>
      <c r="J85" s="58"/>
    </row>
    <row r="86" spans="1:10" ht="15.75" x14ac:dyDescent="0.25">
      <c r="A86" s="27" t="s">
        <v>88</v>
      </c>
      <c r="B86" s="180" t="s">
        <v>104</v>
      </c>
      <c r="C86" s="109">
        <v>150773</v>
      </c>
      <c r="D86" s="181" t="s">
        <v>54</v>
      </c>
      <c r="E86" s="109">
        <v>20</v>
      </c>
      <c r="F86" s="17">
        <v>15613</v>
      </c>
      <c r="G86" s="17">
        <v>15620.9</v>
      </c>
      <c r="H86" s="18">
        <f>(G86-F86)*E86</f>
        <v>157.99999999999272</v>
      </c>
      <c r="I86" s="51"/>
      <c r="J86" s="58"/>
    </row>
    <row r="87" spans="1:10" ht="15.75" x14ac:dyDescent="0.25">
      <c r="A87" s="27" t="s">
        <v>90</v>
      </c>
      <c r="B87" s="180" t="s">
        <v>104</v>
      </c>
      <c r="C87" s="109">
        <v>150791</v>
      </c>
      <c r="D87" s="181" t="s">
        <v>54</v>
      </c>
      <c r="E87" s="109">
        <v>20</v>
      </c>
      <c r="F87" s="21">
        <v>231.7</v>
      </c>
      <c r="G87" s="21">
        <v>231.7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82"/>
      <c r="C88" s="32"/>
      <c r="D88" s="82"/>
      <c r="E88" s="82"/>
      <c r="F88" s="21"/>
      <c r="G88" s="21"/>
      <c r="H88" s="48">
        <f>H84+H85</f>
        <v>18803.400000000292</v>
      </c>
      <c r="I88" s="85">
        <f>H88-H91-H86-H87</f>
        <v>366.52000000018234</v>
      </c>
      <c r="J88" s="25">
        <f>I88/H88</f>
        <v>1.9492219492228884E-2</v>
      </c>
    </row>
    <row r="89" spans="1:10" ht="15.75" x14ac:dyDescent="0.25">
      <c r="A89" s="27" t="s">
        <v>105</v>
      </c>
      <c r="B89" s="180" t="s">
        <v>53</v>
      </c>
      <c r="C89" s="106">
        <v>51431342</v>
      </c>
      <c r="D89" s="88" t="s">
        <v>35</v>
      </c>
      <c r="E89" s="180">
        <v>4800</v>
      </c>
      <c r="F89" s="21">
        <v>368.85809999999998</v>
      </c>
      <c r="G89" s="21">
        <v>372.53800000000001</v>
      </c>
      <c r="H89" s="18">
        <f>(G89-F89)*E89</f>
        <v>17663.520000000153</v>
      </c>
      <c r="I89" s="51"/>
      <c r="J89" s="52"/>
    </row>
    <row r="90" spans="1:10" ht="15.75" x14ac:dyDescent="0.25">
      <c r="A90" s="27" t="s">
        <v>106</v>
      </c>
      <c r="B90" s="180" t="s">
        <v>53</v>
      </c>
      <c r="C90" s="106">
        <v>51431343</v>
      </c>
      <c r="D90" s="88" t="s">
        <v>35</v>
      </c>
      <c r="E90" s="180">
        <v>4800</v>
      </c>
      <c r="F90" s="21">
        <v>504.12189999999998</v>
      </c>
      <c r="G90" s="21">
        <v>504.25009999999997</v>
      </c>
      <c r="H90" s="18">
        <f>(G90-F90)*E90</f>
        <v>615.3599999999642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18278.880000000117</v>
      </c>
      <c r="I91" s="85">
        <f>H91-H99</f>
        <v>-114.43999999988591</v>
      </c>
      <c r="J91" s="25">
        <f>I91/H91</f>
        <v>-6.2607774655714784E-3</v>
      </c>
    </row>
    <row r="92" spans="1:10" ht="15.75" x14ac:dyDescent="0.25">
      <c r="A92" s="27" t="s">
        <v>108</v>
      </c>
      <c r="B92" s="180" t="s">
        <v>53</v>
      </c>
      <c r="C92" s="106">
        <v>51431347</v>
      </c>
      <c r="D92" s="181" t="s">
        <v>54</v>
      </c>
      <c r="E92" s="180">
        <v>1200</v>
      </c>
      <c r="F92" s="21">
        <v>1202.1474000000001</v>
      </c>
      <c r="G92" s="21">
        <v>1202.1474000000001</v>
      </c>
      <c r="H92" s="18">
        <f>(G92-F92)*E92</f>
        <v>0</v>
      </c>
      <c r="I92" s="51"/>
      <c r="J92" s="52"/>
    </row>
    <row r="93" spans="1:10" ht="15.75" x14ac:dyDescent="0.25">
      <c r="A93" s="27" t="s">
        <v>109</v>
      </c>
      <c r="B93" s="180" t="s">
        <v>53</v>
      </c>
      <c r="C93" s="106">
        <v>51431339</v>
      </c>
      <c r="D93" s="181" t="s">
        <v>54</v>
      </c>
      <c r="E93" s="180">
        <v>1200</v>
      </c>
      <c r="F93" s="21"/>
      <c r="G93" s="21"/>
      <c r="H93" s="18">
        <f t="shared" ref="H93:H100" si="4">(G93-F93)*E93</f>
        <v>0</v>
      </c>
      <c r="I93" s="51"/>
      <c r="J93" s="52"/>
    </row>
    <row r="94" spans="1:10" ht="15.75" x14ac:dyDescent="0.25">
      <c r="A94" s="27" t="s">
        <v>110</v>
      </c>
      <c r="B94" s="180" t="s">
        <v>53</v>
      </c>
      <c r="C94" s="106">
        <v>51217244</v>
      </c>
      <c r="D94" s="180" t="s">
        <v>38</v>
      </c>
      <c r="E94" s="180">
        <v>600</v>
      </c>
      <c r="F94" s="30">
        <v>325.55509999999998</v>
      </c>
      <c r="G94" s="30">
        <v>326.4665</v>
      </c>
      <c r="H94" s="18">
        <f t="shared" si="4"/>
        <v>546.84000000000879</v>
      </c>
      <c r="I94" s="51"/>
      <c r="J94" s="52"/>
    </row>
    <row r="95" spans="1:10" ht="15.75" x14ac:dyDescent="0.25">
      <c r="A95" s="27" t="s">
        <v>111</v>
      </c>
      <c r="B95" s="180" t="s">
        <v>53</v>
      </c>
      <c r="C95" s="106">
        <v>51217267</v>
      </c>
      <c r="D95" s="88" t="s">
        <v>64</v>
      </c>
      <c r="E95" s="180">
        <v>2400</v>
      </c>
      <c r="F95" s="30">
        <v>20.046900000000001</v>
      </c>
      <c r="G95" s="30">
        <v>20.077200000000001</v>
      </c>
      <c r="H95" s="18">
        <f t="shared" si="4"/>
        <v>72.72000000000105</v>
      </c>
      <c r="I95" s="51"/>
      <c r="J95" s="52"/>
    </row>
    <row r="96" spans="1:10" ht="15.75" x14ac:dyDescent="0.25">
      <c r="A96" s="27" t="s">
        <v>112</v>
      </c>
      <c r="B96" s="180" t="s">
        <v>53</v>
      </c>
      <c r="C96" s="180">
        <v>51555165</v>
      </c>
      <c r="D96" s="181" t="s">
        <v>54</v>
      </c>
      <c r="E96" s="180">
        <v>1200</v>
      </c>
      <c r="F96" s="30">
        <v>779.18110000000001</v>
      </c>
      <c r="G96" s="30">
        <v>787.83450000000005</v>
      </c>
      <c r="H96" s="18">
        <f t="shared" si="4"/>
        <v>10384.08000000004</v>
      </c>
      <c r="I96" s="51" t="s">
        <v>28</v>
      </c>
      <c r="J96" s="52"/>
    </row>
    <row r="97" spans="1:10" ht="15.75" x14ac:dyDescent="0.25">
      <c r="A97" s="113" t="s">
        <v>113</v>
      </c>
      <c r="B97" s="180" t="s">
        <v>53</v>
      </c>
      <c r="C97" s="106">
        <v>51431346</v>
      </c>
      <c r="D97" s="114" t="s">
        <v>38</v>
      </c>
      <c r="E97" s="114">
        <v>600</v>
      </c>
      <c r="F97" s="30">
        <v>335.52969999999999</v>
      </c>
      <c r="G97" s="30">
        <v>337.59309999999999</v>
      </c>
      <c r="H97" s="115">
        <f t="shared" si="4"/>
        <v>1238.0400000000009</v>
      </c>
      <c r="I97" s="116"/>
      <c r="J97" s="117"/>
    </row>
    <row r="98" spans="1:10" ht="15.75" x14ac:dyDescent="0.25">
      <c r="A98" s="27" t="s">
        <v>114</v>
      </c>
      <c r="B98" s="180" t="s">
        <v>53</v>
      </c>
      <c r="C98" s="106">
        <v>51431352</v>
      </c>
      <c r="D98" s="88" t="s">
        <v>22</v>
      </c>
      <c r="E98" s="180">
        <v>3600</v>
      </c>
      <c r="F98" s="21">
        <v>216.67240000000001</v>
      </c>
      <c r="G98" s="21">
        <v>218.3373</v>
      </c>
      <c r="H98" s="18">
        <f t="shared" si="4"/>
        <v>5993.6399999999594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18393.320000000003</v>
      </c>
      <c r="I99" s="51"/>
      <c r="J99" s="52"/>
    </row>
    <row r="100" spans="1:10" ht="15.75" x14ac:dyDescent="0.25">
      <c r="A100" s="45" t="s">
        <v>115</v>
      </c>
      <c r="B100" s="180" t="s">
        <v>53</v>
      </c>
      <c r="C100" s="120">
        <v>51431357</v>
      </c>
      <c r="D100" s="181" t="s">
        <v>64</v>
      </c>
      <c r="E100" s="181">
        <v>14000</v>
      </c>
      <c r="F100" s="28">
        <v>815.66070000000002</v>
      </c>
      <c r="G100" s="28">
        <v>818.42319999999995</v>
      </c>
      <c r="H100" s="121">
        <f t="shared" si="4"/>
        <v>38674.999999999047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137</v>
      </c>
      <c r="G3" s="4" t="s">
        <v>138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83" t="s">
        <v>14</v>
      </c>
      <c r="C5" s="183">
        <v>51555166</v>
      </c>
      <c r="D5" s="183" t="s">
        <v>15</v>
      </c>
      <c r="E5" s="183">
        <v>132000</v>
      </c>
      <c r="F5" s="17">
        <v>3.2498</v>
      </c>
      <c r="G5" s="17">
        <v>3.5244</v>
      </c>
      <c r="H5" s="18">
        <f>(G5-F5)*E5</f>
        <v>36247.199999999997</v>
      </c>
      <c r="I5" s="19"/>
      <c r="J5" s="20"/>
    </row>
    <row r="6" spans="1:10" ht="15.75" x14ac:dyDescent="0.25">
      <c r="A6" s="15" t="s">
        <v>16</v>
      </c>
      <c r="B6" s="183" t="s">
        <v>14</v>
      </c>
      <c r="C6" s="183">
        <v>51555191</v>
      </c>
      <c r="D6" s="183" t="s">
        <v>15</v>
      </c>
      <c r="E6" s="183">
        <v>132000</v>
      </c>
      <c r="F6" s="21">
        <v>358.00659999999999</v>
      </c>
      <c r="G6" s="21">
        <v>359.78359999999998</v>
      </c>
      <c r="H6" s="18">
        <f>(G6-F6)*E6</f>
        <v>234563.99999999825</v>
      </c>
      <c r="I6" s="19"/>
      <c r="J6" s="20"/>
    </row>
    <row r="7" spans="1:10" ht="15.75" x14ac:dyDescent="0.25">
      <c r="A7" s="207" t="s">
        <v>17</v>
      </c>
      <c r="B7" s="208"/>
      <c r="C7" s="183"/>
      <c r="D7" s="184"/>
      <c r="E7" s="183"/>
      <c r="H7" s="23">
        <f>H5+H6</f>
        <v>270811.19999999827</v>
      </c>
      <c r="I7" s="24">
        <f>H7-H10-H20</f>
        <v>1147.7999999905442</v>
      </c>
      <c r="J7" s="25">
        <f>I7/H7</f>
        <v>4.2383771424171213E-3</v>
      </c>
    </row>
    <row r="8" spans="1:10" ht="15.75" x14ac:dyDescent="0.25">
      <c r="A8" s="26" t="s">
        <v>18</v>
      </c>
      <c r="B8" s="183" t="s">
        <v>14</v>
      </c>
      <c r="C8" s="183">
        <v>51097629</v>
      </c>
      <c r="D8" s="184" t="s">
        <v>15</v>
      </c>
      <c r="E8" s="183">
        <v>42000</v>
      </c>
      <c r="F8" s="21">
        <v>1073.7883999999999</v>
      </c>
      <c r="G8" s="21">
        <v>1077.6744000000001</v>
      </c>
      <c r="H8" s="18">
        <f>(G8-F8)*E8</f>
        <v>163212.00000000818</v>
      </c>
      <c r="I8" s="19"/>
      <c r="J8" s="20"/>
    </row>
    <row r="9" spans="1:10" ht="15.75" x14ac:dyDescent="0.25">
      <c r="A9" s="26" t="s">
        <v>19</v>
      </c>
      <c r="B9" s="183" t="s">
        <v>14</v>
      </c>
      <c r="C9" s="183">
        <v>51616820</v>
      </c>
      <c r="D9" s="184" t="s">
        <v>15</v>
      </c>
      <c r="E9" s="183">
        <v>42000</v>
      </c>
      <c r="F9" s="21">
        <v>5.3455000000000004</v>
      </c>
      <c r="G9" s="21">
        <v>6.2160000000000002</v>
      </c>
      <c r="H9" s="18">
        <f>(G9-F9)*E9</f>
        <v>36560.999999999993</v>
      </c>
      <c r="I9" s="19"/>
      <c r="J9" s="20"/>
    </row>
    <row r="10" spans="1:10" ht="15.75" x14ac:dyDescent="0.25">
      <c r="A10" s="207" t="s">
        <v>20</v>
      </c>
      <c r="B10" s="208"/>
      <c r="C10" s="183"/>
      <c r="D10" s="184"/>
      <c r="E10" s="183"/>
      <c r="F10" s="21"/>
      <c r="G10" s="21"/>
      <c r="H10" s="23">
        <f>H8+H9</f>
        <v>199773.00000000818</v>
      </c>
      <c r="I10" s="24">
        <f>H10-H17</f>
        <v>-65.099999995087273</v>
      </c>
      <c r="J10" s="25">
        <f>I10/H10</f>
        <v>-3.2586986226909847E-4</v>
      </c>
    </row>
    <row r="11" spans="1:10" ht="15.75" x14ac:dyDescent="0.25">
      <c r="A11" s="27" t="s">
        <v>21</v>
      </c>
      <c r="B11" s="183" t="s">
        <v>14</v>
      </c>
      <c r="C11" s="183">
        <v>51217286</v>
      </c>
      <c r="D11" s="184" t="s">
        <v>22</v>
      </c>
      <c r="E11" s="183">
        <v>21000</v>
      </c>
      <c r="F11" s="21">
        <v>848.72919999999999</v>
      </c>
      <c r="G11" s="21">
        <v>852.05020000000002</v>
      </c>
      <c r="H11" s="18">
        <f t="shared" ref="H11:H16" si="0">(G11-F11)*E11</f>
        <v>69741.000000000553</v>
      </c>
      <c r="I11" s="19"/>
      <c r="J11" s="20"/>
    </row>
    <row r="12" spans="1:10" ht="15.75" x14ac:dyDescent="0.25">
      <c r="A12" s="27" t="s">
        <v>23</v>
      </c>
      <c r="B12" s="183" t="s">
        <v>14</v>
      </c>
      <c r="C12" s="183">
        <v>51217292</v>
      </c>
      <c r="D12" s="184" t="s">
        <v>22</v>
      </c>
      <c r="E12" s="183">
        <v>21000</v>
      </c>
      <c r="F12" s="28">
        <v>3.7452000000000001</v>
      </c>
      <c r="G12" s="28">
        <v>3.7696999999999998</v>
      </c>
      <c r="H12" s="18">
        <f>(G12-F12)*E12</f>
        <v>514.49999999999466</v>
      </c>
      <c r="I12" s="19"/>
      <c r="J12" s="20"/>
    </row>
    <row r="13" spans="1:10" ht="15.75" x14ac:dyDescent="0.25">
      <c r="A13" s="27" t="s">
        <v>24</v>
      </c>
      <c r="B13" s="183" t="s">
        <v>14</v>
      </c>
      <c r="C13" s="183">
        <v>51217271</v>
      </c>
      <c r="D13" s="184" t="s">
        <v>22</v>
      </c>
      <c r="E13" s="183">
        <v>21000</v>
      </c>
      <c r="F13" s="21">
        <v>623.274</v>
      </c>
      <c r="G13" s="21">
        <v>626.50620000000004</v>
      </c>
      <c r="H13" s="18">
        <f t="shared" si="0"/>
        <v>67876.200000000725</v>
      </c>
      <c r="I13" s="19"/>
      <c r="J13" s="20"/>
    </row>
    <row r="14" spans="1:10" ht="15.75" x14ac:dyDescent="0.25">
      <c r="A14" s="27" t="s">
        <v>25</v>
      </c>
      <c r="B14" s="183" t="s">
        <v>14</v>
      </c>
      <c r="C14" s="183">
        <v>51217276</v>
      </c>
      <c r="D14" s="184" t="s">
        <v>22</v>
      </c>
      <c r="E14" s="183">
        <v>21000</v>
      </c>
      <c r="F14" s="28">
        <v>0.56130000000000002</v>
      </c>
      <c r="G14" s="28">
        <v>0.56130000000000002</v>
      </c>
      <c r="H14" s="18">
        <f>(G14-F14)*E14</f>
        <v>0</v>
      </c>
      <c r="I14" s="19"/>
      <c r="J14" s="20"/>
    </row>
    <row r="15" spans="1:10" ht="15.75" x14ac:dyDescent="0.25">
      <c r="A15" s="27" t="s">
        <v>26</v>
      </c>
      <c r="B15" s="183" t="s">
        <v>14</v>
      </c>
      <c r="C15" s="183">
        <v>51100990</v>
      </c>
      <c r="D15" s="184" t="s">
        <v>22</v>
      </c>
      <c r="E15" s="183">
        <v>21000</v>
      </c>
      <c r="F15" s="29">
        <v>681.41409999999996</v>
      </c>
      <c r="G15" s="29">
        <v>683.80820000000006</v>
      </c>
      <c r="H15" s="18">
        <f t="shared" si="0"/>
        <v>50276.100000001978</v>
      </c>
      <c r="I15" s="19"/>
      <c r="J15" s="20"/>
    </row>
    <row r="16" spans="1:10" ht="15.75" x14ac:dyDescent="0.25">
      <c r="A16" s="27" t="s">
        <v>27</v>
      </c>
      <c r="B16" s="183" t="s">
        <v>14</v>
      </c>
      <c r="C16" s="183">
        <v>51097622</v>
      </c>
      <c r="D16" s="184" t="s">
        <v>22</v>
      </c>
      <c r="E16" s="183">
        <v>21000</v>
      </c>
      <c r="F16" s="21">
        <v>3.0720000000000001</v>
      </c>
      <c r="G16" s="21">
        <v>3.6162999999999998</v>
      </c>
      <c r="H16" s="18">
        <f t="shared" si="0"/>
        <v>11430.299999999996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83"/>
      <c r="D17" s="184"/>
      <c r="E17" s="183"/>
      <c r="F17" s="21"/>
      <c r="G17" s="21"/>
      <c r="H17" s="23">
        <f>H11+H12+H13+H14+H15+H16</f>
        <v>199838.10000000327</v>
      </c>
      <c r="I17" s="19"/>
      <c r="J17" s="20"/>
    </row>
    <row r="18" spans="1:10" ht="15.75" x14ac:dyDescent="0.25">
      <c r="A18" s="26" t="s">
        <v>30</v>
      </c>
      <c r="B18" s="183" t="s">
        <v>14</v>
      </c>
      <c r="C18" s="183">
        <v>51097617</v>
      </c>
      <c r="D18" s="184" t="s">
        <v>31</v>
      </c>
      <c r="E18" s="183">
        <v>18000</v>
      </c>
      <c r="F18" s="30">
        <v>823.92840000000001</v>
      </c>
      <c r="G18" s="30">
        <v>827.81119999999999</v>
      </c>
      <c r="H18" s="18">
        <f>(G18-F18)*E18</f>
        <v>69890.399999999543</v>
      </c>
      <c r="I18" s="19"/>
      <c r="J18" s="20"/>
    </row>
    <row r="19" spans="1:10" ht="15.75" x14ac:dyDescent="0.25">
      <c r="A19" s="26" t="s">
        <v>32</v>
      </c>
      <c r="B19" s="183" t="s">
        <v>14</v>
      </c>
      <c r="C19" s="183">
        <v>51097655</v>
      </c>
      <c r="D19" s="184" t="s">
        <v>31</v>
      </c>
      <c r="E19" s="183">
        <v>18000</v>
      </c>
      <c r="F19" s="30">
        <v>8.2071000000000005</v>
      </c>
      <c r="G19" s="30">
        <v>8.2071000000000005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83"/>
      <c r="D20" s="184"/>
      <c r="E20" s="183"/>
      <c r="F20" s="30"/>
      <c r="G20" s="30"/>
      <c r="H20" s="23">
        <f>H18+H19</f>
        <v>69890.399999999543</v>
      </c>
      <c r="I20" s="24">
        <f>H20-H35</f>
        <v>1770.8399999988469</v>
      </c>
      <c r="J20" s="25">
        <f>I20/H20</f>
        <v>2.5337385391968833E-2</v>
      </c>
    </row>
    <row r="21" spans="1:10" ht="15.75" x14ac:dyDescent="0.25">
      <c r="A21" s="15" t="s">
        <v>34</v>
      </c>
      <c r="B21" s="183" t="s">
        <v>14</v>
      </c>
      <c r="C21" s="183">
        <v>51217282</v>
      </c>
      <c r="D21" s="184" t="s">
        <v>35</v>
      </c>
      <c r="E21" s="183">
        <v>4800</v>
      </c>
      <c r="F21" s="21">
        <v>380.3845</v>
      </c>
      <c r="G21" s="21">
        <v>380.69510000000002</v>
      </c>
      <c r="H21" s="18">
        <f t="shared" ref="H21:H34" si="1">(G21-F21)*E21</f>
        <v>1490.8800000001065</v>
      </c>
      <c r="I21" s="19" t="s">
        <v>28</v>
      </c>
      <c r="J21" s="20"/>
    </row>
    <row r="22" spans="1:10" ht="15.75" x14ac:dyDescent="0.25">
      <c r="A22" s="15" t="s">
        <v>36</v>
      </c>
      <c r="B22" s="183" t="s">
        <v>14</v>
      </c>
      <c r="C22" s="183">
        <v>51217274</v>
      </c>
      <c r="D22" s="184" t="s">
        <v>35</v>
      </c>
      <c r="E22" s="183">
        <v>4800</v>
      </c>
      <c r="F22" s="21">
        <v>1293.7203999999999</v>
      </c>
      <c r="G22" s="21">
        <v>1299.2407000000001</v>
      </c>
      <c r="H22" s="18">
        <f t="shared" si="1"/>
        <v>26497.440000000643</v>
      </c>
      <c r="I22" s="19"/>
      <c r="J22" s="20"/>
    </row>
    <row r="23" spans="1:10" ht="15.75" x14ac:dyDescent="0.25">
      <c r="A23" s="15" t="s">
        <v>37</v>
      </c>
      <c r="B23" s="183" t="s">
        <v>14</v>
      </c>
      <c r="C23" s="183">
        <v>51097664</v>
      </c>
      <c r="D23" s="184" t="s">
        <v>38</v>
      </c>
      <c r="E23" s="183">
        <v>600</v>
      </c>
      <c r="F23" s="21">
        <v>4.4409999999999998</v>
      </c>
      <c r="G23" s="21">
        <v>4.4409999999999998</v>
      </c>
      <c r="H23" s="18">
        <f t="shared" si="1"/>
        <v>0</v>
      </c>
      <c r="I23" s="19"/>
      <c r="J23" s="20"/>
    </row>
    <row r="24" spans="1:10" ht="15.75" x14ac:dyDescent="0.25">
      <c r="A24" s="15" t="s">
        <v>39</v>
      </c>
      <c r="B24" s="183" t="s">
        <v>14</v>
      </c>
      <c r="C24" s="183">
        <v>51097615</v>
      </c>
      <c r="D24" s="184" t="s">
        <v>38</v>
      </c>
      <c r="E24" s="183">
        <v>600</v>
      </c>
      <c r="F24" s="21">
        <v>41.434199999999997</v>
      </c>
      <c r="G24" s="21">
        <v>41.729199999999999</v>
      </c>
      <c r="H24" s="18">
        <f t="shared" si="1"/>
        <v>177.00000000000102</v>
      </c>
      <c r="I24" s="19"/>
      <c r="J24" s="20"/>
    </row>
    <row r="25" spans="1:10" ht="15.75" x14ac:dyDescent="0.25">
      <c r="A25" s="15" t="s">
        <v>40</v>
      </c>
      <c r="B25" s="183" t="s">
        <v>14</v>
      </c>
      <c r="C25" s="183">
        <v>51217264</v>
      </c>
      <c r="D25" s="184" t="s">
        <v>38</v>
      </c>
      <c r="E25" s="183">
        <v>600</v>
      </c>
      <c r="F25" s="21">
        <v>97.4148</v>
      </c>
      <c r="G25" s="21">
        <v>98.117900000000006</v>
      </c>
      <c r="H25" s="18">
        <f t="shared" si="1"/>
        <v>421.86000000000377</v>
      </c>
      <c r="I25" s="19"/>
      <c r="J25" s="20"/>
    </row>
    <row r="26" spans="1:10" ht="15.75" x14ac:dyDescent="0.25">
      <c r="A26" s="15" t="s">
        <v>41</v>
      </c>
      <c r="B26" s="183" t="s">
        <v>14</v>
      </c>
      <c r="C26" s="183">
        <v>51217288</v>
      </c>
      <c r="D26" s="184" t="s">
        <v>38</v>
      </c>
      <c r="E26" s="183">
        <v>600</v>
      </c>
      <c r="F26" s="21">
        <v>20.177800000000001</v>
      </c>
      <c r="G26" s="21">
        <v>20.208400000000001</v>
      </c>
      <c r="H26" s="18">
        <f t="shared" si="1"/>
        <v>18.359999999999843</v>
      </c>
      <c r="I26" s="19" t="s">
        <v>28</v>
      </c>
      <c r="J26" s="20"/>
    </row>
    <row r="27" spans="1:10" ht="15.75" x14ac:dyDescent="0.25">
      <c r="A27" s="15" t="s">
        <v>42</v>
      </c>
      <c r="B27" s="183" t="s">
        <v>14</v>
      </c>
      <c r="C27" s="183">
        <v>51217279</v>
      </c>
      <c r="D27" s="184" t="s">
        <v>38</v>
      </c>
      <c r="E27" s="183">
        <v>600</v>
      </c>
      <c r="F27" s="21">
        <v>14.7822</v>
      </c>
      <c r="G27" s="21">
        <v>14.835900000000001</v>
      </c>
      <c r="H27" s="18">
        <f t="shared" si="1"/>
        <v>32.220000000000582</v>
      </c>
      <c r="I27" s="19" t="s">
        <v>28</v>
      </c>
      <c r="J27" s="20"/>
    </row>
    <row r="28" spans="1:10" ht="15.75" x14ac:dyDescent="0.25">
      <c r="A28" s="15" t="s">
        <v>43</v>
      </c>
      <c r="B28" s="183" t="s">
        <v>14</v>
      </c>
      <c r="C28" s="183">
        <v>51217272</v>
      </c>
      <c r="D28" s="184" t="s">
        <v>38</v>
      </c>
      <c r="E28" s="183">
        <v>600</v>
      </c>
      <c r="F28" s="31">
        <v>14.4992</v>
      </c>
      <c r="G28" s="31">
        <v>14.5518</v>
      </c>
      <c r="H28" s="18">
        <f t="shared" si="1"/>
        <v>31.559999999999988</v>
      </c>
      <c r="I28" s="19"/>
      <c r="J28" s="20"/>
    </row>
    <row r="29" spans="1:10" ht="15.75" x14ac:dyDescent="0.25">
      <c r="A29" s="15" t="s">
        <v>44</v>
      </c>
      <c r="B29" s="183" t="s">
        <v>14</v>
      </c>
      <c r="C29" s="183">
        <v>51616744</v>
      </c>
      <c r="D29" s="184">
        <f>300/5</f>
        <v>60</v>
      </c>
      <c r="E29" s="183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83" t="s">
        <v>14</v>
      </c>
      <c r="C30" s="183">
        <v>51555226</v>
      </c>
      <c r="D30" s="184">
        <f>300/5</f>
        <v>60</v>
      </c>
      <c r="E30" s="183">
        <v>3600</v>
      </c>
      <c r="F30" s="31">
        <v>479.40699999999998</v>
      </c>
      <c r="G30" s="31">
        <v>483.43180000000001</v>
      </c>
      <c r="H30" s="18">
        <f>(G30-F30)*E30</f>
        <v>14489.280000000099</v>
      </c>
      <c r="I30" s="19"/>
      <c r="J30" s="20"/>
    </row>
    <row r="31" spans="1:10" ht="15.75" x14ac:dyDescent="0.25">
      <c r="A31" s="15" t="s">
        <v>46</v>
      </c>
      <c r="B31" s="183" t="s">
        <v>14</v>
      </c>
      <c r="C31" s="183">
        <v>51097658</v>
      </c>
      <c r="D31" s="184" t="s">
        <v>35</v>
      </c>
      <c r="E31" s="183">
        <v>4800</v>
      </c>
      <c r="F31" s="31">
        <v>635.38070000000005</v>
      </c>
      <c r="G31" s="31">
        <v>639.09640000000002</v>
      </c>
      <c r="H31" s="18">
        <f t="shared" si="1"/>
        <v>17835.359999999855</v>
      </c>
      <c r="I31" s="19"/>
      <c r="J31" s="20"/>
    </row>
    <row r="32" spans="1:10" ht="15.75" x14ac:dyDescent="0.25">
      <c r="A32" s="15" t="s">
        <v>47</v>
      </c>
      <c r="B32" s="183" t="s">
        <v>14</v>
      </c>
      <c r="C32" s="183">
        <v>51097635</v>
      </c>
      <c r="D32" s="184" t="s">
        <v>35</v>
      </c>
      <c r="E32" s="183">
        <v>4800</v>
      </c>
      <c r="F32" s="31">
        <v>48.460799999999999</v>
      </c>
      <c r="G32" s="31">
        <v>48.461199999999998</v>
      </c>
      <c r="H32" s="18">
        <f t="shared" si="1"/>
        <v>1.9199999999955253</v>
      </c>
      <c r="I32" s="19"/>
      <c r="J32" s="20"/>
    </row>
    <row r="33" spans="1:10" ht="15.75" x14ac:dyDescent="0.25">
      <c r="A33" s="15" t="s">
        <v>48</v>
      </c>
      <c r="B33" s="183" t="s">
        <v>14</v>
      </c>
      <c r="C33" s="32">
        <v>51097633</v>
      </c>
      <c r="D33" s="184" t="s">
        <v>35</v>
      </c>
      <c r="E33" s="183">
        <v>4800</v>
      </c>
      <c r="F33" s="31">
        <v>161.31479999999999</v>
      </c>
      <c r="G33" s="31">
        <v>162.75729999999999</v>
      </c>
      <c r="H33" s="33">
        <f t="shared" si="1"/>
        <v>6923.9999999999782</v>
      </c>
      <c r="I33" s="34"/>
      <c r="J33" s="35"/>
    </row>
    <row r="34" spans="1:10" ht="15.75" x14ac:dyDescent="0.25">
      <c r="A34" s="15" t="s">
        <v>49</v>
      </c>
      <c r="B34" s="183" t="s">
        <v>14</v>
      </c>
      <c r="C34" s="32">
        <v>51097662</v>
      </c>
      <c r="D34" s="184" t="s">
        <v>35</v>
      </c>
      <c r="E34" s="183">
        <v>4800</v>
      </c>
      <c r="F34" s="31">
        <v>3.3201999999999998</v>
      </c>
      <c r="G34" s="31">
        <v>3.3618000000000001</v>
      </c>
      <c r="H34" s="33">
        <f t="shared" si="1"/>
        <v>199.68000000000146</v>
      </c>
      <c r="I34" s="34"/>
      <c r="J34" s="35"/>
    </row>
    <row r="35" spans="1:10" ht="15.75" x14ac:dyDescent="0.25">
      <c r="A35" s="207" t="s">
        <v>50</v>
      </c>
      <c r="B35" s="208"/>
      <c r="C35" s="183"/>
      <c r="D35" s="184"/>
      <c r="E35" s="183"/>
      <c r="F35" s="36"/>
      <c r="G35" s="36"/>
      <c r="H35" s="23">
        <f>H21+H22+H23+H24+H25+H26+H27+H28+H29+H30+H31+H32+H33+H34</f>
        <v>68119.560000000696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83" t="s">
        <v>53</v>
      </c>
      <c r="C37" s="183">
        <v>51555209</v>
      </c>
      <c r="D37" s="184" t="s">
        <v>54</v>
      </c>
      <c r="E37" s="183">
        <v>7000</v>
      </c>
      <c r="F37" s="17">
        <v>5.5274999999999999</v>
      </c>
      <c r="G37" s="17">
        <v>5.58</v>
      </c>
      <c r="H37" s="41">
        <f>(G37-F37)*E37</f>
        <v>367.50000000000148</v>
      </c>
      <c r="I37" s="42"/>
      <c r="J37" s="14"/>
    </row>
    <row r="38" spans="1:10" ht="15.75" x14ac:dyDescent="0.25">
      <c r="A38" s="15" t="s">
        <v>55</v>
      </c>
      <c r="B38" s="183" t="s">
        <v>53</v>
      </c>
      <c r="C38" s="183">
        <v>51555209</v>
      </c>
      <c r="D38" s="184" t="s">
        <v>54</v>
      </c>
      <c r="E38" s="183">
        <v>7000</v>
      </c>
      <c r="F38" s="21">
        <v>10.0405</v>
      </c>
      <c r="G38" s="21">
        <v>10.0739</v>
      </c>
      <c r="H38" s="18">
        <f>(G38-F38)*E38</f>
        <v>233.80000000000223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83" t="s">
        <v>53</v>
      </c>
      <c r="C40" s="183">
        <v>51097674</v>
      </c>
      <c r="D40" s="183" t="s">
        <v>15</v>
      </c>
      <c r="E40" s="183">
        <v>7200</v>
      </c>
      <c r="F40" s="21">
        <v>578.02070000000003</v>
      </c>
      <c r="G40" s="21">
        <v>580.42229999999995</v>
      </c>
      <c r="H40" s="18">
        <f>(G40-F40)*E40</f>
        <v>17291.5199999994</v>
      </c>
      <c r="I40" s="47"/>
      <c r="J40" s="20"/>
    </row>
    <row r="41" spans="1:10" ht="15.75" x14ac:dyDescent="0.25">
      <c r="A41" s="27" t="s">
        <v>58</v>
      </c>
      <c r="B41" s="183" t="s">
        <v>53</v>
      </c>
      <c r="C41" s="183">
        <v>51259257</v>
      </c>
      <c r="D41" s="183" t="s">
        <v>15</v>
      </c>
      <c r="E41" s="183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83"/>
      <c r="C42" s="183"/>
      <c r="D42" s="183"/>
      <c r="E42" s="183"/>
      <c r="F42" s="21"/>
      <c r="G42" s="21"/>
      <c r="H42" s="48">
        <f>H40+H41</f>
        <v>17291.5199999994</v>
      </c>
      <c r="I42" s="24">
        <f>H42-H50</f>
        <v>-126.56000000052518</v>
      </c>
      <c r="J42" s="25">
        <f>I42/H42</f>
        <v>-7.3191946110307002E-3</v>
      </c>
    </row>
    <row r="43" spans="1:10" ht="15.75" x14ac:dyDescent="0.25">
      <c r="A43" s="15" t="s">
        <v>60</v>
      </c>
      <c r="B43" s="183"/>
      <c r="C43" s="183"/>
      <c r="D43" s="184"/>
      <c r="E43" s="183"/>
      <c r="H43" s="18"/>
      <c r="I43" s="43"/>
      <c r="J43" s="20"/>
    </row>
    <row r="44" spans="1:10" ht="15.75" x14ac:dyDescent="0.25">
      <c r="A44" s="27" t="s">
        <v>61</v>
      </c>
      <c r="B44" s="183" t="s">
        <v>53</v>
      </c>
      <c r="C44" s="32">
        <v>51097648</v>
      </c>
      <c r="D44" s="183" t="s">
        <v>54</v>
      </c>
      <c r="E44" s="183">
        <v>1200</v>
      </c>
      <c r="F44" s="21">
        <v>473.31</v>
      </c>
      <c r="G44" s="21">
        <v>475.18729999999999</v>
      </c>
      <c r="H44" s="33">
        <f>(G44-F44)*E44</f>
        <v>2252.7599999999893</v>
      </c>
      <c r="I44" s="43"/>
      <c r="J44" s="20"/>
    </row>
    <row r="45" spans="1:10" ht="15.75" x14ac:dyDescent="0.25">
      <c r="A45" s="27" t="s">
        <v>62</v>
      </c>
      <c r="B45" s="183" t="s">
        <v>53</v>
      </c>
      <c r="C45" s="32">
        <v>50555043</v>
      </c>
      <c r="D45" s="183" t="s">
        <v>54</v>
      </c>
      <c r="E45" s="183">
        <v>1200</v>
      </c>
      <c r="F45" s="21">
        <v>1980.1935000000001</v>
      </c>
      <c r="G45" s="21">
        <v>1988.3724</v>
      </c>
      <c r="H45" s="33">
        <f>(G45-F45)*E45</f>
        <v>9814.679999999862</v>
      </c>
      <c r="I45" s="43"/>
      <c r="J45" s="20"/>
    </row>
    <row r="46" spans="1:10" ht="15.75" x14ac:dyDescent="0.25">
      <c r="A46" s="27" t="s">
        <v>63</v>
      </c>
      <c r="B46" s="183" t="s">
        <v>53</v>
      </c>
      <c r="C46" s="32">
        <v>51259336</v>
      </c>
      <c r="D46" s="183" t="s">
        <v>64</v>
      </c>
      <c r="E46" s="183">
        <v>2400</v>
      </c>
      <c r="F46" s="21">
        <v>4.0392999999999999</v>
      </c>
      <c r="G46" s="21">
        <v>4.0526999999999997</v>
      </c>
      <c r="H46" s="33">
        <f>(G46-F46)*E46</f>
        <v>32.159999999999656</v>
      </c>
      <c r="I46" s="43"/>
      <c r="J46" s="20"/>
    </row>
    <row r="47" spans="1:10" ht="15.75" x14ac:dyDescent="0.25">
      <c r="A47" s="27" t="s">
        <v>65</v>
      </c>
      <c r="B47" s="183" t="s">
        <v>53</v>
      </c>
      <c r="C47" s="32">
        <v>51259266</v>
      </c>
      <c r="D47" s="183" t="s">
        <v>54</v>
      </c>
      <c r="E47" s="183">
        <v>1200</v>
      </c>
      <c r="F47" s="21">
        <v>960.82489999999996</v>
      </c>
      <c r="G47" s="21">
        <v>964.88080000000002</v>
      </c>
      <c r="H47" s="33">
        <f>(G47-F47)*E47</f>
        <v>4867.0800000000781</v>
      </c>
      <c r="I47" s="43"/>
      <c r="J47" s="20"/>
    </row>
    <row r="48" spans="1:10" ht="15.75" x14ac:dyDescent="0.25">
      <c r="A48" s="27" t="s">
        <v>66</v>
      </c>
      <c r="B48" s="183" t="s">
        <v>53</v>
      </c>
      <c r="C48" s="32">
        <v>51431336</v>
      </c>
      <c r="D48" s="183" t="s">
        <v>54</v>
      </c>
      <c r="E48" s="183">
        <v>1200</v>
      </c>
      <c r="F48" s="21">
        <v>55.657699999999998</v>
      </c>
      <c r="G48" s="21">
        <v>55.992199999999997</v>
      </c>
      <c r="H48" s="33">
        <f>(G48-F48)*E48</f>
        <v>401.39999999999816</v>
      </c>
      <c r="I48" s="43"/>
      <c r="J48" s="20"/>
    </row>
    <row r="49" spans="1:10" ht="15.75" x14ac:dyDescent="0.25">
      <c r="A49" s="15" t="s">
        <v>67</v>
      </c>
      <c r="B49" s="183" t="s">
        <v>68</v>
      </c>
      <c r="C49" s="183">
        <v>49174</v>
      </c>
      <c r="D49" s="184" t="s">
        <v>54</v>
      </c>
      <c r="E49" s="183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17418.079999999925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83" t="s">
        <v>53</v>
      </c>
      <c r="C52" s="183">
        <v>51097603</v>
      </c>
      <c r="D52" s="184" t="s">
        <v>54</v>
      </c>
      <c r="E52" s="183">
        <v>7000</v>
      </c>
      <c r="F52" s="17">
        <v>1898.6338000000001</v>
      </c>
      <c r="G52" s="17">
        <v>1905.9196999999999</v>
      </c>
      <c r="H52" s="18">
        <f>(G52-F52)*E52</f>
        <v>51001.299999998992</v>
      </c>
      <c r="I52" s="43"/>
      <c r="J52" s="20"/>
    </row>
    <row r="53" spans="1:10" ht="15.75" x14ac:dyDescent="0.25">
      <c r="A53" s="27" t="s">
        <v>73</v>
      </c>
      <c r="B53" s="183" t="s">
        <v>53</v>
      </c>
      <c r="C53" s="183">
        <v>51097590</v>
      </c>
      <c r="D53" s="184" t="s">
        <v>54</v>
      </c>
      <c r="E53" s="183">
        <v>7000</v>
      </c>
      <c r="F53" s="21">
        <v>12.232699999999999</v>
      </c>
      <c r="G53" s="21">
        <v>12.3063</v>
      </c>
      <c r="H53" s="18">
        <f>(G53-F53)*E53</f>
        <v>515.20000000000539</v>
      </c>
      <c r="I53" s="43"/>
      <c r="J53" s="20"/>
    </row>
    <row r="54" spans="1:10" ht="15.75" x14ac:dyDescent="0.25">
      <c r="A54" s="15" t="s">
        <v>67</v>
      </c>
      <c r="B54" s="183" t="s">
        <v>68</v>
      </c>
      <c r="C54" s="183">
        <v>49174</v>
      </c>
      <c r="D54" s="184" t="s">
        <v>54</v>
      </c>
      <c r="E54" s="183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83"/>
      <c r="D55" s="184"/>
      <c r="E55" s="183"/>
      <c r="F55" s="21"/>
      <c r="G55" s="21"/>
      <c r="H55" s="48">
        <f>H52+H53+H54</f>
        <v>51616.499999998996</v>
      </c>
      <c r="I55" s="47"/>
      <c r="J55" s="59"/>
    </row>
    <row r="56" spans="1:10" ht="15.75" x14ac:dyDescent="0.25">
      <c r="A56" s="27" t="s">
        <v>75</v>
      </c>
      <c r="B56" s="183" t="s">
        <v>53</v>
      </c>
      <c r="C56" s="183">
        <v>51100980</v>
      </c>
      <c r="D56" s="183" t="s">
        <v>76</v>
      </c>
      <c r="E56" s="183">
        <v>12000</v>
      </c>
      <c r="F56" s="21">
        <v>1117.1021000000001</v>
      </c>
      <c r="G56" s="21">
        <v>1121.3988999999999</v>
      </c>
      <c r="H56" s="18">
        <f>(G56-F56)*E56</f>
        <v>51561.59999999818</v>
      </c>
      <c r="I56" s="47"/>
      <c r="J56" s="58"/>
    </row>
    <row r="57" spans="1:10" ht="15.75" x14ac:dyDescent="0.25">
      <c r="A57" s="27" t="s">
        <v>77</v>
      </c>
      <c r="B57" s="183" t="s">
        <v>53</v>
      </c>
      <c r="C57" s="183">
        <v>51097623</v>
      </c>
      <c r="D57" s="183" t="s">
        <v>76</v>
      </c>
      <c r="E57" s="183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83"/>
      <c r="C58" s="183"/>
      <c r="D58" s="183"/>
      <c r="E58" s="183"/>
      <c r="F58" s="21"/>
      <c r="G58" s="21"/>
      <c r="H58" s="48">
        <f>H56+H57</f>
        <v>51561.59999999818</v>
      </c>
      <c r="I58" s="61">
        <f>H55-H65-H54</f>
        <v>-137.50000000101863</v>
      </c>
      <c r="J58" s="25">
        <f>I58/H58</f>
        <v>-2.6667132129535058E-3</v>
      </c>
    </row>
    <row r="59" spans="1:10" ht="15.75" x14ac:dyDescent="0.25">
      <c r="A59" s="27" t="s">
        <v>79</v>
      </c>
      <c r="B59" s="183" t="s">
        <v>53</v>
      </c>
      <c r="C59" s="183">
        <v>51097675</v>
      </c>
      <c r="D59" s="183" t="s">
        <v>35</v>
      </c>
      <c r="E59" s="183">
        <v>4800</v>
      </c>
      <c r="F59" s="21">
        <v>491.1327</v>
      </c>
      <c r="G59" s="21">
        <v>494.16590000000002</v>
      </c>
      <c r="H59" s="18">
        <f t="shared" ref="H59:H64" si="2">(G59-F59)*E59</f>
        <v>14559.360000000106</v>
      </c>
      <c r="I59" s="62"/>
      <c r="J59" s="59"/>
    </row>
    <row r="60" spans="1:10" ht="15.75" x14ac:dyDescent="0.25">
      <c r="A60" s="27" t="s">
        <v>80</v>
      </c>
      <c r="B60" s="183" t="s">
        <v>53</v>
      </c>
      <c r="C60" s="183">
        <v>51100997</v>
      </c>
      <c r="D60" s="183" t="s">
        <v>22</v>
      </c>
      <c r="E60" s="183">
        <v>3600</v>
      </c>
      <c r="F60" s="21">
        <v>1360.3027</v>
      </c>
      <c r="G60" s="21">
        <v>1364.1386</v>
      </c>
      <c r="H60" s="18">
        <f t="shared" si="2"/>
        <v>13809.240000000136</v>
      </c>
      <c r="I60" s="62"/>
      <c r="J60" s="59"/>
    </row>
    <row r="61" spans="1:10" ht="15.75" x14ac:dyDescent="0.25">
      <c r="A61" s="27" t="s">
        <v>81</v>
      </c>
      <c r="B61" s="183" t="s">
        <v>53</v>
      </c>
      <c r="C61" s="183">
        <v>51555218</v>
      </c>
      <c r="D61" s="183">
        <f>400/5</f>
        <v>80</v>
      </c>
      <c r="E61" s="183">
        <v>4800</v>
      </c>
      <c r="F61" s="21">
        <v>61.1342</v>
      </c>
      <c r="G61" s="21">
        <v>61.680900000000001</v>
      </c>
      <c r="H61" s="18">
        <f t="shared" si="2"/>
        <v>2624.1600000000062</v>
      </c>
      <c r="I61" s="62"/>
      <c r="J61" s="59"/>
    </row>
    <row r="62" spans="1:10" ht="15.75" x14ac:dyDescent="0.25">
      <c r="A62" s="27" t="s">
        <v>82</v>
      </c>
      <c r="B62" s="183" t="s">
        <v>53</v>
      </c>
      <c r="C62" s="183">
        <v>51555151</v>
      </c>
      <c r="D62" s="183">
        <f>400/5</f>
        <v>80</v>
      </c>
      <c r="E62" s="183">
        <v>4800</v>
      </c>
      <c r="F62" s="63">
        <v>0.30690000000000001</v>
      </c>
      <c r="G62" s="63">
        <v>0.30690000000000001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83" t="s">
        <v>53</v>
      </c>
      <c r="C63" s="183">
        <v>51097599</v>
      </c>
      <c r="D63" s="183" t="s">
        <v>22</v>
      </c>
      <c r="E63" s="183">
        <v>3600</v>
      </c>
      <c r="F63" s="21">
        <v>949.78660000000002</v>
      </c>
      <c r="G63" s="21">
        <v>951.95209999999997</v>
      </c>
      <c r="H63" s="18">
        <f t="shared" si="2"/>
        <v>7795.7999999998265</v>
      </c>
      <c r="I63" s="62"/>
      <c r="J63" s="59"/>
    </row>
    <row r="64" spans="1:10" ht="15.75" x14ac:dyDescent="0.25">
      <c r="A64" s="27" t="s">
        <v>84</v>
      </c>
      <c r="B64" s="183" t="s">
        <v>53</v>
      </c>
      <c r="C64" s="183">
        <v>51097620</v>
      </c>
      <c r="D64" s="183" t="s">
        <v>35</v>
      </c>
      <c r="E64" s="183">
        <v>4800</v>
      </c>
      <c r="F64" s="21">
        <v>497.35860000000002</v>
      </c>
      <c r="G64" s="21">
        <v>500.03890000000001</v>
      </c>
      <c r="H64" s="18">
        <f t="shared" si="2"/>
        <v>12865.439999999944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51654.000000000015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83" t="s">
        <v>53</v>
      </c>
      <c r="C67" s="9">
        <v>51259238</v>
      </c>
      <c r="D67" s="74" t="s">
        <v>54</v>
      </c>
      <c r="E67" s="74">
        <v>7000</v>
      </c>
      <c r="F67" s="75">
        <v>539.06439999999998</v>
      </c>
      <c r="G67" s="75">
        <v>541.85479999999995</v>
      </c>
      <c r="H67" s="76">
        <f>(G67-F67)*E67</f>
        <v>19532.799999999839</v>
      </c>
      <c r="I67" s="77"/>
      <c r="J67" s="78"/>
    </row>
    <row r="68" spans="1:10" ht="15.75" x14ac:dyDescent="0.25">
      <c r="A68" s="27" t="s">
        <v>87</v>
      </c>
      <c r="B68" s="183" t="s">
        <v>53</v>
      </c>
      <c r="C68" s="183">
        <v>51259324</v>
      </c>
      <c r="D68" s="184" t="s">
        <v>54</v>
      </c>
      <c r="E68" s="184">
        <v>7000</v>
      </c>
      <c r="F68" s="21">
        <v>420.0711</v>
      </c>
      <c r="G68" s="21">
        <v>422.27069999999998</v>
      </c>
      <c r="H68" s="18">
        <f>(G68-F68)*E68</f>
        <v>15397.199999999828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83">
        <v>51491618</v>
      </c>
      <c r="D69" s="184" t="s">
        <v>64</v>
      </c>
      <c r="E69" s="183">
        <v>40</v>
      </c>
      <c r="F69" s="28">
        <v>1182.4090000000001</v>
      </c>
      <c r="G69" s="28">
        <v>1193.748</v>
      </c>
      <c r="H69" s="18">
        <f>(G69-F69)*E69</f>
        <v>453.55999999999767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83">
        <v>51491624</v>
      </c>
      <c r="D70" s="184" t="s">
        <v>64</v>
      </c>
      <c r="E70" s="183">
        <v>40</v>
      </c>
      <c r="F70" s="28">
        <v>167.42449999999999</v>
      </c>
      <c r="G70" s="28">
        <v>168.2595</v>
      </c>
      <c r="H70" s="18">
        <f>(G70-F70)*E70</f>
        <v>33.400000000000318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34929.999999999665</v>
      </c>
      <c r="I71" s="85">
        <f>H71-H74-H69-H70</f>
        <v>55.84000000000492</v>
      </c>
      <c r="J71" s="25">
        <f>I71/H71</f>
        <v>1.5986258230748771E-3</v>
      </c>
    </row>
    <row r="72" spans="1:10" ht="15.75" x14ac:dyDescent="0.25">
      <c r="A72" s="27" t="s">
        <v>92</v>
      </c>
      <c r="B72" s="183" t="s">
        <v>53</v>
      </c>
      <c r="C72" s="86">
        <v>51097588</v>
      </c>
      <c r="D72" s="184" t="s">
        <v>76</v>
      </c>
      <c r="E72" s="183">
        <v>12000</v>
      </c>
      <c r="F72" s="21">
        <v>323.67250000000001</v>
      </c>
      <c r="G72" s="21">
        <v>325.26990000000001</v>
      </c>
      <c r="H72" s="18">
        <f>(G72-F72)*E72</f>
        <v>19168.799999999919</v>
      </c>
      <c r="I72" s="51"/>
      <c r="J72" s="58"/>
    </row>
    <row r="73" spans="1:10" ht="15.75" x14ac:dyDescent="0.25">
      <c r="A73" s="27" t="s">
        <v>93</v>
      </c>
      <c r="B73" s="183" t="s">
        <v>53</v>
      </c>
      <c r="C73" s="86">
        <v>51431335</v>
      </c>
      <c r="D73" s="184" t="s">
        <v>76</v>
      </c>
      <c r="E73" s="183">
        <v>12000</v>
      </c>
      <c r="F73" s="21">
        <v>257.06880000000001</v>
      </c>
      <c r="G73" s="21">
        <v>258.33699999999999</v>
      </c>
      <c r="H73" s="18">
        <f>(G73-F73)*E73</f>
        <v>15218.399999999747</v>
      </c>
      <c r="I73" s="51"/>
      <c r="J73" s="58"/>
    </row>
    <row r="74" spans="1:10" ht="15.75" x14ac:dyDescent="0.25">
      <c r="A74" s="87" t="s">
        <v>94</v>
      </c>
      <c r="B74" s="183" t="s">
        <v>28</v>
      </c>
      <c r="C74" s="183"/>
      <c r="D74" s="184"/>
      <c r="E74" s="183"/>
      <c r="F74" s="21"/>
      <c r="G74" s="21"/>
      <c r="H74" s="48">
        <f>H72+ H73</f>
        <v>34387.199999999662</v>
      </c>
      <c r="I74" s="85">
        <f>H74-H82</f>
        <v>-75.600000000449654</v>
      </c>
      <c r="J74" s="25">
        <f>I74/H74</f>
        <v>-2.1984924623246558E-3</v>
      </c>
    </row>
    <row r="75" spans="1:10" ht="15.75" x14ac:dyDescent="0.25">
      <c r="A75" s="27" t="s">
        <v>95</v>
      </c>
      <c r="B75" s="183" t="s">
        <v>53</v>
      </c>
      <c r="C75" s="86">
        <v>51097676</v>
      </c>
      <c r="D75" s="88" t="s">
        <v>64</v>
      </c>
      <c r="E75" s="183">
        <v>2400</v>
      </c>
      <c r="F75" s="21">
        <v>677.17340000000002</v>
      </c>
      <c r="G75" s="21">
        <v>680.82330000000002</v>
      </c>
      <c r="H75" s="18">
        <f>(G75-F75)*E75</f>
        <v>8759.7600000000057</v>
      </c>
      <c r="I75" s="51"/>
      <c r="J75" s="58"/>
    </row>
    <row r="76" spans="1:10" ht="15.75" x14ac:dyDescent="0.25">
      <c r="A76" s="27" t="s">
        <v>96</v>
      </c>
      <c r="B76" s="183" t="s">
        <v>53</v>
      </c>
      <c r="C76" s="86">
        <v>51431355</v>
      </c>
      <c r="D76" s="184" t="s">
        <v>22</v>
      </c>
      <c r="E76" s="184">
        <v>3600</v>
      </c>
      <c r="F76" s="21">
        <v>357.15600000000001</v>
      </c>
      <c r="G76" s="21">
        <v>358.61130000000003</v>
      </c>
      <c r="H76" s="18">
        <f>(G76-F76)*E76</f>
        <v>5239.0800000000809</v>
      </c>
      <c r="I76" s="51"/>
      <c r="J76" s="52"/>
    </row>
    <row r="77" spans="1:10" ht="15.75" x14ac:dyDescent="0.25">
      <c r="A77" s="27" t="s">
        <v>97</v>
      </c>
      <c r="B77" s="183" t="s">
        <v>53</v>
      </c>
      <c r="C77" s="86">
        <v>51259331</v>
      </c>
      <c r="D77" s="88" t="s">
        <v>38</v>
      </c>
      <c r="E77" s="183">
        <v>600</v>
      </c>
      <c r="F77" s="21">
        <v>159.12629999999999</v>
      </c>
      <c r="G77" s="21">
        <v>160.0061</v>
      </c>
      <c r="H77" s="18">
        <f>(G77-F77)*E77</f>
        <v>527.88000000001034</v>
      </c>
      <c r="I77" s="51"/>
      <c r="J77" s="52"/>
    </row>
    <row r="78" spans="1:10" ht="15.75" x14ac:dyDescent="0.25">
      <c r="A78" s="27" t="s">
        <v>98</v>
      </c>
      <c r="B78" s="183" t="s">
        <v>53</v>
      </c>
      <c r="C78" s="86">
        <v>51259326</v>
      </c>
      <c r="D78" s="88" t="s">
        <v>15</v>
      </c>
      <c r="E78" s="183">
        <v>7200</v>
      </c>
      <c r="F78" s="21">
        <v>322.29759999999999</v>
      </c>
      <c r="G78" s="21">
        <v>323.75299999999999</v>
      </c>
      <c r="H78" s="18">
        <f>(G78-F78)*E78</f>
        <v>10478.879999999981</v>
      </c>
      <c r="I78" s="51"/>
      <c r="J78" s="52"/>
    </row>
    <row r="79" spans="1:10" ht="15.75" x14ac:dyDescent="0.25">
      <c r="A79" s="27" t="s">
        <v>99</v>
      </c>
      <c r="B79" s="183" t="s">
        <v>53</v>
      </c>
      <c r="C79" s="86">
        <v>51431351</v>
      </c>
      <c r="D79" s="88" t="s">
        <v>15</v>
      </c>
      <c r="E79" s="183">
        <v>7200</v>
      </c>
      <c r="F79" s="21">
        <v>229.85980000000001</v>
      </c>
      <c r="G79" s="21">
        <v>231.17330000000001</v>
      </c>
      <c r="H79" s="18">
        <f>(G79-F79)*E79</f>
        <v>9457.2000000000335</v>
      </c>
      <c r="I79" s="51"/>
      <c r="J79" s="52"/>
    </row>
    <row r="80" spans="1:10" ht="15.75" x14ac:dyDescent="0.25">
      <c r="A80" s="89" t="s">
        <v>100</v>
      </c>
      <c r="B80" s="183" t="s">
        <v>53</v>
      </c>
      <c r="C80" s="90">
        <v>51097666</v>
      </c>
      <c r="D80" s="88" t="s">
        <v>64</v>
      </c>
      <c r="E80" s="183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83" t="s">
        <v>53</v>
      </c>
      <c r="C81" s="90">
        <v>51259323</v>
      </c>
      <c r="D81" s="88" t="s">
        <v>64</v>
      </c>
      <c r="E81" s="183">
        <v>2400</v>
      </c>
      <c r="F81" s="31">
        <v>7.6399999999999996E-2</v>
      </c>
      <c r="G81" s="31">
        <v>7.6399999999999996E-2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34462.800000000112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83" t="s">
        <v>53</v>
      </c>
      <c r="C84" s="106">
        <v>51431297</v>
      </c>
      <c r="D84" s="184" t="s">
        <v>54</v>
      </c>
      <c r="E84" s="100">
        <v>7000</v>
      </c>
      <c r="F84" s="17">
        <v>262.66430000000003</v>
      </c>
      <c r="G84" s="17">
        <v>265.22789999999998</v>
      </c>
      <c r="H84" s="18">
        <f>(G84-F84)*E84</f>
        <v>17945.199999999659</v>
      </c>
      <c r="I84" s="107"/>
      <c r="J84" s="108"/>
    </row>
    <row r="85" spans="1:10" ht="15.75" x14ac:dyDescent="0.25">
      <c r="A85" s="105" t="s">
        <v>87</v>
      </c>
      <c r="B85" s="183" t="s">
        <v>53</v>
      </c>
      <c r="C85" s="106">
        <v>51431332</v>
      </c>
      <c r="D85" s="184" t="s">
        <v>54</v>
      </c>
      <c r="E85" s="100">
        <v>7000</v>
      </c>
      <c r="F85" s="21">
        <v>356.63470000000001</v>
      </c>
      <c r="G85" s="21">
        <v>356.77629999999999</v>
      </c>
      <c r="H85" s="18">
        <f>(G85-F85)*E85</f>
        <v>991.1999999998784</v>
      </c>
      <c r="I85" s="183"/>
      <c r="J85" s="58"/>
    </row>
    <row r="86" spans="1:10" ht="15.75" x14ac:dyDescent="0.25">
      <c r="A86" s="27" t="s">
        <v>88</v>
      </c>
      <c r="B86" s="183" t="s">
        <v>104</v>
      </c>
      <c r="C86" s="109">
        <v>150773</v>
      </c>
      <c r="D86" s="184" t="s">
        <v>54</v>
      </c>
      <c r="E86" s="109">
        <v>20</v>
      </c>
      <c r="F86" s="17">
        <v>15620.9</v>
      </c>
      <c r="G86" s="17">
        <v>15629.1</v>
      </c>
      <c r="H86" s="18">
        <f>(G86-F86)*E86</f>
        <v>164.00000000001455</v>
      </c>
      <c r="I86" s="51"/>
      <c r="J86" s="58"/>
    </row>
    <row r="87" spans="1:10" ht="15.75" x14ac:dyDescent="0.25">
      <c r="A87" s="27" t="s">
        <v>90</v>
      </c>
      <c r="B87" s="183" t="s">
        <v>104</v>
      </c>
      <c r="C87" s="109">
        <v>150791</v>
      </c>
      <c r="D87" s="184" t="s">
        <v>54</v>
      </c>
      <c r="E87" s="109">
        <v>20</v>
      </c>
      <c r="F87" s="21">
        <v>231.7</v>
      </c>
      <c r="G87" s="21">
        <v>231.7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85"/>
      <c r="C88" s="32"/>
      <c r="D88" s="82"/>
      <c r="E88" s="82"/>
      <c r="F88" s="21"/>
      <c r="G88" s="21"/>
      <c r="H88" s="48">
        <f>H84+H85</f>
        <v>18936.399999999536</v>
      </c>
      <c r="I88" s="85">
        <f>H88-H91-H86-H87</f>
        <v>384.07999999931781</v>
      </c>
      <c r="J88" s="25">
        <f>I88/H88</f>
        <v>2.028263027815885E-2</v>
      </c>
    </row>
    <row r="89" spans="1:10" ht="15.75" x14ac:dyDescent="0.25">
      <c r="A89" s="27" t="s">
        <v>105</v>
      </c>
      <c r="B89" s="183" t="s">
        <v>53</v>
      </c>
      <c r="C89" s="106">
        <v>51431342</v>
      </c>
      <c r="D89" s="88" t="s">
        <v>35</v>
      </c>
      <c r="E89" s="183">
        <v>4800</v>
      </c>
      <c r="F89" s="21">
        <v>372.53800000000001</v>
      </c>
      <c r="G89" s="21">
        <v>376.2364</v>
      </c>
      <c r="H89" s="18">
        <f>(G89-F89)*E89</f>
        <v>17752.319999999963</v>
      </c>
      <c r="I89" s="51"/>
      <c r="J89" s="52"/>
    </row>
    <row r="90" spans="1:10" ht="15.75" x14ac:dyDescent="0.25">
      <c r="A90" s="27" t="s">
        <v>106</v>
      </c>
      <c r="B90" s="183" t="s">
        <v>53</v>
      </c>
      <c r="C90" s="106">
        <v>51431343</v>
      </c>
      <c r="D90" s="88" t="s">
        <v>35</v>
      </c>
      <c r="E90" s="183">
        <v>4800</v>
      </c>
      <c r="F90" s="21">
        <v>504.25009999999997</v>
      </c>
      <c r="G90" s="21">
        <v>504.38260000000002</v>
      </c>
      <c r="H90" s="18">
        <f>(G90-F90)*E90</f>
        <v>636.00000000024011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18388.320000000203</v>
      </c>
      <c r="I91" s="85">
        <f>H91-H99</f>
        <v>-115.09999999974389</v>
      </c>
      <c r="J91" s="25">
        <f>I91/H91</f>
        <v>-6.259408146026533E-3</v>
      </c>
    </row>
    <row r="92" spans="1:10" ht="15.75" x14ac:dyDescent="0.25">
      <c r="A92" s="27" t="s">
        <v>108</v>
      </c>
      <c r="B92" s="183" t="s">
        <v>53</v>
      </c>
      <c r="C92" s="106">
        <v>51431347</v>
      </c>
      <c r="D92" s="184" t="s">
        <v>54</v>
      </c>
      <c r="E92" s="183">
        <v>1200</v>
      </c>
      <c r="F92" s="21">
        <v>1202.1474000000001</v>
      </c>
      <c r="G92" s="21">
        <v>1202.1474000000001</v>
      </c>
      <c r="H92" s="18">
        <f>(G92-F92)*E92</f>
        <v>0</v>
      </c>
      <c r="I92" s="51"/>
      <c r="J92" s="52"/>
    </row>
    <row r="93" spans="1:10" ht="15.75" x14ac:dyDescent="0.25">
      <c r="A93" s="27" t="s">
        <v>109</v>
      </c>
      <c r="B93" s="183" t="s">
        <v>53</v>
      </c>
      <c r="C93" s="106">
        <v>51431339</v>
      </c>
      <c r="D93" s="184" t="s">
        <v>54</v>
      </c>
      <c r="E93" s="183">
        <v>1200</v>
      </c>
      <c r="F93" s="21"/>
      <c r="G93" s="21"/>
      <c r="H93" s="18">
        <f t="shared" ref="H93:H100" si="4">(G93-F93)*E93</f>
        <v>0</v>
      </c>
      <c r="I93" s="51"/>
      <c r="J93" s="52"/>
    </row>
    <row r="94" spans="1:10" ht="15.75" x14ac:dyDescent="0.25">
      <c r="A94" s="27" t="s">
        <v>110</v>
      </c>
      <c r="B94" s="183" t="s">
        <v>53</v>
      </c>
      <c r="C94" s="106">
        <v>51217244</v>
      </c>
      <c r="D94" s="183" t="s">
        <v>38</v>
      </c>
      <c r="E94" s="183">
        <v>600</v>
      </c>
      <c r="F94" s="30">
        <v>326.4665</v>
      </c>
      <c r="G94" s="30">
        <v>327.41030000000001</v>
      </c>
      <c r="H94" s="18">
        <f t="shared" si="4"/>
        <v>566.28000000000611</v>
      </c>
      <c r="I94" s="51"/>
      <c r="J94" s="52"/>
    </row>
    <row r="95" spans="1:10" ht="15.75" x14ac:dyDescent="0.25">
      <c r="A95" s="27" t="s">
        <v>111</v>
      </c>
      <c r="B95" s="183" t="s">
        <v>53</v>
      </c>
      <c r="C95" s="106">
        <v>51217267</v>
      </c>
      <c r="D95" s="88" t="s">
        <v>64</v>
      </c>
      <c r="E95" s="183">
        <v>2400</v>
      </c>
      <c r="F95" s="30">
        <v>20.077200000000001</v>
      </c>
      <c r="G95" s="30">
        <v>20.1083</v>
      </c>
      <c r="H95" s="18">
        <f t="shared" si="4"/>
        <v>74.639999999996576</v>
      </c>
      <c r="I95" s="51"/>
      <c r="J95" s="52"/>
    </row>
    <row r="96" spans="1:10" ht="15.75" x14ac:dyDescent="0.25">
      <c r="A96" s="27" t="s">
        <v>112</v>
      </c>
      <c r="B96" s="183" t="s">
        <v>53</v>
      </c>
      <c r="C96" s="183">
        <v>51555165</v>
      </c>
      <c r="D96" s="184" t="s">
        <v>54</v>
      </c>
      <c r="E96" s="183">
        <v>1200</v>
      </c>
      <c r="F96" s="30">
        <v>787.83450000000005</v>
      </c>
      <c r="G96" s="30">
        <v>796.50419999999997</v>
      </c>
      <c r="H96" s="18">
        <f t="shared" si="4"/>
        <v>10403.639999999905</v>
      </c>
      <c r="I96" s="51" t="s">
        <v>28</v>
      </c>
      <c r="J96" s="52"/>
    </row>
    <row r="97" spans="1:10" ht="15.75" x14ac:dyDescent="0.25">
      <c r="A97" s="113" t="s">
        <v>113</v>
      </c>
      <c r="B97" s="183" t="s">
        <v>53</v>
      </c>
      <c r="C97" s="106">
        <v>51431346</v>
      </c>
      <c r="D97" s="114" t="s">
        <v>38</v>
      </c>
      <c r="E97" s="114">
        <v>600</v>
      </c>
      <c r="F97" s="30">
        <v>337.59309999999999</v>
      </c>
      <c r="G97" s="30">
        <v>339.697</v>
      </c>
      <c r="H97" s="115">
        <f t="shared" si="4"/>
        <v>1262.3400000000061</v>
      </c>
      <c r="I97" s="116"/>
      <c r="J97" s="117"/>
    </row>
    <row r="98" spans="1:10" ht="15.75" x14ac:dyDescent="0.25">
      <c r="A98" s="27" t="s">
        <v>114</v>
      </c>
      <c r="B98" s="183" t="s">
        <v>53</v>
      </c>
      <c r="C98" s="106">
        <v>51431352</v>
      </c>
      <c r="D98" s="88" t="s">
        <v>22</v>
      </c>
      <c r="E98" s="183">
        <v>3600</v>
      </c>
      <c r="F98" s="21">
        <v>218.3373</v>
      </c>
      <c r="G98" s="21">
        <v>220.01300000000001</v>
      </c>
      <c r="H98" s="18">
        <f t="shared" si="4"/>
        <v>6032.5200000000223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18503.419999999947</v>
      </c>
      <c r="I99" s="51"/>
      <c r="J99" s="52"/>
    </row>
    <row r="100" spans="1:10" ht="15.75" x14ac:dyDescent="0.25">
      <c r="A100" s="45" t="s">
        <v>115</v>
      </c>
      <c r="B100" s="183" t="s">
        <v>53</v>
      </c>
      <c r="C100" s="120">
        <v>51431357</v>
      </c>
      <c r="D100" s="184" t="s">
        <v>64</v>
      </c>
      <c r="E100" s="184">
        <v>14000</v>
      </c>
      <c r="F100" s="28">
        <v>818.42319999999995</v>
      </c>
      <c r="G100" s="28">
        <v>821.16369999999995</v>
      </c>
      <c r="H100" s="121">
        <f t="shared" si="4"/>
        <v>38366.999999999964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E1" workbookViewId="0">
      <selection activeCell="C25" sqref="C25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138</v>
      </c>
      <c r="G3" s="4" t="s">
        <v>139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86" t="s">
        <v>14</v>
      </c>
      <c r="C5" s="186">
        <v>51555166</v>
      </c>
      <c r="D5" s="186" t="s">
        <v>15</v>
      </c>
      <c r="E5" s="186">
        <v>132000</v>
      </c>
      <c r="F5" s="17">
        <v>3.5244</v>
      </c>
      <c r="G5" s="17">
        <v>3.5312999999999999</v>
      </c>
      <c r="H5" s="18">
        <f>(G5-F5)*E5</f>
        <v>910.79999999998768</v>
      </c>
      <c r="I5" s="19"/>
      <c r="J5" s="20"/>
    </row>
    <row r="6" spans="1:10" ht="15.75" x14ac:dyDescent="0.25">
      <c r="A6" s="15" t="s">
        <v>16</v>
      </c>
      <c r="B6" s="186" t="s">
        <v>14</v>
      </c>
      <c r="C6" s="186">
        <v>51555191</v>
      </c>
      <c r="D6" s="186" t="s">
        <v>15</v>
      </c>
      <c r="E6" s="186">
        <v>132000</v>
      </c>
      <c r="F6" s="21">
        <v>359.78359999999998</v>
      </c>
      <c r="G6" s="21">
        <v>361.8648</v>
      </c>
      <c r="H6" s="18">
        <f>(G6-F6)*E6</f>
        <v>274718.40000000317</v>
      </c>
      <c r="I6" s="19"/>
      <c r="J6" s="20"/>
    </row>
    <row r="7" spans="1:10" ht="15.75" x14ac:dyDescent="0.25">
      <c r="A7" s="207" t="s">
        <v>17</v>
      </c>
      <c r="B7" s="208"/>
      <c r="C7" s="186"/>
      <c r="D7" s="187"/>
      <c r="E7" s="186"/>
      <c r="H7" s="23">
        <f>H5+H6</f>
        <v>275629.20000000315</v>
      </c>
      <c r="I7" s="24">
        <f>H7-H10-H20</f>
        <v>1776.6000000092172</v>
      </c>
      <c r="J7" s="25">
        <f>I7/H7</f>
        <v>6.4456160668361585E-3</v>
      </c>
    </row>
    <row r="8" spans="1:10" ht="15.75" x14ac:dyDescent="0.25">
      <c r="A8" s="26" t="s">
        <v>18</v>
      </c>
      <c r="B8" s="186" t="s">
        <v>14</v>
      </c>
      <c r="C8" s="186">
        <v>51097629</v>
      </c>
      <c r="D8" s="187" t="s">
        <v>15</v>
      </c>
      <c r="E8" s="186">
        <v>42000</v>
      </c>
      <c r="F8" s="21">
        <v>1077.6744000000001</v>
      </c>
      <c r="G8" s="21">
        <v>1082.3878999999999</v>
      </c>
      <c r="H8" s="18">
        <f>(G8-F8)*E8</f>
        <v>197966.99999999328</v>
      </c>
      <c r="I8" s="19"/>
      <c r="J8" s="20"/>
    </row>
    <row r="9" spans="1:10" ht="15.75" x14ac:dyDescent="0.25">
      <c r="A9" s="26" t="s">
        <v>19</v>
      </c>
      <c r="B9" s="186" t="s">
        <v>14</v>
      </c>
      <c r="C9" s="186">
        <v>51616820</v>
      </c>
      <c r="D9" s="187" t="s">
        <v>15</v>
      </c>
      <c r="E9" s="186">
        <v>42000</v>
      </c>
      <c r="F9" s="21">
        <v>6.2160000000000002</v>
      </c>
      <c r="G9" s="21">
        <v>6.2354000000000003</v>
      </c>
      <c r="H9" s="18">
        <f>(G9-F9)*E9</f>
        <v>814.80000000000348</v>
      </c>
      <c r="I9" s="19"/>
      <c r="J9" s="20"/>
    </row>
    <row r="10" spans="1:10" ht="15.75" x14ac:dyDescent="0.25">
      <c r="A10" s="207" t="s">
        <v>20</v>
      </c>
      <c r="B10" s="208"/>
      <c r="C10" s="186"/>
      <c r="D10" s="187"/>
      <c r="E10" s="186"/>
      <c r="F10" s="21"/>
      <c r="G10" s="21"/>
      <c r="H10" s="23">
        <f>H8+H9</f>
        <v>198781.79999999329</v>
      </c>
      <c r="I10" s="24">
        <f>H10-H17</f>
        <v>-33.600000005943002</v>
      </c>
      <c r="J10" s="25">
        <f>I10/H10</f>
        <v>-1.6902955907404065E-4</v>
      </c>
    </row>
    <row r="11" spans="1:10" ht="15.75" x14ac:dyDescent="0.25">
      <c r="A11" s="27" t="s">
        <v>21</v>
      </c>
      <c r="B11" s="186" t="s">
        <v>14</v>
      </c>
      <c r="C11" s="186">
        <v>51217286</v>
      </c>
      <c r="D11" s="187" t="s">
        <v>22</v>
      </c>
      <c r="E11" s="186">
        <v>21000</v>
      </c>
      <c r="F11" s="21">
        <v>852.05020000000002</v>
      </c>
      <c r="G11" s="21">
        <v>855.24130000000002</v>
      </c>
      <c r="H11" s="18">
        <f t="shared" ref="H11:H16" si="0">(G11-F11)*E11</f>
        <v>67013.100000000122</v>
      </c>
      <c r="I11" s="19"/>
      <c r="J11" s="20"/>
    </row>
    <row r="12" spans="1:10" ht="15.75" x14ac:dyDescent="0.25">
      <c r="A12" s="27" t="s">
        <v>23</v>
      </c>
      <c r="B12" s="186" t="s">
        <v>14</v>
      </c>
      <c r="C12" s="186">
        <v>51217292</v>
      </c>
      <c r="D12" s="187" t="s">
        <v>22</v>
      </c>
      <c r="E12" s="186">
        <v>21000</v>
      </c>
      <c r="F12" s="28">
        <v>3.7696999999999998</v>
      </c>
      <c r="G12" s="28">
        <v>3.7942</v>
      </c>
      <c r="H12" s="18">
        <f>(G12-F12)*E12</f>
        <v>514.50000000000398</v>
      </c>
      <c r="I12" s="19"/>
      <c r="J12" s="20"/>
    </row>
    <row r="13" spans="1:10" ht="15.75" x14ac:dyDescent="0.25">
      <c r="A13" s="27" t="s">
        <v>24</v>
      </c>
      <c r="B13" s="186" t="s">
        <v>14</v>
      </c>
      <c r="C13" s="186">
        <v>51217271</v>
      </c>
      <c r="D13" s="187" t="s">
        <v>22</v>
      </c>
      <c r="E13" s="186">
        <v>21000</v>
      </c>
      <c r="F13" s="21">
        <v>626.50620000000004</v>
      </c>
      <c r="G13" s="21">
        <v>629.78510000000006</v>
      </c>
      <c r="H13" s="18">
        <f t="shared" si="0"/>
        <v>68856.900000000445</v>
      </c>
      <c r="I13" s="19"/>
      <c r="J13" s="20"/>
    </row>
    <row r="14" spans="1:10" ht="15.75" x14ac:dyDescent="0.25">
      <c r="A14" s="27" t="s">
        <v>25</v>
      </c>
      <c r="B14" s="186" t="s">
        <v>14</v>
      </c>
      <c r="C14" s="186">
        <v>51217276</v>
      </c>
      <c r="D14" s="187" t="s">
        <v>22</v>
      </c>
      <c r="E14" s="186">
        <v>21000</v>
      </c>
      <c r="F14" s="28">
        <v>0.56130000000000002</v>
      </c>
      <c r="G14" s="28">
        <v>0.56210000000000004</v>
      </c>
      <c r="H14" s="18">
        <f>(G14-F14)*E14</f>
        <v>16.80000000000048</v>
      </c>
      <c r="I14" s="19"/>
      <c r="J14" s="20"/>
    </row>
    <row r="15" spans="1:10" ht="15.75" x14ac:dyDescent="0.25">
      <c r="A15" s="27" t="s">
        <v>26</v>
      </c>
      <c r="B15" s="186" t="s">
        <v>14</v>
      </c>
      <c r="C15" s="186">
        <v>51100990</v>
      </c>
      <c r="D15" s="187" t="s">
        <v>22</v>
      </c>
      <c r="E15" s="186">
        <v>21000</v>
      </c>
      <c r="F15" s="29">
        <v>683.80820000000006</v>
      </c>
      <c r="G15" s="29">
        <v>686.76859999999999</v>
      </c>
      <c r="H15" s="18">
        <f t="shared" si="0"/>
        <v>62168.399999998655</v>
      </c>
      <c r="I15" s="19"/>
      <c r="J15" s="20"/>
    </row>
    <row r="16" spans="1:10" ht="15.75" x14ac:dyDescent="0.25">
      <c r="A16" s="27" t="s">
        <v>27</v>
      </c>
      <c r="B16" s="186" t="s">
        <v>14</v>
      </c>
      <c r="C16" s="186">
        <v>51097622</v>
      </c>
      <c r="D16" s="187" t="s">
        <v>22</v>
      </c>
      <c r="E16" s="186">
        <v>21000</v>
      </c>
      <c r="F16" s="21">
        <v>3.6162999999999998</v>
      </c>
      <c r="G16" s="21">
        <v>3.6280000000000001</v>
      </c>
      <c r="H16" s="18">
        <f t="shared" si="0"/>
        <v>245.70000000000559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86"/>
      <c r="D17" s="187"/>
      <c r="E17" s="186"/>
      <c r="F17" s="21"/>
      <c r="G17" s="21"/>
      <c r="H17" s="23">
        <f>H11+H12+H13+H14+H15+H16</f>
        <v>198815.39999999924</v>
      </c>
      <c r="I17" s="19"/>
      <c r="J17" s="20"/>
    </row>
    <row r="18" spans="1:10" ht="15.75" x14ac:dyDescent="0.25">
      <c r="A18" s="26" t="s">
        <v>30</v>
      </c>
      <c r="B18" s="186" t="s">
        <v>14</v>
      </c>
      <c r="C18" s="186">
        <v>51097617</v>
      </c>
      <c r="D18" s="187" t="s">
        <v>31</v>
      </c>
      <c r="E18" s="186">
        <v>18000</v>
      </c>
      <c r="F18" s="30">
        <v>827.81119999999999</v>
      </c>
      <c r="G18" s="30">
        <v>831.98180000000002</v>
      </c>
      <c r="H18" s="18">
        <f>(G18-F18)*E18</f>
        <v>75070.800000000643</v>
      </c>
      <c r="I18" s="19"/>
      <c r="J18" s="20"/>
    </row>
    <row r="19" spans="1:10" ht="15.75" x14ac:dyDescent="0.25">
      <c r="A19" s="26" t="s">
        <v>32</v>
      </c>
      <c r="B19" s="186" t="s">
        <v>14</v>
      </c>
      <c r="C19" s="186">
        <v>51097655</v>
      </c>
      <c r="D19" s="187" t="s">
        <v>31</v>
      </c>
      <c r="E19" s="186">
        <v>18000</v>
      </c>
      <c r="F19" s="30">
        <v>8.2071000000000005</v>
      </c>
      <c r="G19" s="30">
        <v>8.2071000000000005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86"/>
      <c r="D20" s="187"/>
      <c r="E20" s="186"/>
      <c r="F20" s="30"/>
      <c r="G20" s="30"/>
      <c r="H20" s="23">
        <f>H18+H19</f>
        <v>75070.800000000643</v>
      </c>
      <c r="I20" s="24">
        <f>H20-H35</f>
        <v>1876.9200000013807</v>
      </c>
      <c r="J20" s="25">
        <f>I20/H20</f>
        <v>2.500199811379877E-2</v>
      </c>
    </row>
    <row r="21" spans="1:10" ht="15.75" x14ac:dyDescent="0.25">
      <c r="A21" s="15" t="s">
        <v>34</v>
      </c>
      <c r="B21" s="186" t="s">
        <v>14</v>
      </c>
      <c r="C21" s="186">
        <v>51217282</v>
      </c>
      <c r="D21" s="187" t="s">
        <v>35</v>
      </c>
      <c r="E21" s="186">
        <v>4800</v>
      </c>
      <c r="F21" s="21">
        <v>380.69510000000002</v>
      </c>
      <c r="G21" s="21">
        <v>381.0129</v>
      </c>
      <c r="H21" s="18">
        <f t="shared" ref="H21:H34" si="1">(G21-F21)*E21</f>
        <v>1525.4399999998896</v>
      </c>
      <c r="I21" s="19" t="s">
        <v>28</v>
      </c>
      <c r="J21" s="20"/>
    </row>
    <row r="22" spans="1:10" ht="15.75" x14ac:dyDescent="0.25">
      <c r="A22" s="15" t="s">
        <v>36</v>
      </c>
      <c r="B22" s="186" t="s">
        <v>14</v>
      </c>
      <c r="C22" s="186">
        <v>51217274</v>
      </c>
      <c r="D22" s="187" t="s">
        <v>35</v>
      </c>
      <c r="E22" s="186">
        <v>4800</v>
      </c>
      <c r="F22" s="21">
        <v>1299.2407000000001</v>
      </c>
      <c r="G22" s="21">
        <v>1304.9096999999999</v>
      </c>
      <c r="H22" s="18">
        <f t="shared" si="1"/>
        <v>27211.199999999371</v>
      </c>
      <c r="I22" s="19"/>
      <c r="J22" s="20"/>
    </row>
    <row r="23" spans="1:10" ht="15.75" x14ac:dyDescent="0.25">
      <c r="A23" s="15" t="s">
        <v>37</v>
      </c>
      <c r="B23" s="186" t="s">
        <v>14</v>
      </c>
      <c r="C23" s="186">
        <v>51097664</v>
      </c>
      <c r="D23" s="187" t="s">
        <v>38</v>
      </c>
      <c r="E23" s="186">
        <v>600</v>
      </c>
      <c r="F23" s="21">
        <v>4.4409999999999998</v>
      </c>
      <c r="G23" s="21">
        <v>4.4409999999999998</v>
      </c>
      <c r="H23" s="18">
        <f t="shared" si="1"/>
        <v>0</v>
      </c>
      <c r="I23" s="19"/>
      <c r="J23" s="20"/>
    </row>
    <row r="24" spans="1:10" ht="15.75" x14ac:dyDescent="0.25">
      <c r="A24" s="15" t="s">
        <v>39</v>
      </c>
      <c r="B24" s="186" t="s">
        <v>14</v>
      </c>
      <c r="C24" s="186">
        <v>51097615</v>
      </c>
      <c r="D24" s="187" t="s">
        <v>38</v>
      </c>
      <c r="E24" s="186">
        <v>600</v>
      </c>
      <c r="F24" s="21">
        <v>41.729199999999999</v>
      </c>
      <c r="G24" s="21">
        <v>42.022500000000001</v>
      </c>
      <c r="H24" s="18">
        <f t="shared" si="1"/>
        <v>175.98000000000127</v>
      </c>
      <c r="I24" s="19"/>
      <c r="J24" s="20"/>
    </row>
    <row r="25" spans="1:10" ht="15.75" x14ac:dyDescent="0.25">
      <c r="A25" s="15" t="s">
        <v>40</v>
      </c>
      <c r="B25" s="186" t="s">
        <v>14</v>
      </c>
      <c r="C25" s="186">
        <v>51217264</v>
      </c>
      <c r="D25" s="187" t="s">
        <v>38</v>
      </c>
      <c r="E25" s="186">
        <v>600</v>
      </c>
      <c r="F25" s="21">
        <v>98.117900000000006</v>
      </c>
      <c r="G25" s="21">
        <v>98.811800000000005</v>
      </c>
      <c r="H25" s="18">
        <f t="shared" si="1"/>
        <v>416.33999999999958</v>
      </c>
      <c r="I25" s="19"/>
      <c r="J25" s="20"/>
    </row>
    <row r="26" spans="1:10" ht="15.75" x14ac:dyDescent="0.25">
      <c r="A26" s="15" t="s">
        <v>41</v>
      </c>
      <c r="B26" s="186" t="s">
        <v>14</v>
      </c>
      <c r="C26" s="186">
        <v>51217288</v>
      </c>
      <c r="D26" s="187" t="s">
        <v>38</v>
      </c>
      <c r="E26" s="186">
        <v>600</v>
      </c>
      <c r="F26" s="21">
        <v>20.208400000000001</v>
      </c>
      <c r="G26" s="21">
        <v>20.238900000000001</v>
      </c>
      <c r="H26" s="18">
        <f t="shared" si="1"/>
        <v>18.299999999999983</v>
      </c>
      <c r="I26" s="19" t="s">
        <v>28</v>
      </c>
      <c r="J26" s="20"/>
    </row>
    <row r="27" spans="1:10" ht="15.75" x14ac:dyDescent="0.25">
      <c r="A27" s="15" t="s">
        <v>42</v>
      </c>
      <c r="B27" s="186" t="s">
        <v>14</v>
      </c>
      <c r="C27" s="186">
        <v>51217279</v>
      </c>
      <c r="D27" s="187" t="s">
        <v>38</v>
      </c>
      <c r="E27" s="186">
        <v>600</v>
      </c>
      <c r="F27" s="21">
        <v>14.835900000000001</v>
      </c>
      <c r="G27" s="21">
        <v>14.8894</v>
      </c>
      <c r="H27" s="18">
        <f t="shared" si="1"/>
        <v>32.099999999999795</v>
      </c>
      <c r="I27" s="19" t="s">
        <v>28</v>
      </c>
      <c r="J27" s="20"/>
    </row>
    <row r="28" spans="1:10" ht="15.75" x14ac:dyDescent="0.25">
      <c r="A28" s="15" t="s">
        <v>43</v>
      </c>
      <c r="B28" s="186" t="s">
        <v>14</v>
      </c>
      <c r="C28" s="186">
        <v>51217272</v>
      </c>
      <c r="D28" s="187" t="s">
        <v>38</v>
      </c>
      <c r="E28" s="186">
        <v>600</v>
      </c>
      <c r="F28" s="31">
        <v>14.5518</v>
      </c>
      <c r="G28" s="31">
        <v>14.604200000000001</v>
      </c>
      <c r="H28" s="18">
        <f t="shared" si="1"/>
        <v>31.440000000000268</v>
      </c>
      <c r="I28" s="19"/>
      <c r="J28" s="20"/>
    </row>
    <row r="29" spans="1:10" ht="15.75" x14ac:dyDescent="0.25">
      <c r="A29" s="15" t="s">
        <v>44</v>
      </c>
      <c r="B29" s="186" t="s">
        <v>14</v>
      </c>
      <c r="C29" s="186">
        <v>51616744</v>
      </c>
      <c r="D29" s="187">
        <f>300/5</f>
        <v>60</v>
      </c>
      <c r="E29" s="186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86" t="s">
        <v>14</v>
      </c>
      <c r="C30" s="186">
        <v>51555226</v>
      </c>
      <c r="D30" s="187">
        <f>300/5</f>
        <v>60</v>
      </c>
      <c r="E30" s="186">
        <v>3600</v>
      </c>
      <c r="F30" s="31">
        <v>483.43180000000001</v>
      </c>
      <c r="G30" s="31">
        <v>487.57429999999999</v>
      </c>
      <c r="H30" s="18">
        <f>(G30-F30)*E30</f>
        <v>14912.999999999942</v>
      </c>
      <c r="I30" s="19"/>
      <c r="J30" s="20"/>
    </row>
    <row r="31" spans="1:10" ht="15.75" x14ac:dyDescent="0.25">
      <c r="A31" s="15" t="s">
        <v>46</v>
      </c>
      <c r="B31" s="186" t="s">
        <v>14</v>
      </c>
      <c r="C31" s="186">
        <v>51097658</v>
      </c>
      <c r="D31" s="187" t="s">
        <v>35</v>
      </c>
      <c r="E31" s="186">
        <v>4800</v>
      </c>
      <c r="F31" s="31">
        <v>639.09640000000002</v>
      </c>
      <c r="G31" s="31">
        <v>642.79660000000001</v>
      </c>
      <c r="H31" s="18">
        <f t="shared" si="1"/>
        <v>17760.959999999977</v>
      </c>
      <c r="I31" s="19"/>
      <c r="J31" s="20"/>
    </row>
    <row r="32" spans="1:10" ht="15.75" x14ac:dyDescent="0.25">
      <c r="A32" s="15" t="s">
        <v>47</v>
      </c>
      <c r="B32" s="186" t="s">
        <v>14</v>
      </c>
      <c r="C32" s="186">
        <v>51097635</v>
      </c>
      <c r="D32" s="187" t="s">
        <v>35</v>
      </c>
      <c r="E32" s="186">
        <v>4800</v>
      </c>
      <c r="F32" s="31">
        <v>48.461199999999998</v>
      </c>
      <c r="G32" s="31">
        <v>48.461599999999997</v>
      </c>
      <c r="H32" s="18">
        <f t="shared" si="1"/>
        <v>1.9199999999955253</v>
      </c>
      <c r="I32" s="19"/>
      <c r="J32" s="20"/>
    </row>
    <row r="33" spans="1:10" ht="15.75" x14ac:dyDescent="0.25">
      <c r="A33" s="15" t="s">
        <v>48</v>
      </c>
      <c r="B33" s="186" t="s">
        <v>14</v>
      </c>
      <c r="C33" s="32">
        <v>51097633</v>
      </c>
      <c r="D33" s="187" t="s">
        <v>35</v>
      </c>
      <c r="E33" s="186">
        <v>4800</v>
      </c>
      <c r="F33" s="31">
        <v>162.75729999999999</v>
      </c>
      <c r="G33" s="31">
        <v>165.01730000000001</v>
      </c>
      <c r="H33" s="33">
        <f t="shared" si="1"/>
        <v>10848.000000000093</v>
      </c>
      <c r="I33" s="34"/>
      <c r="J33" s="35"/>
    </row>
    <row r="34" spans="1:10" ht="15.75" x14ac:dyDescent="0.25">
      <c r="A34" s="15" t="s">
        <v>49</v>
      </c>
      <c r="B34" s="186" t="s">
        <v>14</v>
      </c>
      <c r="C34" s="32">
        <v>51097662</v>
      </c>
      <c r="D34" s="187" t="s">
        <v>35</v>
      </c>
      <c r="E34" s="186">
        <v>4800</v>
      </c>
      <c r="F34" s="31">
        <v>3.3618000000000001</v>
      </c>
      <c r="G34" s="31">
        <v>3.4157999999999999</v>
      </c>
      <c r="H34" s="33">
        <f t="shared" si="1"/>
        <v>259.19999999999914</v>
      </c>
      <c r="I34" s="34"/>
      <c r="J34" s="35"/>
    </row>
    <row r="35" spans="1:10" ht="15.75" x14ac:dyDescent="0.25">
      <c r="A35" s="207" t="s">
        <v>50</v>
      </c>
      <c r="B35" s="208"/>
      <c r="C35" s="186"/>
      <c r="D35" s="187"/>
      <c r="E35" s="186"/>
      <c r="F35" s="36"/>
      <c r="G35" s="36"/>
      <c r="H35" s="23">
        <f>H21+H22+H23+H24+H25+H26+H27+H28+H29+H30+H31+H32+H33+H34</f>
        <v>73193.879999999263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86" t="s">
        <v>53</v>
      </c>
      <c r="C37" s="186">
        <v>51555209</v>
      </c>
      <c r="D37" s="187" t="s">
        <v>54</v>
      </c>
      <c r="E37" s="186">
        <v>7000</v>
      </c>
      <c r="F37" s="17">
        <v>5.58</v>
      </c>
      <c r="G37" s="17">
        <v>5.6294000000000004</v>
      </c>
      <c r="H37" s="41">
        <f>(G37-F37)*E37</f>
        <v>345.80000000000234</v>
      </c>
      <c r="I37" s="42"/>
      <c r="J37" s="14"/>
    </row>
    <row r="38" spans="1:10" ht="15.75" x14ac:dyDescent="0.25">
      <c r="A38" s="15" t="s">
        <v>55</v>
      </c>
      <c r="B38" s="186" t="s">
        <v>53</v>
      </c>
      <c r="C38" s="186">
        <v>51555209</v>
      </c>
      <c r="D38" s="187" t="s">
        <v>54</v>
      </c>
      <c r="E38" s="186">
        <v>7000</v>
      </c>
      <c r="F38" s="21">
        <v>10.0739</v>
      </c>
      <c r="G38" s="21">
        <v>10.107799999999999</v>
      </c>
      <c r="H38" s="18">
        <f>(G38-F38)*E38</f>
        <v>237.29999999999407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86" t="s">
        <v>53</v>
      </c>
      <c r="C40" s="186">
        <v>51097674</v>
      </c>
      <c r="D40" s="186" t="s">
        <v>15</v>
      </c>
      <c r="E40" s="186">
        <v>7200</v>
      </c>
      <c r="F40" s="21">
        <v>580.42229999999995</v>
      </c>
      <c r="G40" s="21">
        <v>582.80269999999996</v>
      </c>
      <c r="H40" s="18">
        <f>(G40-F40)*E40</f>
        <v>17138.880000000063</v>
      </c>
      <c r="I40" s="47"/>
      <c r="J40" s="20"/>
    </row>
    <row r="41" spans="1:10" ht="15.75" x14ac:dyDescent="0.25">
      <c r="A41" s="27" t="s">
        <v>58</v>
      </c>
      <c r="B41" s="186" t="s">
        <v>53</v>
      </c>
      <c r="C41" s="186">
        <v>51259257</v>
      </c>
      <c r="D41" s="186" t="s">
        <v>15</v>
      </c>
      <c r="E41" s="186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86"/>
      <c r="C42" s="186"/>
      <c r="D42" s="186"/>
      <c r="E42" s="186"/>
      <c r="F42" s="21"/>
      <c r="G42" s="21"/>
      <c r="H42" s="48">
        <f>H40+H41</f>
        <v>17138.880000000063</v>
      </c>
      <c r="I42" s="24">
        <f>H42-H50</f>
        <v>-123.19999999993161</v>
      </c>
      <c r="J42" s="25">
        <f>I42/H42</f>
        <v>-7.1883343602342246E-3</v>
      </c>
    </row>
    <row r="43" spans="1:10" ht="15.75" x14ac:dyDescent="0.25">
      <c r="A43" s="15" t="s">
        <v>60</v>
      </c>
      <c r="B43" s="186"/>
      <c r="C43" s="186"/>
      <c r="D43" s="187"/>
      <c r="E43" s="186"/>
      <c r="H43" s="18"/>
      <c r="I43" s="43"/>
      <c r="J43" s="20"/>
    </row>
    <row r="44" spans="1:10" ht="15.75" x14ac:dyDescent="0.25">
      <c r="A44" s="27" t="s">
        <v>61</v>
      </c>
      <c r="B44" s="186" t="s">
        <v>53</v>
      </c>
      <c r="C44" s="32">
        <v>51097648</v>
      </c>
      <c r="D44" s="186" t="s">
        <v>54</v>
      </c>
      <c r="E44" s="186">
        <v>1200</v>
      </c>
      <c r="F44" s="21">
        <v>475.18729999999999</v>
      </c>
      <c r="G44" s="21">
        <v>477.07549999999998</v>
      </c>
      <c r="H44" s="33">
        <f>(G44-F44)*E44</f>
        <v>2265.8399999999801</v>
      </c>
      <c r="I44" s="43"/>
      <c r="J44" s="20"/>
    </row>
    <row r="45" spans="1:10" ht="15.75" x14ac:dyDescent="0.25">
      <c r="A45" s="27" t="s">
        <v>62</v>
      </c>
      <c r="B45" s="186" t="s">
        <v>53</v>
      </c>
      <c r="C45" s="32">
        <v>50555043</v>
      </c>
      <c r="D45" s="186" t="s">
        <v>54</v>
      </c>
      <c r="E45" s="186">
        <v>1200</v>
      </c>
      <c r="F45" s="21">
        <v>1988.3724</v>
      </c>
      <c r="G45" s="21">
        <v>1996.6758</v>
      </c>
      <c r="H45" s="33">
        <f>(G45-F45)*E45</f>
        <v>9964.0800000000127</v>
      </c>
      <c r="I45" s="43"/>
      <c r="J45" s="20"/>
    </row>
    <row r="46" spans="1:10" ht="15.75" x14ac:dyDescent="0.25">
      <c r="A46" s="27" t="s">
        <v>63</v>
      </c>
      <c r="B46" s="186" t="s">
        <v>53</v>
      </c>
      <c r="C46" s="32">
        <v>51259336</v>
      </c>
      <c r="D46" s="186" t="s">
        <v>64</v>
      </c>
      <c r="E46" s="186">
        <v>2400</v>
      </c>
      <c r="F46" s="21">
        <v>4.0526999999999997</v>
      </c>
      <c r="G46" s="21">
        <v>4.0662000000000003</v>
      </c>
      <c r="H46" s="33">
        <f>(G46-F46)*E46</f>
        <v>32.400000000001228</v>
      </c>
      <c r="I46" s="43"/>
      <c r="J46" s="20"/>
    </row>
    <row r="47" spans="1:10" ht="15.75" x14ac:dyDescent="0.25">
      <c r="A47" s="27" t="s">
        <v>65</v>
      </c>
      <c r="B47" s="186" t="s">
        <v>53</v>
      </c>
      <c r="C47" s="32">
        <v>51259266</v>
      </c>
      <c r="D47" s="186" t="s">
        <v>54</v>
      </c>
      <c r="E47" s="186">
        <v>1200</v>
      </c>
      <c r="F47" s="21">
        <v>964.88080000000002</v>
      </c>
      <c r="G47" s="21">
        <v>968.69920000000002</v>
      </c>
      <c r="H47" s="33">
        <f>(G47-F47)*E47</f>
        <v>4582.0799999999963</v>
      </c>
      <c r="I47" s="43"/>
      <c r="J47" s="20"/>
    </row>
    <row r="48" spans="1:10" ht="15.75" x14ac:dyDescent="0.25">
      <c r="A48" s="27" t="s">
        <v>66</v>
      </c>
      <c r="B48" s="186" t="s">
        <v>53</v>
      </c>
      <c r="C48" s="32">
        <v>51431336</v>
      </c>
      <c r="D48" s="186" t="s">
        <v>54</v>
      </c>
      <c r="E48" s="186">
        <v>1200</v>
      </c>
      <c r="F48" s="21">
        <v>55.992199999999997</v>
      </c>
      <c r="G48" s="21">
        <v>56.2986</v>
      </c>
      <c r="H48" s="33">
        <f>(G48-F48)*E48</f>
        <v>367.68000000000427</v>
      </c>
      <c r="I48" s="43"/>
      <c r="J48" s="20"/>
    </row>
    <row r="49" spans="1:10" ht="15.75" x14ac:dyDescent="0.25">
      <c r="A49" s="15" t="s">
        <v>67</v>
      </c>
      <c r="B49" s="186" t="s">
        <v>68</v>
      </c>
      <c r="C49" s="186">
        <v>49174</v>
      </c>
      <c r="D49" s="187" t="s">
        <v>54</v>
      </c>
      <c r="E49" s="186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17262.079999999994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86" t="s">
        <v>53</v>
      </c>
      <c r="C52" s="186">
        <v>51097603</v>
      </c>
      <c r="D52" s="187" t="s">
        <v>54</v>
      </c>
      <c r="E52" s="186">
        <v>7000</v>
      </c>
      <c r="F52" s="17">
        <v>1905.9196999999999</v>
      </c>
      <c r="G52" s="17">
        <v>1912.8465000000001</v>
      </c>
      <c r="H52" s="18">
        <f>(G52-F52)*E52</f>
        <v>48487.600000001294</v>
      </c>
      <c r="I52" s="43"/>
      <c r="J52" s="20"/>
    </row>
    <row r="53" spans="1:10" ht="15.75" x14ac:dyDescent="0.25">
      <c r="A53" s="27" t="s">
        <v>73</v>
      </c>
      <c r="B53" s="186" t="s">
        <v>53</v>
      </c>
      <c r="C53" s="186">
        <v>51097590</v>
      </c>
      <c r="D53" s="187" t="s">
        <v>54</v>
      </c>
      <c r="E53" s="186">
        <v>7000</v>
      </c>
      <c r="F53" s="21">
        <v>12.3063</v>
      </c>
      <c r="G53" s="21">
        <v>12.3805</v>
      </c>
      <c r="H53" s="18">
        <f>(G53-F53)*E53</f>
        <v>519.39999999999566</v>
      </c>
      <c r="I53" s="43"/>
      <c r="J53" s="20"/>
    </row>
    <row r="54" spans="1:10" ht="15.75" x14ac:dyDescent="0.25">
      <c r="A54" s="15" t="s">
        <v>67</v>
      </c>
      <c r="B54" s="186" t="s">
        <v>68</v>
      </c>
      <c r="C54" s="186">
        <v>49174</v>
      </c>
      <c r="D54" s="187" t="s">
        <v>54</v>
      </c>
      <c r="E54" s="186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86"/>
      <c r="D55" s="187"/>
      <c r="E55" s="186"/>
      <c r="F55" s="21"/>
      <c r="G55" s="21"/>
      <c r="H55" s="48">
        <f>H52+H53+H54</f>
        <v>49107.000000001288</v>
      </c>
      <c r="I55" s="47"/>
      <c r="J55" s="59"/>
    </row>
    <row r="56" spans="1:10" ht="15.75" x14ac:dyDescent="0.25">
      <c r="A56" s="27" t="s">
        <v>75</v>
      </c>
      <c r="B56" s="186" t="s">
        <v>53</v>
      </c>
      <c r="C56" s="186">
        <v>51100980</v>
      </c>
      <c r="D56" s="186" t="s">
        <v>76</v>
      </c>
      <c r="E56" s="186">
        <v>12000</v>
      </c>
      <c r="F56" s="21">
        <v>1121.3988999999999</v>
      </c>
      <c r="G56" s="21">
        <v>1125.4844000000001</v>
      </c>
      <c r="H56" s="18">
        <f>(G56-F56)*E56</f>
        <v>49026.000000001659</v>
      </c>
      <c r="I56" s="47"/>
      <c r="J56" s="58"/>
    </row>
    <row r="57" spans="1:10" ht="15.75" x14ac:dyDescent="0.25">
      <c r="A57" s="27" t="s">
        <v>77</v>
      </c>
      <c r="B57" s="186" t="s">
        <v>53</v>
      </c>
      <c r="C57" s="186">
        <v>51097623</v>
      </c>
      <c r="D57" s="186" t="s">
        <v>76</v>
      </c>
      <c r="E57" s="186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86"/>
      <c r="C58" s="186"/>
      <c r="D58" s="186"/>
      <c r="E58" s="186"/>
      <c r="F58" s="21"/>
      <c r="G58" s="21"/>
      <c r="H58" s="48">
        <f>H56+H57</f>
        <v>49026.000000001659</v>
      </c>
      <c r="I58" s="61">
        <f>H55-H65-H54</f>
        <v>-97.359999998676358</v>
      </c>
      <c r="J58" s="25">
        <f>I58/H58</f>
        <v>-1.9858850405636412E-3</v>
      </c>
    </row>
    <row r="59" spans="1:10" ht="15.75" x14ac:dyDescent="0.25">
      <c r="A59" s="27" t="s">
        <v>79</v>
      </c>
      <c r="B59" s="186" t="s">
        <v>53</v>
      </c>
      <c r="C59" s="186">
        <v>51097675</v>
      </c>
      <c r="D59" s="186" t="s">
        <v>35</v>
      </c>
      <c r="E59" s="186">
        <v>4800</v>
      </c>
      <c r="F59" s="21">
        <v>494.16590000000002</v>
      </c>
      <c r="G59" s="21">
        <v>497.2552</v>
      </c>
      <c r="H59" s="18">
        <f t="shared" ref="H59:H64" si="2">(G59-F59)*E59</f>
        <v>14828.639999999905</v>
      </c>
      <c r="I59" s="62"/>
      <c r="J59" s="59"/>
    </row>
    <row r="60" spans="1:10" ht="15.75" x14ac:dyDescent="0.25">
      <c r="A60" s="27" t="s">
        <v>80</v>
      </c>
      <c r="B60" s="186" t="s">
        <v>53</v>
      </c>
      <c r="C60" s="186">
        <v>51100997</v>
      </c>
      <c r="D60" s="186" t="s">
        <v>22</v>
      </c>
      <c r="E60" s="186">
        <v>3600</v>
      </c>
      <c r="F60" s="21">
        <v>1364.1386</v>
      </c>
      <c r="G60" s="21">
        <v>1367.1487</v>
      </c>
      <c r="H60" s="18">
        <f t="shared" si="2"/>
        <v>10836.359999999877</v>
      </c>
      <c r="I60" s="62"/>
      <c r="J60" s="59"/>
    </row>
    <row r="61" spans="1:10" ht="15.75" x14ac:dyDescent="0.25">
      <c r="A61" s="27" t="s">
        <v>81</v>
      </c>
      <c r="B61" s="186" t="s">
        <v>53</v>
      </c>
      <c r="C61" s="186">
        <v>51555218</v>
      </c>
      <c r="D61" s="186">
        <f>400/5</f>
        <v>80</v>
      </c>
      <c r="E61" s="186">
        <v>4800</v>
      </c>
      <c r="F61" s="21">
        <v>61.680900000000001</v>
      </c>
      <c r="G61" s="21">
        <v>62.236699999999999</v>
      </c>
      <c r="H61" s="18">
        <f t="shared" si="2"/>
        <v>2667.8399999999897</v>
      </c>
      <c r="I61" s="62"/>
      <c r="J61" s="59"/>
    </row>
    <row r="62" spans="1:10" ht="15.75" x14ac:dyDescent="0.25">
      <c r="A62" s="27" t="s">
        <v>82</v>
      </c>
      <c r="B62" s="186" t="s">
        <v>53</v>
      </c>
      <c r="C62" s="186">
        <v>51555151</v>
      </c>
      <c r="D62" s="186">
        <f>400/5</f>
        <v>80</v>
      </c>
      <c r="E62" s="186">
        <v>4800</v>
      </c>
      <c r="F62" s="63">
        <v>0.30690000000000001</v>
      </c>
      <c r="G62" s="63">
        <v>0.30690000000000001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86" t="s">
        <v>53</v>
      </c>
      <c r="C63" s="186">
        <v>51097599</v>
      </c>
      <c r="D63" s="186" t="s">
        <v>22</v>
      </c>
      <c r="E63" s="186">
        <v>3600</v>
      </c>
      <c r="F63" s="21">
        <v>951.95209999999997</v>
      </c>
      <c r="G63" s="21">
        <v>954.24770000000001</v>
      </c>
      <c r="H63" s="18">
        <f t="shared" si="2"/>
        <v>8264.160000000129</v>
      </c>
      <c r="I63" s="62"/>
      <c r="J63" s="59"/>
    </row>
    <row r="64" spans="1:10" ht="15.75" x14ac:dyDescent="0.25">
      <c r="A64" s="27" t="s">
        <v>84</v>
      </c>
      <c r="B64" s="186" t="s">
        <v>53</v>
      </c>
      <c r="C64" s="186">
        <v>51097620</v>
      </c>
      <c r="D64" s="186" t="s">
        <v>35</v>
      </c>
      <c r="E64" s="186">
        <v>4800</v>
      </c>
      <c r="F64" s="21">
        <v>500.03890000000001</v>
      </c>
      <c r="G64" s="21">
        <v>502.64460000000003</v>
      </c>
      <c r="H64" s="18">
        <f t="shared" si="2"/>
        <v>12507.360000000062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49104.359999999964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86" t="s">
        <v>53</v>
      </c>
      <c r="C67" s="9">
        <v>51259238</v>
      </c>
      <c r="D67" s="74" t="s">
        <v>54</v>
      </c>
      <c r="E67" s="74">
        <v>7000</v>
      </c>
      <c r="F67" s="75">
        <v>541.85479999999995</v>
      </c>
      <c r="G67" s="75">
        <v>544.70039999999995</v>
      </c>
      <c r="H67" s="76">
        <f>(G67-F67)*E67</f>
        <v>19919.199999999932</v>
      </c>
      <c r="I67" s="77"/>
      <c r="J67" s="78"/>
    </row>
    <row r="68" spans="1:10" ht="15.75" x14ac:dyDescent="0.25">
      <c r="A68" s="27" t="s">
        <v>87</v>
      </c>
      <c r="B68" s="186" t="s">
        <v>53</v>
      </c>
      <c r="C68" s="186">
        <v>51259324</v>
      </c>
      <c r="D68" s="187" t="s">
        <v>54</v>
      </c>
      <c r="E68" s="187">
        <v>7000</v>
      </c>
      <c r="F68" s="21">
        <v>422.27069999999998</v>
      </c>
      <c r="G68" s="21">
        <v>424.4436</v>
      </c>
      <c r="H68" s="18">
        <f>(G68-F68)*E68</f>
        <v>15210.300000000188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86">
        <v>51491618</v>
      </c>
      <c r="D69" s="187" t="s">
        <v>64</v>
      </c>
      <c r="E69" s="186">
        <v>40</v>
      </c>
      <c r="F69" s="28">
        <v>1193.748</v>
      </c>
      <c r="G69" s="28">
        <v>1205.0840000000001</v>
      </c>
      <c r="H69" s="18">
        <f>(G69-F69)*E69</f>
        <v>453.44000000000051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86">
        <v>51491624</v>
      </c>
      <c r="D70" s="187" t="s">
        <v>64</v>
      </c>
      <c r="E70" s="186">
        <v>40</v>
      </c>
      <c r="F70" s="28">
        <v>168.2595</v>
      </c>
      <c r="G70" s="28">
        <v>169.077</v>
      </c>
      <c r="H70" s="18">
        <f>(G70-F70)*E70</f>
        <v>32.699999999999818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35129.500000000116</v>
      </c>
      <c r="I71" s="85">
        <f>H71-H74-H69-H70</f>
        <v>90.559999999727552</v>
      </c>
      <c r="J71" s="25">
        <f>I71/H71</f>
        <v>2.5778903770257832E-3</v>
      </c>
    </row>
    <row r="72" spans="1:10" ht="15.75" x14ac:dyDescent="0.25">
      <c r="A72" s="27" t="s">
        <v>92</v>
      </c>
      <c r="B72" s="186" t="s">
        <v>53</v>
      </c>
      <c r="C72" s="86">
        <v>51097588</v>
      </c>
      <c r="D72" s="187" t="s">
        <v>76</v>
      </c>
      <c r="E72" s="186">
        <v>12000</v>
      </c>
      <c r="F72" s="21">
        <v>325.26990000000001</v>
      </c>
      <c r="G72" s="21">
        <v>326.89640000000003</v>
      </c>
      <c r="H72" s="18">
        <f>(G72-F72)*E72</f>
        <v>19518.000000000255</v>
      </c>
      <c r="I72" s="51"/>
      <c r="J72" s="58"/>
    </row>
    <row r="73" spans="1:10" ht="15.75" x14ac:dyDescent="0.25">
      <c r="A73" s="27" t="s">
        <v>93</v>
      </c>
      <c r="B73" s="186" t="s">
        <v>53</v>
      </c>
      <c r="C73" s="86">
        <v>51431335</v>
      </c>
      <c r="D73" s="187" t="s">
        <v>76</v>
      </c>
      <c r="E73" s="186">
        <v>12000</v>
      </c>
      <c r="F73" s="21">
        <v>258.33699999999999</v>
      </c>
      <c r="G73" s="21">
        <v>259.5899</v>
      </c>
      <c r="H73" s="18">
        <f>(G73-F73)*E73</f>
        <v>15034.800000000132</v>
      </c>
      <c r="I73" s="51"/>
      <c r="J73" s="58"/>
    </row>
    <row r="74" spans="1:10" ht="15.75" x14ac:dyDescent="0.25">
      <c r="A74" s="87" t="s">
        <v>94</v>
      </c>
      <c r="B74" s="186" t="s">
        <v>28</v>
      </c>
      <c r="C74" s="186"/>
      <c r="D74" s="187"/>
      <c r="E74" s="186"/>
      <c r="F74" s="21"/>
      <c r="G74" s="21"/>
      <c r="H74" s="48">
        <f>H72+ H73</f>
        <v>34552.800000000389</v>
      </c>
      <c r="I74" s="85">
        <f>H74-H82</f>
        <v>-86.87999999945896</v>
      </c>
      <c r="J74" s="25">
        <f>I74/H74</f>
        <v>-2.5144127248575509E-3</v>
      </c>
    </row>
    <row r="75" spans="1:10" ht="15.75" x14ac:dyDescent="0.25">
      <c r="A75" s="27" t="s">
        <v>95</v>
      </c>
      <c r="B75" s="186" t="s">
        <v>53</v>
      </c>
      <c r="C75" s="86">
        <v>51097676</v>
      </c>
      <c r="D75" s="88" t="s">
        <v>64</v>
      </c>
      <c r="E75" s="186">
        <v>2400</v>
      </c>
      <c r="F75" s="21">
        <v>680.82330000000002</v>
      </c>
      <c r="G75" s="21">
        <v>684.52380000000005</v>
      </c>
      <c r="H75" s="18">
        <f>(G75-F75)*E75</f>
        <v>8881.2000000000808</v>
      </c>
      <c r="I75" s="51"/>
      <c r="J75" s="58"/>
    </row>
    <row r="76" spans="1:10" ht="15.75" x14ac:dyDescent="0.25">
      <c r="A76" s="27" t="s">
        <v>96</v>
      </c>
      <c r="B76" s="186" t="s">
        <v>53</v>
      </c>
      <c r="C76" s="86">
        <v>51431355</v>
      </c>
      <c r="D76" s="187" t="s">
        <v>22</v>
      </c>
      <c r="E76" s="187">
        <v>3600</v>
      </c>
      <c r="F76" s="21">
        <v>358.61130000000003</v>
      </c>
      <c r="G76" s="21">
        <v>359.97890000000001</v>
      </c>
      <c r="H76" s="18">
        <f>(G76-F76)*E76</f>
        <v>4923.3599999999342</v>
      </c>
      <c r="I76" s="51"/>
      <c r="J76" s="52"/>
    </row>
    <row r="77" spans="1:10" ht="15.75" x14ac:dyDescent="0.25">
      <c r="A77" s="27" t="s">
        <v>97</v>
      </c>
      <c r="B77" s="186" t="s">
        <v>53</v>
      </c>
      <c r="C77" s="86">
        <v>51259331</v>
      </c>
      <c r="D77" s="88" t="s">
        <v>38</v>
      </c>
      <c r="E77" s="186">
        <v>600</v>
      </c>
      <c r="F77" s="21">
        <v>160.0061</v>
      </c>
      <c r="G77" s="21">
        <v>160.8973</v>
      </c>
      <c r="H77" s="18">
        <f>(G77-F77)*E77</f>
        <v>534.71999999999866</v>
      </c>
      <c r="I77" s="51"/>
      <c r="J77" s="52"/>
    </row>
    <row r="78" spans="1:10" ht="15.75" x14ac:dyDescent="0.25">
      <c r="A78" s="27" t="s">
        <v>98</v>
      </c>
      <c r="B78" s="186" t="s">
        <v>53</v>
      </c>
      <c r="C78" s="86">
        <v>51259326</v>
      </c>
      <c r="D78" s="88" t="s">
        <v>15</v>
      </c>
      <c r="E78" s="186">
        <v>7200</v>
      </c>
      <c r="F78" s="21">
        <v>323.75299999999999</v>
      </c>
      <c r="G78" s="21">
        <v>325.24169999999998</v>
      </c>
      <c r="H78" s="18">
        <f>(G78-F78)*E78</f>
        <v>10718.639999999959</v>
      </c>
      <c r="I78" s="51"/>
      <c r="J78" s="52"/>
    </row>
    <row r="79" spans="1:10" ht="15.75" x14ac:dyDescent="0.25">
      <c r="A79" s="27" t="s">
        <v>99</v>
      </c>
      <c r="B79" s="186" t="s">
        <v>53</v>
      </c>
      <c r="C79" s="86">
        <v>51431351</v>
      </c>
      <c r="D79" s="88" t="s">
        <v>15</v>
      </c>
      <c r="E79" s="186">
        <v>7200</v>
      </c>
      <c r="F79" s="21">
        <v>231.17330000000001</v>
      </c>
      <c r="G79" s="21">
        <v>232.50409999999999</v>
      </c>
      <c r="H79" s="18">
        <f>(G79-F79)*E79</f>
        <v>9581.7599999998711</v>
      </c>
      <c r="I79" s="51"/>
      <c r="J79" s="52"/>
    </row>
    <row r="80" spans="1:10" ht="15.75" x14ac:dyDescent="0.25">
      <c r="A80" s="89" t="s">
        <v>100</v>
      </c>
      <c r="B80" s="186" t="s">
        <v>53</v>
      </c>
      <c r="C80" s="90">
        <v>51097666</v>
      </c>
      <c r="D80" s="88" t="s">
        <v>64</v>
      </c>
      <c r="E80" s="186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86" t="s">
        <v>53</v>
      </c>
      <c r="C81" s="90">
        <v>51259323</v>
      </c>
      <c r="D81" s="88" t="s">
        <v>64</v>
      </c>
      <c r="E81" s="186">
        <v>2400</v>
      </c>
      <c r="F81" s="31">
        <v>7.6399999999999996E-2</v>
      </c>
      <c r="G81" s="31">
        <v>7.6399999999999996E-2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34639.679999999847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86" t="s">
        <v>53</v>
      </c>
      <c r="C84" s="106">
        <v>51431297</v>
      </c>
      <c r="D84" s="187" t="s">
        <v>54</v>
      </c>
      <c r="E84" s="100">
        <v>7000</v>
      </c>
      <c r="F84" s="17">
        <v>265.22789999999998</v>
      </c>
      <c r="G84" s="17">
        <v>267.83859999999999</v>
      </c>
      <c r="H84" s="18">
        <f>(G84-F84)*E84</f>
        <v>18274.90000000006</v>
      </c>
      <c r="I84" s="107"/>
      <c r="J84" s="108"/>
    </row>
    <row r="85" spans="1:10" ht="15.75" x14ac:dyDescent="0.25">
      <c r="A85" s="105" t="s">
        <v>87</v>
      </c>
      <c r="B85" s="186" t="s">
        <v>53</v>
      </c>
      <c r="C85" s="106">
        <v>51431332</v>
      </c>
      <c r="D85" s="187" t="s">
        <v>54</v>
      </c>
      <c r="E85" s="100">
        <v>7000</v>
      </c>
      <c r="F85" s="21">
        <v>356.77629999999999</v>
      </c>
      <c r="G85" s="21">
        <v>356.92239999999998</v>
      </c>
      <c r="H85" s="18">
        <f>(G85-F85)*E85</f>
        <v>1022.6999999999293</v>
      </c>
      <c r="I85" s="186"/>
      <c r="J85" s="58"/>
    </row>
    <row r="86" spans="1:10" ht="15.75" x14ac:dyDescent="0.25">
      <c r="A86" s="27" t="s">
        <v>88</v>
      </c>
      <c r="B86" s="186" t="s">
        <v>104</v>
      </c>
      <c r="C86" s="109">
        <v>150773</v>
      </c>
      <c r="D86" s="187" t="s">
        <v>54</v>
      </c>
      <c r="E86" s="109">
        <v>20</v>
      </c>
      <c r="F86" s="17">
        <v>15629.1</v>
      </c>
      <c r="G86" s="17">
        <v>15637.7</v>
      </c>
      <c r="H86" s="18">
        <f>(G86-F86)*E86</f>
        <v>172.00000000000728</v>
      </c>
      <c r="I86" s="51"/>
      <c r="J86" s="58"/>
    </row>
    <row r="87" spans="1:10" ht="15.75" x14ac:dyDescent="0.25">
      <c r="A87" s="27" t="s">
        <v>90</v>
      </c>
      <c r="B87" s="186" t="s">
        <v>104</v>
      </c>
      <c r="C87" s="109">
        <v>150791</v>
      </c>
      <c r="D87" s="187" t="s">
        <v>54</v>
      </c>
      <c r="E87" s="109">
        <v>20</v>
      </c>
      <c r="F87" s="21">
        <v>231.7</v>
      </c>
      <c r="G87" s="21">
        <v>231.7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88"/>
      <c r="C88" s="32"/>
      <c r="D88" s="82"/>
      <c r="E88" s="82"/>
      <c r="F88" s="21"/>
      <c r="G88" s="21"/>
      <c r="H88" s="48">
        <f>H84+H85</f>
        <v>19297.599999999988</v>
      </c>
      <c r="I88" s="85">
        <f>H88-H91-H86-H87</f>
        <v>393.11999999994805</v>
      </c>
      <c r="J88" s="25">
        <f>I88/H88</f>
        <v>2.037144515379883E-2</v>
      </c>
    </row>
    <row r="89" spans="1:10" ht="15.75" x14ac:dyDescent="0.25">
      <c r="A89" s="27" t="s">
        <v>105</v>
      </c>
      <c r="B89" s="186" t="s">
        <v>53</v>
      </c>
      <c r="C89" s="106">
        <v>51431342</v>
      </c>
      <c r="D89" s="88" t="s">
        <v>35</v>
      </c>
      <c r="E89" s="186">
        <v>4800</v>
      </c>
      <c r="F89" s="21">
        <v>376.2364</v>
      </c>
      <c r="G89" s="21">
        <v>380.00170000000003</v>
      </c>
      <c r="H89" s="18">
        <f>(G89-F89)*E89</f>
        <v>18073.440000000119</v>
      </c>
      <c r="I89" s="51"/>
      <c r="J89" s="52"/>
    </row>
    <row r="90" spans="1:10" ht="15.75" x14ac:dyDescent="0.25">
      <c r="A90" s="27" t="s">
        <v>106</v>
      </c>
      <c r="B90" s="186" t="s">
        <v>53</v>
      </c>
      <c r="C90" s="106">
        <v>51431343</v>
      </c>
      <c r="D90" s="88" t="s">
        <v>35</v>
      </c>
      <c r="E90" s="186">
        <v>4800</v>
      </c>
      <c r="F90" s="21">
        <v>504.38260000000002</v>
      </c>
      <c r="G90" s="21">
        <v>504.51990000000001</v>
      </c>
      <c r="H90" s="18">
        <f>(G90-F90)*E90</f>
        <v>659.03999999991356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18732.480000000032</v>
      </c>
      <c r="I91" s="85">
        <f>H91-H99</f>
        <v>-131.97999999998137</v>
      </c>
      <c r="J91" s="25">
        <f>I91/H91</f>
        <v>-7.0455166641032662E-3</v>
      </c>
    </row>
    <row r="92" spans="1:10" ht="15.75" x14ac:dyDescent="0.25">
      <c r="A92" s="27" t="s">
        <v>108</v>
      </c>
      <c r="B92" s="186" t="s">
        <v>53</v>
      </c>
      <c r="C92" s="106">
        <v>51431347</v>
      </c>
      <c r="D92" s="187" t="s">
        <v>54</v>
      </c>
      <c r="E92" s="186">
        <v>1200</v>
      </c>
      <c r="F92" s="21">
        <v>1202.1474000000001</v>
      </c>
      <c r="G92" s="21">
        <v>1202.1474000000001</v>
      </c>
      <c r="H92" s="18">
        <f>(G92-F92)*E92</f>
        <v>0</v>
      </c>
      <c r="I92" s="51"/>
      <c r="J92" s="52"/>
    </row>
    <row r="93" spans="1:10" ht="15.75" x14ac:dyDescent="0.25">
      <c r="A93" s="27" t="s">
        <v>109</v>
      </c>
      <c r="B93" s="186" t="s">
        <v>53</v>
      </c>
      <c r="C93" s="106">
        <v>51431339</v>
      </c>
      <c r="D93" s="187" t="s">
        <v>54</v>
      </c>
      <c r="E93" s="186">
        <v>1200</v>
      </c>
      <c r="F93" s="21"/>
      <c r="G93" s="21"/>
      <c r="H93" s="18">
        <f t="shared" ref="H93:H100" si="4">(G93-F93)*E93</f>
        <v>0</v>
      </c>
      <c r="I93" s="51"/>
      <c r="J93" s="52"/>
    </row>
    <row r="94" spans="1:10" ht="15.75" x14ac:dyDescent="0.25">
      <c r="A94" s="27" t="s">
        <v>110</v>
      </c>
      <c r="B94" s="186" t="s">
        <v>53</v>
      </c>
      <c r="C94" s="106">
        <v>51217244</v>
      </c>
      <c r="D94" s="186" t="s">
        <v>38</v>
      </c>
      <c r="E94" s="186">
        <v>600</v>
      </c>
      <c r="F94" s="30">
        <v>327.41030000000001</v>
      </c>
      <c r="G94" s="30">
        <v>328.39080000000001</v>
      </c>
      <c r="H94" s="18">
        <f t="shared" si="4"/>
        <v>588.30000000000382</v>
      </c>
      <c r="I94" s="51"/>
      <c r="J94" s="52"/>
    </row>
    <row r="95" spans="1:10" ht="15.75" x14ac:dyDescent="0.25">
      <c r="A95" s="27" t="s">
        <v>111</v>
      </c>
      <c r="B95" s="186" t="s">
        <v>53</v>
      </c>
      <c r="C95" s="106">
        <v>51217267</v>
      </c>
      <c r="D95" s="88" t="s">
        <v>64</v>
      </c>
      <c r="E95" s="186">
        <v>2400</v>
      </c>
      <c r="F95" s="30">
        <v>20.1083</v>
      </c>
      <c r="G95" s="30">
        <v>20.139700000000001</v>
      </c>
      <c r="H95" s="18">
        <f t="shared" si="4"/>
        <v>75.360000000003424</v>
      </c>
      <c r="I95" s="51"/>
      <c r="J95" s="52"/>
    </row>
    <row r="96" spans="1:10" ht="15.75" x14ac:dyDescent="0.25">
      <c r="A96" s="27" t="s">
        <v>112</v>
      </c>
      <c r="B96" s="186" t="s">
        <v>53</v>
      </c>
      <c r="C96" s="186">
        <v>51555165</v>
      </c>
      <c r="D96" s="187" t="s">
        <v>54</v>
      </c>
      <c r="E96" s="186">
        <v>1200</v>
      </c>
      <c r="F96" s="30">
        <v>796.50419999999997</v>
      </c>
      <c r="G96" s="30">
        <v>805.18309999999997</v>
      </c>
      <c r="H96" s="18">
        <f t="shared" si="4"/>
        <v>10414.679999999998</v>
      </c>
      <c r="I96" s="51" t="s">
        <v>28</v>
      </c>
      <c r="J96" s="52"/>
    </row>
    <row r="97" spans="1:10" ht="15.75" x14ac:dyDescent="0.25">
      <c r="A97" s="113" t="s">
        <v>113</v>
      </c>
      <c r="B97" s="186" t="s">
        <v>53</v>
      </c>
      <c r="C97" s="106">
        <v>51431346</v>
      </c>
      <c r="D97" s="114" t="s">
        <v>38</v>
      </c>
      <c r="E97" s="114">
        <v>600</v>
      </c>
      <c r="F97" s="30">
        <v>339.697</v>
      </c>
      <c r="G97" s="30">
        <v>341.80560000000003</v>
      </c>
      <c r="H97" s="115">
        <f t="shared" si="4"/>
        <v>1265.1600000000144</v>
      </c>
      <c r="I97" s="116"/>
      <c r="J97" s="117"/>
    </row>
    <row r="98" spans="1:10" ht="15.75" x14ac:dyDescent="0.25">
      <c r="A98" s="27" t="s">
        <v>114</v>
      </c>
      <c r="B98" s="186" t="s">
        <v>53</v>
      </c>
      <c r="C98" s="106">
        <v>51431352</v>
      </c>
      <c r="D98" s="88" t="s">
        <v>22</v>
      </c>
      <c r="E98" s="186">
        <v>3600</v>
      </c>
      <c r="F98" s="21">
        <v>220.01300000000001</v>
      </c>
      <c r="G98" s="21">
        <v>221.7766</v>
      </c>
      <c r="H98" s="18">
        <f t="shared" si="4"/>
        <v>6348.9599999999882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18864.460000000014</v>
      </c>
      <c r="I99" s="51"/>
      <c r="J99" s="52"/>
    </row>
    <row r="100" spans="1:10" ht="15.75" x14ac:dyDescent="0.25">
      <c r="A100" s="45" t="s">
        <v>115</v>
      </c>
      <c r="B100" s="186" t="s">
        <v>53</v>
      </c>
      <c r="C100" s="120">
        <v>51431357</v>
      </c>
      <c r="D100" s="187" t="s">
        <v>64</v>
      </c>
      <c r="E100" s="187">
        <v>14000</v>
      </c>
      <c r="F100" s="28">
        <v>821.16369999999995</v>
      </c>
      <c r="G100" s="28">
        <v>823.899</v>
      </c>
      <c r="H100" s="121">
        <f t="shared" si="4"/>
        <v>38294.200000000725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A71" workbookViewId="0">
      <selection activeCell="A2" sqref="A2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6.5" thickBot="1" x14ac:dyDescent="0.3">
      <c r="A2" s="203" t="s">
        <v>1</v>
      </c>
      <c r="B2" s="203" t="s">
        <v>2</v>
      </c>
      <c r="C2" s="203" t="s">
        <v>3</v>
      </c>
      <c r="D2" s="204" t="s">
        <v>4</v>
      </c>
      <c r="E2" s="203" t="s">
        <v>5</v>
      </c>
      <c r="F2" s="205" t="s">
        <v>6</v>
      </c>
      <c r="G2" s="206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03"/>
      <c r="B3" s="203"/>
      <c r="C3" s="203"/>
      <c r="D3" s="204"/>
      <c r="E3" s="203"/>
      <c r="F3" s="4" t="s">
        <v>139</v>
      </c>
      <c r="G3" s="4" t="s">
        <v>140</v>
      </c>
      <c r="H3" s="5" t="s">
        <v>10</v>
      </c>
      <c r="I3" s="6" t="s">
        <v>10</v>
      </c>
      <c r="J3" s="7" t="s">
        <v>11</v>
      </c>
    </row>
    <row r="4" spans="1:10" ht="15.75" x14ac:dyDescent="0.25">
      <c r="A4" s="8"/>
      <c r="B4" s="9"/>
      <c r="C4" s="9"/>
      <c r="D4" s="10" t="s">
        <v>12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13</v>
      </c>
      <c r="B5" s="189" t="s">
        <v>14</v>
      </c>
      <c r="C5" s="189">
        <v>51555166</v>
      </c>
      <c r="D5" s="189" t="s">
        <v>15</v>
      </c>
      <c r="E5" s="189">
        <v>132000</v>
      </c>
      <c r="F5" s="17">
        <v>3.5312999999999999</v>
      </c>
      <c r="G5" s="17">
        <v>3.5419999999999998</v>
      </c>
      <c r="H5" s="18">
        <f>(G5-F5)*E5</f>
        <v>1412.399999999991</v>
      </c>
      <c r="I5" s="19"/>
      <c r="J5" s="20"/>
    </row>
    <row r="6" spans="1:10" ht="15.75" x14ac:dyDescent="0.25">
      <c r="A6" s="15" t="s">
        <v>16</v>
      </c>
      <c r="B6" s="189" t="s">
        <v>14</v>
      </c>
      <c r="C6" s="189">
        <v>51555191</v>
      </c>
      <c r="D6" s="189" t="s">
        <v>15</v>
      </c>
      <c r="E6" s="189">
        <v>132000</v>
      </c>
      <c r="F6" s="21">
        <v>361.8648</v>
      </c>
      <c r="G6" s="21">
        <v>363.96629999999999</v>
      </c>
      <c r="H6" s="18">
        <f>(G6-F6)*E6</f>
        <v>277397.99999999831</v>
      </c>
      <c r="I6" s="19"/>
      <c r="J6" s="20"/>
    </row>
    <row r="7" spans="1:10" ht="15.75" x14ac:dyDescent="0.25">
      <c r="A7" s="207" t="s">
        <v>17</v>
      </c>
      <c r="B7" s="208"/>
      <c r="C7" s="189"/>
      <c r="D7" s="190"/>
      <c r="E7" s="189"/>
      <c r="H7" s="23">
        <f>H5+H6</f>
        <v>278810.39999999828</v>
      </c>
      <c r="I7" s="24">
        <f>H7-H10-H20</f>
        <v>2277.5999999970809</v>
      </c>
      <c r="J7" s="25">
        <f>I7/H7</f>
        <v>8.1689922613973325E-3</v>
      </c>
    </row>
    <row r="8" spans="1:10" ht="15.75" x14ac:dyDescent="0.25">
      <c r="A8" s="26" t="s">
        <v>18</v>
      </c>
      <c r="B8" s="189" t="s">
        <v>14</v>
      </c>
      <c r="C8" s="189">
        <v>51097629</v>
      </c>
      <c r="D8" s="190" t="s">
        <v>15</v>
      </c>
      <c r="E8" s="189">
        <v>42000</v>
      </c>
      <c r="F8" s="21">
        <v>1082.3878999999999</v>
      </c>
      <c r="G8" s="21">
        <v>1087.1069</v>
      </c>
      <c r="H8" s="18">
        <f>(G8-F8)*E8</f>
        <v>198198.00000000215</v>
      </c>
      <c r="I8" s="19"/>
      <c r="J8" s="20"/>
    </row>
    <row r="9" spans="1:10" ht="15.75" x14ac:dyDescent="0.25">
      <c r="A9" s="26" t="s">
        <v>19</v>
      </c>
      <c r="B9" s="189" t="s">
        <v>14</v>
      </c>
      <c r="C9" s="189">
        <v>51616820</v>
      </c>
      <c r="D9" s="190" t="s">
        <v>15</v>
      </c>
      <c r="E9" s="189">
        <v>42000</v>
      </c>
      <c r="F9" s="21">
        <v>6.2354000000000003</v>
      </c>
      <c r="G9" s="21">
        <v>6.2558999999999996</v>
      </c>
      <c r="H9" s="18">
        <f>(G9-F9)*E9</f>
        <v>860.99999999997044</v>
      </c>
      <c r="I9" s="19"/>
      <c r="J9" s="20"/>
    </row>
    <row r="10" spans="1:10" ht="15.75" x14ac:dyDescent="0.25">
      <c r="A10" s="207" t="s">
        <v>20</v>
      </c>
      <c r="B10" s="208"/>
      <c r="C10" s="189"/>
      <c r="D10" s="190"/>
      <c r="E10" s="189"/>
      <c r="F10" s="21"/>
      <c r="G10" s="21"/>
      <c r="H10" s="23">
        <f>H8+H9</f>
        <v>199059.00000000212</v>
      </c>
      <c r="I10" s="24">
        <f>H10-H17</f>
        <v>-4.1999999977415428</v>
      </c>
      <c r="J10" s="25">
        <f>I10/H10</f>
        <v>-2.1099272063767517E-5</v>
      </c>
    </row>
    <row r="11" spans="1:10" ht="15.75" x14ac:dyDescent="0.25">
      <c r="A11" s="27" t="s">
        <v>21</v>
      </c>
      <c r="B11" s="189" t="s">
        <v>14</v>
      </c>
      <c r="C11" s="189">
        <v>51217286</v>
      </c>
      <c r="D11" s="190" t="s">
        <v>22</v>
      </c>
      <c r="E11" s="189">
        <v>21000</v>
      </c>
      <c r="F11" s="21">
        <v>855.24130000000002</v>
      </c>
      <c r="G11" s="21">
        <v>858.38670000000002</v>
      </c>
      <c r="H11" s="18">
        <f t="shared" ref="H11:H16" si="0">(G11-F11)*E11</f>
        <v>66053.399999999892</v>
      </c>
      <c r="I11" s="19"/>
      <c r="J11" s="20"/>
    </row>
    <row r="12" spans="1:10" ht="15.75" x14ac:dyDescent="0.25">
      <c r="A12" s="27" t="s">
        <v>23</v>
      </c>
      <c r="B12" s="189" t="s">
        <v>14</v>
      </c>
      <c r="C12" s="189">
        <v>51217292</v>
      </c>
      <c r="D12" s="190" t="s">
        <v>22</v>
      </c>
      <c r="E12" s="189">
        <v>21000</v>
      </c>
      <c r="F12" s="28">
        <v>3.7942</v>
      </c>
      <c r="G12" s="28">
        <v>3.8182999999999998</v>
      </c>
      <c r="H12" s="18">
        <f>(G12-F12)*E12</f>
        <v>506.09999999999553</v>
      </c>
      <c r="I12" s="19"/>
      <c r="J12" s="20"/>
    </row>
    <row r="13" spans="1:10" ht="15.75" x14ac:dyDescent="0.25">
      <c r="A13" s="27" t="s">
        <v>24</v>
      </c>
      <c r="B13" s="189" t="s">
        <v>14</v>
      </c>
      <c r="C13" s="189">
        <v>51217271</v>
      </c>
      <c r="D13" s="190" t="s">
        <v>22</v>
      </c>
      <c r="E13" s="189">
        <v>21000</v>
      </c>
      <c r="F13" s="21">
        <v>629.78510000000006</v>
      </c>
      <c r="G13" s="21">
        <v>633.11</v>
      </c>
      <c r="H13" s="18">
        <f t="shared" si="0"/>
        <v>69822.899999999092</v>
      </c>
      <c r="I13" s="19"/>
      <c r="J13" s="20"/>
    </row>
    <row r="14" spans="1:10" ht="15.75" x14ac:dyDescent="0.25">
      <c r="A14" s="27" t="s">
        <v>25</v>
      </c>
      <c r="B14" s="189" t="s">
        <v>14</v>
      </c>
      <c r="C14" s="189">
        <v>51217276</v>
      </c>
      <c r="D14" s="190" t="s">
        <v>22</v>
      </c>
      <c r="E14" s="189">
        <v>21000</v>
      </c>
      <c r="F14" s="28">
        <v>0.56210000000000004</v>
      </c>
      <c r="G14" s="28">
        <v>0.56340000000000001</v>
      </c>
      <c r="H14" s="18">
        <f>(G14-F14)*E14</f>
        <v>27.299999999999326</v>
      </c>
      <c r="I14" s="19"/>
      <c r="J14" s="20"/>
    </row>
    <row r="15" spans="1:10" ht="15.75" x14ac:dyDescent="0.25">
      <c r="A15" s="27" t="s">
        <v>26</v>
      </c>
      <c r="B15" s="189" t="s">
        <v>14</v>
      </c>
      <c r="C15" s="189">
        <v>51100990</v>
      </c>
      <c r="D15" s="190" t="s">
        <v>22</v>
      </c>
      <c r="E15" s="189">
        <v>21000</v>
      </c>
      <c r="F15" s="29">
        <v>686.76859999999999</v>
      </c>
      <c r="G15" s="29">
        <v>689.73990000000003</v>
      </c>
      <c r="H15" s="18">
        <f t="shared" si="0"/>
        <v>62397.300000000883</v>
      </c>
      <c r="I15" s="19"/>
      <c r="J15" s="20"/>
    </row>
    <row r="16" spans="1:10" ht="15.75" x14ac:dyDescent="0.25">
      <c r="A16" s="27" t="s">
        <v>27</v>
      </c>
      <c r="B16" s="189" t="s">
        <v>14</v>
      </c>
      <c r="C16" s="189">
        <v>51097622</v>
      </c>
      <c r="D16" s="190" t="s">
        <v>22</v>
      </c>
      <c r="E16" s="189">
        <v>21000</v>
      </c>
      <c r="F16" s="21">
        <v>3.6280000000000001</v>
      </c>
      <c r="G16" s="21">
        <v>3.6402000000000001</v>
      </c>
      <c r="H16" s="18">
        <f t="shared" si="0"/>
        <v>256.19999999999976</v>
      </c>
      <c r="I16" s="19" t="s">
        <v>28</v>
      </c>
      <c r="J16" s="20"/>
    </row>
    <row r="17" spans="1:10" ht="15.75" x14ac:dyDescent="0.25">
      <c r="A17" s="207" t="s">
        <v>29</v>
      </c>
      <c r="B17" s="208"/>
      <c r="C17" s="189"/>
      <c r="D17" s="190"/>
      <c r="E17" s="189"/>
      <c r="F17" s="21"/>
      <c r="G17" s="21"/>
      <c r="H17" s="23">
        <f>H11+H12+H13+H14+H15+H16</f>
        <v>199063.19999999987</v>
      </c>
      <c r="I17" s="19"/>
      <c r="J17" s="20"/>
    </row>
    <row r="18" spans="1:10" ht="15.75" x14ac:dyDescent="0.25">
      <c r="A18" s="26" t="s">
        <v>30</v>
      </c>
      <c r="B18" s="189" t="s">
        <v>14</v>
      </c>
      <c r="C18" s="189">
        <v>51097617</v>
      </c>
      <c r="D18" s="190" t="s">
        <v>31</v>
      </c>
      <c r="E18" s="189">
        <v>18000</v>
      </c>
      <c r="F18" s="30">
        <v>831.98180000000002</v>
      </c>
      <c r="G18" s="30">
        <v>836.28589999999997</v>
      </c>
      <c r="H18" s="18">
        <f>(G18-F18)*E18</f>
        <v>77473.799999999072</v>
      </c>
      <c r="I18" s="19"/>
      <c r="J18" s="20"/>
    </row>
    <row r="19" spans="1:10" ht="15.75" x14ac:dyDescent="0.25">
      <c r="A19" s="26" t="s">
        <v>32</v>
      </c>
      <c r="B19" s="189" t="s">
        <v>14</v>
      </c>
      <c r="C19" s="189">
        <v>51097655</v>
      </c>
      <c r="D19" s="190" t="s">
        <v>31</v>
      </c>
      <c r="E19" s="189">
        <v>18000</v>
      </c>
      <c r="F19" s="30">
        <v>8.2071000000000005</v>
      </c>
      <c r="G19" s="30">
        <v>8.2071000000000005</v>
      </c>
      <c r="H19" s="18">
        <f>(G19-F19)*E19</f>
        <v>0</v>
      </c>
      <c r="I19" s="19"/>
      <c r="J19" s="20"/>
    </row>
    <row r="20" spans="1:10" ht="15.75" x14ac:dyDescent="0.25">
      <c r="A20" s="207" t="s">
        <v>33</v>
      </c>
      <c r="B20" s="208"/>
      <c r="C20" s="189"/>
      <c r="D20" s="190"/>
      <c r="E20" s="189"/>
      <c r="F20" s="30"/>
      <c r="G20" s="30"/>
      <c r="H20" s="23">
        <f>H18+H19</f>
        <v>77473.799999999072</v>
      </c>
      <c r="I20" s="24">
        <f>H20-H35</f>
        <v>1778.7599999988452</v>
      </c>
      <c r="J20" s="25">
        <f>I20/H20</f>
        <v>2.2959503728987949E-2</v>
      </c>
    </row>
    <row r="21" spans="1:10" ht="15.75" x14ac:dyDescent="0.25">
      <c r="A21" s="15" t="s">
        <v>34</v>
      </c>
      <c r="B21" s="189" t="s">
        <v>14</v>
      </c>
      <c r="C21" s="189">
        <v>51217282</v>
      </c>
      <c r="D21" s="190" t="s">
        <v>35</v>
      </c>
      <c r="E21" s="189">
        <v>4800</v>
      </c>
      <c r="F21" s="21">
        <v>381.0129</v>
      </c>
      <c r="G21" s="21">
        <v>381.3297</v>
      </c>
      <c r="H21" s="18">
        <f t="shared" ref="H21:H34" si="1">(G21-F21)*E21</f>
        <v>1520.6400000000031</v>
      </c>
      <c r="I21" s="19" t="s">
        <v>28</v>
      </c>
      <c r="J21" s="20"/>
    </row>
    <row r="22" spans="1:10" ht="15.75" x14ac:dyDescent="0.25">
      <c r="A22" s="15" t="s">
        <v>36</v>
      </c>
      <c r="B22" s="189" t="s">
        <v>14</v>
      </c>
      <c r="C22" s="189">
        <v>51217274</v>
      </c>
      <c r="D22" s="190" t="s">
        <v>35</v>
      </c>
      <c r="E22" s="189">
        <v>4800</v>
      </c>
      <c r="F22" s="21">
        <v>1304.9096999999999</v>
      </c>
      <c r="G22" s="21">
        <v>1310.5979</v>
      </c>
      <c r="H22" s="18">
        <f t="shared" si="1"/>
        <v>27303.360000000248</v>
      </c>
      <c r="I22" s="19"/>
      <c r="J22" s="20"/>
    </row>
    <row r="23" spans="1:10" ht="15.75" x14ac:dyDescent="0.25">
      <c r="A23" s="15" t="s">
        <v>37</v>
      </c>
      <c r="B23" s="189" t="s">
        <v>14</v>
      </c>
      <c r="C23" s="189">
        <v>51097664</v>
      </c>
      <c r="D23" s="190" t="s">
        <v>38</v>
      </c>
      <c r="E23" s="189">
        <v>600</v>
      </c>
      <c r="F23" s="21">
        <v>4.4409999999999998</v>
      </c>
      <c r="G23" s="21">
        <v>4.4409999999999998</v>
      </c>
      <c r="H23" s="18">
        <f t="shared" si="1"/>
        <v>0</v>
      </c>
      <c r="I23" s="19"/>
      <c r="J23" s="20"/>
    </row>
    <row r="24" spans="1:10" ht="15.75" x14ac:dyDescent="0.25">
      <c r="A24" s="15" t="s">
        <v>39</v>
      </c>
      <c r="B24" s="189" t="s">
        <v>14</v>
      </c>
      <c r="C24" s="189">
        <v>51097615</v>
      </c>
      <c r="D24" s="190" t="s">
        <v>38</v>
      </c>
      <c r="E24" s="189">
        <v>600</v>
      </c>
      <c r="F24" s="21">
        <v>42.022500000000001</v>
      </c>
      <c r="G24" s="21">
        <v>42.315899999999999</v>
      </c>
      <c r="H24" s="18">
        <f t="shared" si="1"/>
        <v>176.039999999999</v>
      </c>
      <c r="I24" s="19"/>
      <c r="J24" s="20"/>
    </row>
    <row r="25" spans="1:10" ht="15.75" x14ac:dyDescent="0.25">
      <c r="A25" s="15" t="s">
        <v>40</v>
      </c>
      <c r="B25" s="189" t="s">
        <v>14</v>
      </c>
      <c r="C25" s="189">
        <v>51217264</v>
      </c>
      <c r="D25" s="190" t="s">
        <v>38</v>
      </c>
      <c r="E25" s="189">
        <v>600</v>
      </c>
      <c r="F25" s="21">
        <v>98.811800000000005</v>
      </c>
      <c r="G25" s="21">
        <v>99.490499999999997</v>
      </c>
      <c r="H25" s="18">
        <f t="shared" si="1"/>
        <v>407.21999999999525</v>
      </c>
      <c r="I25" s="19"/>
      <c r="J25" s="20"/>
    </row>
    <row r="26" spans="1:10" ht="15.75" x14ac:dyDescent="0.25">
      <c r="A26" s="15" t="s">
        <v>41</v>
      </c>
      <c r="B26" s="189" t="s">
        <v>14</v>
      </c>
      <c r="C26" s="189">
        <v>51217288</v>
      </c>
      <c r="D26" s="190" t="s">
        <v>38</v>
      </c>
      <c r="E26" s="189">
        <v>600</v>
      </c>
      <c r="F26" s="21">
        <v>20.238900000000001</v>
      </c>
      <c r="G26" s="21">
        <v>20.269500000000001</v>
      </c>
      <c r="H26" s="18">
        <f t="shared" si="1"/>
        <v>18.359999999999843</v>
      </c>
      <c r="I26" s="19" t="s">
        <v>28</v>
      </c>
      <c r="J26" s="20"/>
    </row>
    <row r="27" spans="1:10" ht="15.75" x14ac:dyDescent="0.25">
      <c r="A27" s="15" t="s">
        <v>42</v>
      </c>
      <c r="B27" s="189" t="s">
        <v>14</v>
      </c>
      <c r="C27" s="189">
        <v>51217279</v>
      </c>
      <c r="D27" s="190" t="s">
        <v>38</v>
      </c>
      <c r="E27" s="189">
        <v>600</v>
      </c>
      <c r="F27" s="21">
        <v>14.8894</v>
      </c>
      <c r="G27" s="21">
        <v>14.943</v>
      </c>
      <c r="H27" s="18">
        <f t="shared" si="1"/>
        <v>32.159999999999656</v>
      </c>
      <c r="I27" s="19" t="s">
        <v>28</v>
      </c>
      <c r="J27" s="20"/>
    </row>
    <row r="28" spans="1:10" ht="15.75" x14ac:dyDescent="0.25">
      <c r="A28" s="15" t="s">
        <v>43</v>
      </c>
      <c r="B28" s="189" t="s">
        <v>14</v>
      </c>
      <c r="C28" s="189">
        <v>51217272</v>
      </c>
      <c r="D28" s="190" t="s">
        <v>38</v>
      </c>
      <c r="E28" s="189">
        <v>600</v>
      </c>
      <c r="F28" s="31">
        <v>14.604200000000001</v>
      </c>
      <c r="G28" s="31">
        <v>14.656700000000001</v>
      </c>
      <c r="H28" s="18">
        <f t="shared" si="1"/>
        <v>31.500000000000128</v>
      </c>
      <c r="I28" s="19"/>
      <c r="J28" s="20"/>
    </row>
    <row r="29" spans="1:10" ht="15.75" x14ac:dyDescent="0.25">
      <c r="A29" s="15" t="s">
        <v>44</v>
      </c>
      <c r="B29" s="189" t="s">
        <v>14</v>
      </c>
      <c r="C29" s="189">
        <v>51616744</v>
      </c>
      <c r="D29" s="190">
        <f>300/5</f>
        <v>60</v>
      </c>
      <c r="E29" s="189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45</v>
      </c>
      <c r="B30" s="189" t="s">
        <v>14</v>
      </c>
      <c r="C30" s="189">
        <v>51555226</v>
      </c>
      <c r="D30" s="190">
        <f>300/5</f>
        <v>60</v>
      </c>
      <c r="E30" s="189">
        <v>3600</v>
      </c>
      <c r="F30" s="31">
        <v>487.57429999999999</v>
      </c>
      <c r="G30" s="31">
        <v>492.04669999999999</v>
      </c>
      <c r="H30" s="18">
        <f>(G30-F30)*E30</f>
        <v>16100.639999999976</v>
      </c>
      <c r="I30" s="19"/>
      <c r="J30" s="20"/>
    </row>
    <row r="31" spans="1:10" ht="15.75" x14ac:dyDescent="0.25">
      <c r="A31" s="15" t="s">
        <v>46</v>
      </c>
      <c r="B31" s="189" t="s">
        <v>14</v>
      </c>
      <c r="C31" s="189">
        <v>51097658</v>
      </c>
      <c r="D31" s="190" t="s">
        <v>35</v>
      </c>
      <c r="E31" s="189">
        <v>4800</v>
      </c>
      <c r="F31" s="31">
        <v>642.79660000000001</v>
      </c>
      <c r="G31" s="31">
        <v>646.58050000000003</v>
      </c>
      <c r="H31" s="18">
        <f t="shared" si="1"/>
        <v>18162.720000000081</v>
      </c>
      <c r="I31" s="19"/>
      <c r="J31" s="20"/>
    </row>
    <row r="32" spans="1:10" ht="15.75" x14ac:dyDescent="0.25">
      <c r="A32" s="15" t="s">
        <v>47</v>
      </c>
      <c r="B32" s="189" t="s">
        <v>14</v>
      </c>
      <c r="C32" s="189">
        <v>51097635</v>
      </c>
      <c r="D32" s="190" t="s">
        <v>35</v>
      </c>
      <c r="E32" s="189">
        <v>4800</v>
      </c>
      <c r="F32" s="31">
        <v>48.461599999999997</v>
      </c>
      <c r="G32" s="31">
        <v>48.4619</v>
      </c>
      <c r="H32" s="18">
        <f t="shared" si="1"/>
        <v>1.440000000013697</v>
      </c>
      <c r="I32" s="19"/>
      <c r="J32" s="20"/>
    </row>
    <row r="33" spans="1:10" ht="15.75" x14ac:dyDescent="0.25">
      <c r="A33" s="15" t="s">
        <v>48</v>
      </c>
      <c r="B33" s="189" t="s">
        <v>14</v>
      </c>
      <c r="C33" s="32">
        <v>51097633</v>
      </c>
      <c r="D33" s="190" t="s">
        <v>35</v>
      </c>
      <c r="E33" s="189">
        <v>4800</v>
      </c>
      <c r="F33" s="31">
        <v>165.01730000000001</v>
      </c>
      <c r="G33" s="31">
        <v>167.45769999999999</v>
      </c>
      <c r="H33" s="33">
        <f t="shared" si="1"/>
        <v>11713.919999999916</v>
      </c>
      <c r="I33" s="34"/>
      <c r="J33" s="35"/>
    </row>
    <row r="34" spans="1:10" ht="15.75" x14ac:dyDescent="0.25">
      <c r="A34" s="15" t="s">
        <v>49</v>
      </c>
      <c r="B34" s="189" t="s">
        <v>14</v>
      </c>
      <c r="C34" s="32">
        <v>51097662</v>
      </c>
      <c r="D34" s="190" t="s">
        <v>35</v>
      </c>
      <c r="E34" s="189">
        <v>4800</v>
      </c>
      <c r="F34" s="31">
        <v>3.4157999999999999</v>
      </c>
      <c r="G34" s="31">
        <v>3.4630999999999998</v>
      </c>
      <c r="H34" s="33">
        <f t="shared" si="1"/>
        <v>227.03999999999951</v>
      </c>
      <c r="I34" s="34"/>
      <c r="J34" s="35"/>
    </row>
    <row r="35" spans="1:10" ht="15.75" x14ac:dyDescent="0.25">
      <c r="A35" s="207" t="s">
        <v>50</v>
      </c>
      <c r="B35" s="208"/>
      <c r="C35" s="189"/>
      <c r="D35" s="190"/>
      <c r="E35" s="189"/>
      <c r="F35" s="36"/>
      <c r="G35" s="36"/>
      <c r="H35" s="23">
        <f>H21+H22+H23+H24+H25+H26+H27+H28+H29+H30+H31+H32+H33+H34</f>
        <v>75695.040000000226</v>
      </c>
      <c r="I35" s="19"/>
      <c r="J35" s="20"/>
    </row>
    <row r="36" spans="1:10" ht="15.75" x14ac:dyDescent="0.25">
      <c r="A36" s="37"/>
      <c r="B36" s="37"/>
      <c r="C36" s="37"/>
      <c r="D36" s="38" t="s">
        <v>51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52</v>
      </c>
      <c r="B37" s="189" t="s">
        <v>53</v>
      </c>
      <c r="C37" s="189">
        <v>51555209</v>
      </c>
      <c r="D37" s="190" t="s">
        <v>54</v>
      </c>
      <c r="E37" s="189">
        <v>7000</v>
      </c>
      <c r="F37" s="17">
        <v>5.6294000000000004</v>
      </c>
      <c r="G37" s="17">
        <v>5.6825999999999999</v>
      </c>
      <c r="H37" s="41">
        <f>(G37-F37)*E37</f>
        <v>372.39999999999628</v>
      </c>
      <c r="I37" s="42"/>
      <c r="J37" s="14"/>
    </row>
    <row r="38" spans="1:10" ht="15.75" x14ac:dyDescent="0.25">
      <c r="A38" s="15" t="s">
        <v>55</v>
      </c>
      <c r="B38" s="189" t="s">
        <v>53</v>
      </c>
      <c r="C38" s="189">
        <v>51555209</v>
      </c>
      <c r="D38" s="190" t="s">
        <v>54</v>
      </c>
      <c r="E38" s="189">
        <v>7000</v>
      </c>
      <c r="F38" s="21">
        <v>10.107799999999999</v>
      </c>
      <c r="G38" s="21">
        <v>10.1431</v>
      </c>
      <c r="H38" s="18">
        <f>(G38-F38)*E38</f>
        <v>247.10000000000855</v>
      </c>
      <c r="I38" s="43"/>
      <c r="J38" s="20"/>
    </row>
    <row r="39" spans="1:10" ht="15.75" x14ac:dyDescent="0.25">
      <c r="A39" s="44" t="s">
        <v>56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57</v>
      </c>
      <c r="B40" s="189" t="s">
        <v>53</v>
      </c>
      <c r="C40" s="189">
        <v>51097674</v>
      </c>
      <c r="D40" s="189" t="s">
        <v>15</v>
      </c>
      <c r="E40" s="189">
        <v>7200</v>
      </c>
      <c r="F40" s="21">
        <v>582.80269999999996</v>
      </c>
      <c r="G40" s="21">
        <v>585.2056</v>
      </c>
      <c r="H40" s="18">
        <f>(G40-F40)*E40</f>
        <v>17300.880000000325</v>
      </c>
      <c r="I40" s="47"/>
      <c r="J40" s="20"/>
    </row>
    <row r="41" spans="1:10" ht="15.75" x14ac:dyDescent="0.25">
      <c r="A41" s="27" t="s">
        <v>58</v>
      </c>
      <c r="B41" s="189" t="s">
        <v>53</v>
      </c>
      <c r="C41" s="189">
        <v>51259257</v>
      </c>
      <c r="D41" s="189" t="s">
        <v>15</v>
      </c>
      <c r="E41" s="189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59</v>
      </c>
      <c r="B42" s="189"/>
      <c r="C42" s="189"/>
      <c r="D42" s="189"/>
      <c r="E42" s="189"/>
      <c r="F42" s="21"/>
      <c r="G42" s="21"/>
      <c r="H42" s="48">
        <f>H40+H41</f>
        <v>17300.880000000325</v>
      </c>
      <c r="I42" s="24">
        <f>H42-H50</f>
        <v>-119.71999999963737</v>
      </c>
      <c r="J42" s="25">
        <f>I42/H42</f>
        <v>-6.919879219995464E-3</v>
      </c>
    </row>
    <row r="43" spans="1:10" ht="15.75" x14ac:dyDescent="0.25">
      <c r="A43" s="15" t="s">
        <v>60</v>
      </c>
      <c r="B43" s="189"/>
      <c r="C43" s="189"/>
      <c r="D43" s="190"/>
      <c r="E43" s="189"/>
      <c r="H43" s="18"/>
      <c r="I43" s="43"/>
      <c r="J43" s="20"/>
    </row>
    <row r="44" spans="1:10" ht="15.75" x14ac:dyDescent="0.25">
      <c r="A44" s="27" t="s">
        <v>61</v>
      </c>
      <c r="B44" s="189" t="s">
        <v>53</v>
      </c>
      <c r="C44" s="32">
        <v>51097648</v>
      </c>
      <c r="D44" s="189" t="s">
        <v>54</v>
      </c>
      <c r="E44" s="189">
        <v>1200</v>
      </c>
      <c r="F44" s="21">
        <v>477.07549999999998</v>
      </c>
      <c r="G44" s="21">
        <v>478.98590000000002</v>
      </c>
      <c r="H44" s="33">
        <f>(G44-F44)*E44</f>
        <v>2292.4800000000459</v>
      </c>
      <c r="I44" s="43"/>
      <c r="J44" s="20"/>
    </row>
    <row r="45" spans="1:10" ht="15.75" x14ac:dyDescent="0.25">
      <c r="A45" s="27" t="s">
        <v>62</v>
      </c>
      <c r="B45" s="189" t="s">
        <v>53</v>
      </c>
      <c r="C45" s="32">
        <v>50555043</v>
      </c>
      <c r="D45" s="189" t="s">
        <v>54</v>
      </c>
      <c r="E45" s="189">
        <v>1200</v>
      </c>
      <c r="F45" s="21">
        <v>1996.6758</v>
      </c>
      <c r="G45" s="21">
        <v>2004.9195</v>
      </c>
      <c r="H45" s="33">
        <f>(G45-F45)*E45</f>
        <v>9892.4399999999878</v>
      </c>
      <c r="I45" s="43"/>
      <c r="J45" s="20"/>
    </row>
    <row r="46" spans="1:10" ht="15.75" x14ac:dyDescent="0.25">
      <c r="A46" s="27" t="s">
        <v>63</v>
      </c>
      <c r="B46" s="189" t="s">
        <v>53</v>
      </c>
      <c r="C46" s="32">
        <v>51259336</v>
      </c>
      <c r="D46" s="189" t="s">
        <v>64</v>
      </c>
      <c r="E46" s="189">
        <v>2400</v>
      </c>
      <c r="F46" s="21">
        <v>4.0662000000000003</v>
      </c>
      <c r="G46" s="21">
        <v>4.0797999999999996</v>
      </c>
      <c r="H46" s="33">
        <f>(G46-F46)*E46</f>
        <v>32.639999999998537</v>
      </c>
      <c r="I46" s="43"/>
      <c r="J46" s="20"/>
    </row>
    <row r="47" spans="1:10" ht="15.75" x14ac:dyDescent="0.25">
      <c r="A47" s="27" t="s">
        <v>65</v>
      </c>
      <c r="B47" s="189" t="s">
        <v>53</v>
      </c>
      <c r="C47" s="32">
        <v>51259266</v>
      </c>
      <c r="D47" s="189" t="s">
        <v>54</v>
      </c>
      <c r="E47" s="189">
        <v>1200</v>
      </c>
      <c r="F47" s="21">
        <v>968.69920000000002</v>
      </c>
      <c r="G47" s="21">
        <v>972.68539999999996</v>
      </c>
      <c r="H47" s="33">
        <f>(G47-F47)*E47</f>
        <v>4783.4399999999277</v>
      </c>
      <c r="I47" s="43"/>
      <c r="J47" s="20"/>
    </row>
    <row r="48" spans="1:10" ht="15.75" x14ac:dyDescent="0.25">
      <c r="A48" s="27" t="s">
        <v>66</v>
      </c>
      <c r="B48" s="189" t="s">
        <v>53</v>
      </c>
      <c r="C48" s="32">
        <v>51431336</v>
      </c>
      <c r="D48" s="189" t="s">
        <v>54</v>
      </c>
      <c r="E48" s="189">
        <v>1200</v>
      </c>
      <c r="F48" s="21">
        <v>56.2986</v>
      </c>
      <c r="G48" s="21">
        <v>56.6066</v>
      </c>
      <c r="H48" s="33">
        <f>(G48-F48)*E48</f>
        <v>369.5999999999998</v>
      </c>
      <c r="I48" s="43"/>
      <c r="J48" s="20"/>
    </row>
    <row r="49" spans="1:10" ht="15.75" x14ac:dyDescent="0.25">
      <c r="A49" s="15" t="s">
        <v>67</v>
      </c>
      <c r="B49" s="189" t="s">
        <v>68</v>
      </c>
      <c r="C49" s="189">
        <v>49174</v>
      </c>
      <c r="D49" s="190" t="s">
        <v>54</v>
      </c>
      <c r="E49" s="189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69</v>
      </c>
      <c r="B50" s="45"/>
      <c r="C50" s="45"/>
      <c r="D50" s="45"/>
      <c r="E50" s="45"/>
      <c r="F50" s="49"/>
      <c r="G50" s="49"/>
      <c r="H50" s="50">
        <f>H44+H45+H46+H47+H48+H49</f>
        <v>17420.599999999962</v>
      </c>
      <c r="I50" s="51"/>
      <c r="J50" s="52"/>
    </row>
    <row r="51" spans="1:10" ht="15.75" x14ac:dyDescent="0.25">
      <c r="A51" s="53" t="s">
        <v>70</v>
      </c>
      <c r="B51" s="201" t="s">
        <v>71</v>
      </c>
      <c r="C51" s="201"/>
      <c r="D51" s="201"/>
      <c r="E51" s="201"/>
      <c r="F51" s="54"/>
      <c r="G51" s="54"/>
      <c r="H51" s="55"/>
      <c r="I51" s="56"/>
      <c r="J51" s="57"/>
    </row>
    <row r="52" spans="1:10" ht="15.75" x14ac:dyDescent="0.25">
      <c r="A52" s="27" t="s">
        <v>72</v>
      </c>
      <c r="B52" s="189" t="s">
        <v>53</v>
      </c>
      <c r="C52" s="189">
        <v>51097603</v>
      </c>
      <c r="D52" s="190" t="s">
        <v>54</v>
      </c>
      <c r="E52" s="189">
        <v>7000</v>
      </c>
      <c r="F52" s="17">
        <v>1912.8465000000001</v>
      </c>
      <c r="G52" s="17">
        <v>1919.6126999999999</v>
      </c>
      <c r="H52" s="18">
        <f>(G52-F52)*E52</f>
        <v>47363.39999999859</v>
      </c>
      <c r="I52" s="43"/>
      <c r="J52" s="20"/>
    </row>
    <row r="53" spans="1:10" ht="15.75" x14ac:dyDescent="0.25">
      <c r="A53" s="27" t="s">
        <v>73</v>
      </c>
      <c r="B53" s="189" t="s">
        <v>53</v>
      </c>
      <c r="C53" s="189">
        <v>51097590</v>
      </c>
      <c r="D53" s="190" t="s">
        <v>54</v>
      </c>
      <c r="E53" s="189">
        <v>7000</v>
      </c>
      <c r="F53" s="21">
        <v>12.3805</v>
      </c>
      <c r="G53" s="21">
        <v>12.4541</v>
      </c>
      <c r="H53" s="18">
        <f>(G53-F53)*E53</f>
        <v>515.20000000000539</v>
      </c>
      <c r="I53" s="43"/>
      <c r="J53" s="20"/>
    </row>
    <row r="54" spans="1:10" ht="15.75" x14ac:dyDescent="0.25">
      <c r="A54" s="15" t="s">
        <v>67</v>
      </c>
      <c r="B54" s="189" t="s">
        <v>68</v>
      </c>
      <c r="C54" s="189">
        <v>49174</v>
      </c>
      <c r="D54" s="190" t="s">
        <v>54</v>
      </c>
      <c r="E54" s="189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74</v>
      </c>
      <c r="B55" s="40"/>
      <c r="C55" s="189"/>
      <c r="D55" s="190"/>
      <c r="E55" s="189"/>
      <c r="F55" s="21"/>
      <c r="G55" s="21"/>
      <c r="H55" s="48">
        <f>H52+H53+H54</f>
        <v>47978.599999998594</v>
      </c>
      <c r="I55" s="47"/>
      <c r="J55" s="59"/>
    </row>
    <row r="56" spans="1:10" ht="15.75" x14ac:dyDescent="0.25">
      <c r="A56" s="27" t="s">
        <v>75</v>
      </c>
      <c r="B56" s="189" t="s">
        <v>53</v>
      </c>
      <c r="C56" s="189">
        <v>51100980</v>
      </c>
      <c r="D56" s="189" t="s">
        <v>76</v>
      </c>
      <c r="E56" s="189">
        <v>12000</v>
      </c>
      <c r="F56" s="21">
        <v>1125.4844000000001</v>
      </c>
      <c r="G56" s="21">
        <v>1129.4770000000001</v>
      </c>
      <c r="H56" s="18">
        <f>(G56-F56)*E56</f>
        <v>47911.200000000463</v>
      </c>
      <c r="I56" s="47"/>
      <c r="J56" s="58"/>
    </row>
    <row r="57" spans="1:10" ht="15.75" x14ac:dyDescent="0.25">
      <c r="A57" s="27" t="s">
        <v>77</v>
      </c>
      <c r="B57" s="189" t="s">
        <v>53</v>
      </c>
      <c r="C57" s="189">
        <v>51097623</v>
      </c>
      <c r="D57" s="189" t="s">
        <v>76</v>
      </c>
      <c r="E57" s="189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78</v>
      </c>
      <c r="B58" s="189"/>
      <c r="C58" s="189"/>
      <c r="D58" s="189"/>
      <c r="E58" s="189"/>
      <c r="F58" s="21"/>
      <c r="G58" s="21"/>
      <c r="H58" s="48">
        <f>H56+H57</f>
        <v>47911.200000000463</v>
      </c>
      <c r="I58" s="61">
        <f>H55-H65-H54</f>
        <v>-101.36000000091008</v>
      </c>
      <c r="J58" s="25">
        <f>I58/H58</f>
        <v>-2.1155804905932038E-3</v>
      </c>
    </row>
    <row r="59" spans="1:10" ht="15.75" x14ac:dyDescent="0.25">
      <c r="A59" s="27" t="s">
        <v>79</v>
      </c>
      <c r="B59" s="189" t="s">
        <v>53</v>
      </c>
      <c r="C59" s="189">
        <v>51097675</v>
      </c>
      <c r="D59" s="189" t="s">
        <v>35</v>
      </c>
      <c r="E59" s="189">
        <v>4800</v>
      </c>
      <c r="F59" s="21">
        <v>497.2552</v>
      </c>
      <c r="G59" s="21">
        <v>500.40190000000001</v>
      </c>
      <c r="H59" s="18">
        <f t="shared" ref="H59:H64" si="2">(G59-F59)*E59</f>
        <v>15104.160000000047</v>
      </c>
      <c r="I59" s="62"/>
      <c r="J59" s="59"/>
    </row>
    <row r="60" spans="1:10" ht="15.75" x14ac:dyDescent="0.25">
      <c r="A60" s="27" t="s">
        <v>80</v>
      </c>
      <c r="B60" s="189" t="s">
        <v>53</v>
      </c>
      <c r="C60" s="189">
        <v>51100997</v>
      </c>
      <c r="D60" s="189" t="s">
        <v>22</v>
      </c>
      <c r="E60" s="189">
        <v>3600</v>
      </c>
      <c r="F60" s="21">
        <v>1367.1487</v>
      </c>
      <c r="G60" s="21">
        <v>1370.0255999999999</v>
      </c>
      <c r="H60" s="18">
        <f t="shared" si="2"/>
        <v>10356.83999999992</v>
      </c>
      <c r="I60" s="62"/>
      <c r="J60" s="59"/>
    </row>
    <row r="61" spans="1:10" ht="15.75" x14ac:dyDescent="0.25">
      <c r="A61" s="27" t="s">
        <v>81</v>
      </c>
      <c r="B61" s="189" t="s">
        <v>53</v>
      </c>
      <c r="C61" s="189">
        <v>51555218</v>
      </c>
      <c r="D61" s="189">
        <f>400/5</f>
        <v>80</v>
      </c>
      <c r="E61" s="189">
        <v>4800</v>
      </c>
      <c r="F61" s="21">
        <v>62.236699999999999</v>
      </c>
      <c r="G61" s="21">
        <v>62.793599999999998</v>
      </c>
      <c r="H61" s="18">
        <f t="shared" si="2"/>
        <v>2673.1199999999944</v>
      </c>
      <c r="I61" s="62"/>
      <c r="J61" s="59"/>
    </row>
    <row r="62" spans="1:10" ht="15.75" x14ac:dyDescent="0.25">
      <c r="A62" s="27" t="s">
        <v>82</v>
      </c>
      <c r="B62" s="189" t="s">
        <v>53</v>
      </c>
      <c r="C62" s="189">
        <v>51555151</v>
      </c>
      <c r="D62" s="189">
        <f>400/5</f>
        <v>80</v>
      </c>
      <c r="E62" s="189">
        <v>4800</v>
      </c>
      <c r="F62" s="63">
        <v>0.30690000000000001</v>
      </c>
      <c r="G62" s="63">
        <v>0.30690000000000001</v>
      </c>
      <c r="H62" s="18">
        <f t="shared" si="2"/>
        <v>0</v>
      </c>
      <c r="I62" s="62"/>
      <c r="J62" s="59"/>
    </row>
    <row r="63" spans="1:10" ht="15.75" x14ac:dyDescent="0.25">
      <c r="A63" s="27" t="s">
        <v>83</v>
      </c>
      <c r="B63" s="189" t="s">
        <v>53</v>
      </c>
      <c r="C63" s="189">
        <v>51097599</v>
      </c>
      <c r="D63" s="189" t="s">
        <v>22</v>
      </c>
      <c r="E63" s="189">
        <v>3600</v>
      </c>
      <c r="F63" s="21">
        <v>954.24770000000001</v>
      </c>
      <c r="G63" s="21">
        <v>956.56269999999995</v>
      </c>
      <c r="H63" s="18">
        <f t="shared" si="2"/>
        <v>8333.9999999997872</v>
      </c>
      <c r="I63" s="62"/>
      <c r="J63" s="59"/>
    </row>
    <row r="64" spans="1:10" ht="15.75" x14ac:dyDescent="0.25">
      <c r="A64" s="27" t="s">
        <v>84</v>
      </c>
      <c r="B64" s="189" t="s">
        <v>53</v>
      </c>
      <c r="C64" s="189">
        <v>51097620</v>
      </c>
      <c r="D64" s="189" t="s">
        <v>35</v>
      </c>
      <c r="E64" s="189">
        <v>4800</v>
      </c>
      <c r="F64" s="21">
        <v>502.64460000000003</v>
      </c>
      <c r="G64" s="21">
        <v>505.04289999999997</v>
      </c>
      <c r="H64" s="18">
        <f t="shared" si="2"/>
        <v>11511.839999999756</v>
      </c>
      <c r="I64" s="62"/>
      <c r="J64" s="64"/>
    </row>
    <row r="65" spans="1:10" ht="16.5" thickBot="1" x14ac:dyDescent="0.3">
      <c r="A65" s="44" t="s">
        <v>50</v>
      </c>
      <c r="B65" s="45"/>
      <c r="C65" s="45"/>
      <c r="D65" s="45"/>
      <c r="E65" s="45"/>
      <c r="F65" s="21"/>
      <c r="G65" s="21"/>
      <c r="H65" s="50">
        <f>+H60+H61+H62+H63+ H64+H59</f>
        <v>47979.959999999504</v>
      </c>
      <c r="I65" s="65"/>
      <c r="J65" s="59"/>
    </row>
    <row r="66" spans="1:10" ht="16.5" thickBot="1" x14ac:dyDescent="0.3">
      <c r="A66" s="66"/>
      <c r="B66" s="67" t="s">
        <v>85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86</v>
      </c>
      <c r="B67" s="189" t="s">
        <v>53</v>
      </c>
      <c r="C67" s="9">
        <v>51259238</v>
      </c>
      <c r="D67" s="74" t="s">
        <v>54</v>
      </c>
      <c r="E67" s="74">
        <v>7000</v>
      </c>
      <c r="F67" s="75">
        <v>544.70039999999995</v>
      </c>
      <c r="G67" s="75">
        <v>547.65899999999999</v>
      </c>
      <c r="H67" s="76">
        <f>(G67-F67)*E67</f>
        <v>20710.200000000328</v>
      </c>
      <c r="I67" s="77"/>
      <c r="J67" s="78"/>
    </row>
    <row r="68" spans="1:10" ht="15.75" x14ac:dyDescent="0.25">
      <c r="A68" s="27" t="s">
        <v>87</v>
      </c>
      <c r="B68" s="189" t="s">
        <v>53</v>
      </c>
      <c r="C68" s="189">
        <v>51259324</v>
      </c>
      <c r="D68" s="190" t="s">
        <v>54</v>
      </c>
      <c r="E68" s="190">
        <v>7000</v>
      </c>
      <c r="F68" s="21">
        <v>424.4436</v>
      </c>
      <c r="G68" s="21">
        <v>426.68680000000001</v>
      </c>
      <c r="H68" s="18">
        <f>(G68-F68)*E68</f>
        <v>15702.400000000012</v>
      </c>
      <c r="I68" s="51"/>
      <c r="J68" s="58"/>
    </row>
    <row r="69" spans="1:10" ht="15.75" x14ac:dyDescent="0.25">
      <c r="A69" s="27" t="s">
        <v>88</v>
      </c>
      <c r="B69" s="79" t="s">
        <v>89</v>
      </c>
      <c r="C69" s="189">
        <v>51491618</v>
      </c>
      <c r="D69" s="190" t="s">
        <v>64</v>
      </c>
      <c r="E69" s="189">
        <v>40</v>
      </c>
      <c r="F69" s="28">
        <v>1205.0840000000001</v>
      </c>
      <c r="G69" s="28">
        <v>1216.6935000000001</v>
      </c>
      <c r="H69" s="18">
        <f>(G69-F69)*E69</f>
        <v>464.38000000000102</v>
      </c>
      <c r="I69" s="51"/>
      <c r="J69" s="58"/>
    </row>
    <row r="70" spans="1:10" ht="15.75" x14ac:dyDescent="0.25">
      <c r="A70" s="27" t="s">
        <v>90</v>
      </c>
      <c r="B70" s="79" t="s">
        <v>89</v>
      </c>
      <c r="C70" s="189">
        <v>51491624</v>
      </c>
      <c r="D70" s="190" t="s">
        <v>64</v>
      </c>
      <c r="E70" s="189">
        <v>40</v>
      </c>
      <c r="F70" s="28">
        <v>169.077</v>
      </c>
      <c r="G70" s="28">
        <v>169.94200000000001</v>
      </c>
      <c r="H70" s="18">
        <f>(G70-F70)*E70</f>
        <v>34.600000000000364</v>
      </c>
      <c r="I70" s="51"/>
      <c r="J70" s="58"/>
    </row>
    <row r="71" spans="1:10" ht="15.75" x14ac:dyDescent="0.25">
      <c r="A71" s="80" t="s">
        <v>91</v>
      </c>
      <c r="B71" s="81"/>
      <c r="C71" s="32" t="s">
        <v>28</v>
      </c>
      <c r="D71" s="82"/>
      <c r="E71" s="82"/>
      <c r="F71" s="83"/>
      <c r="G71" s="83"/>
      <c r="H71" s="84">
        <f>H67+H68</f>
        <v>36412.600000000341</v>
      </c>
      <c r="I71" s="85">
        <f>H71-H74-H69-H70</f>
        <v>199.22000000027219</v>
      </c>
      <c r="J71" s="25">
        <f>I71/H71</f>
        <v>5.4711830520278787E-3</v>
      </c>
    </row>
    <row r="72" spans="1:10" ht="15.75" x14ac:dyDescent="0.25">
      <c r="A72" s="27" t="s">
        <v>92</v>
      </c>
      <c r="B72" s="189" t="s">
        <v>53</v>
      </c>
      <c r="C72" s="86">
        <v>51097588</v>
      </c>
      <c r="D72" s="190" t="s">
        <v>76</v>
      </c>
      <c r="E72" s="189">
        <v>12000</v>
      </c>
      <c r="F72" s="21">
        <v>326.89640000000003</v>
      </c>
      <c r="G72" s="21">
        <v>328.57920000000001</v>
      </c>
      <c r="H72" s="18">
        <f>(G72-F72)*E72</f>
        <v>20193.599999999831</v>
      </c>
      <c r="I72" s="51"/>
      <c r="J72" s="58"/>
    </row>
    <row r="73" spans="1:10" ht="15.75" x14ac:dyDescent="0.25">
      <c r="A73" s="27" t="s">
        <v>93</v>
      </c>
      <c r="B73" s="189" t="s">
        <v>53</v>
      </c>
      <c r="C73" s="86">
        <v>51431335</v>
      </c>
      <c r="D73" s="190" t="s">
        <v>76</v>
      </c>
      <c r="E73" s="189">
        <v>12000</v>
      </c>
      <c r="F73" s="21">
        <v>259.5899</v>
      </c>
      <c r="G73" s="21">
        <v>260.88330000000002</v>
      </c>
      <c r="H73" s="18">
        <f>(G73-F73)*E73</f>
        <v>15520.800000000236</v>
      </c>
      <c r="I73" s="51"/>
      <c r="J73" s="58"/>
    </row>
    <row r="74" spans="1:10" ht="15.75" x14ac:dyDescent="0.25">
      <c r="A74" s="87" t="s">
        <v>94</v>
      </c>
      <c r="B74" s="189" t="s">
        <v>28</v>
      </c>
      <c r="C74" s="189"/>
      <c r="D74" s="190"/>
      <c r="E74" s="189"/>
      <c r="F74" s="21"/>
      <c r="G74" s="21"/>
      <c r="H74" s="48">
        <f>H72+ H73</f>
        <v>35714.400000000067</v>
      </c>
      <c r="I74" s="85">
        <f>H74-H82</f>
        <v>-85.860000000007858</v>
      </c>
      <c r="J74" s="25">
        <f>I74/H74</f>
        <v>-2.4040723069688333E-3</v>
      </c>
    </row>
    <row r="75" spans="1:10" ht="15.75" x14ac:dyDescent="0.25">
      <c r="A75" s="27" t="s">
        <v>95</v>
      </c>
      <c r="B75" s="189" t="s">
        <v>53</v>
      </c>
      <c r="C75" s="86">
        <v>51097676</v>
      </c>
      <c r="D75" s="88" t="s">
        <v>64</v>
      </c>
      <c r="E75" s="189">
        <v>2400</v>
      </c>
      <c r="F75" s="21">
        <v>684.52380000000005</v>
      </c>
      <c r="G75" s="21">
        <v>688.34699999999998</v>
      </c>
      <c r="H75" s="18">
        <f>(G75-F75)*E75</f>
        <v>9175.6799999998293</v>
      </c>
      <c r="I75" s="51"/>
      <c r="J75" s="58"/>
    </row>
    <row r="76" spans="1:10" ht="15.75" x14ac:dyDescent="0.25">
      <c r="A76" s="27" t="s">
        <v>96</v>
      </c>
      <c r="B76" s="189" t="s">
        <v>53</v>
      </c>
      <c r="C76" s="86">
        <v>51431355</v>
      </c>
      <c r="D76" s="190" t="s">
        <v>22</v>
      </c>
      <c r="E76" s="190">
        <v>3600</v>
      </c>
      <c r="F76" s="21">
        <v>359.97890000000001</v>
      </c>
      <c r="G76" s="21">
        <v>361.43709999999999</v>
      </c>
      <c r="H76" s="18">
        <f>(G76-F76)*E76</f>
        <v>5249.5199999999159</v>
      </c>
      <c r="I76" s="51"/>
      <c r="J76" s="52"/>
    </row>
    <row r="77" spans="1:10" ht="15.75" x14ac:dyDescent="0.25">
      <c r="A77" s="27" t="s">
        <v>97</v>
      </c>
      <c r="B77" s="189" t="s">
        <v>53</v>
      </c>
      <c r="C77" s="86">
        <v>51259331</v>
      </c>
      <c r="D77" s="88" t="s">
        <v>38</v>
      </c>
      <c r="E77" s="189">
        <v>600</v>
      </c>
      <c r="F77" s="21">
        <v>160.8973</v>
      </c>
      <c r="G77" s="21">
        <v>161.9444</v>
      </c>
      <c r="H77" s="18">
        <f>(G77-F77)*E77</f>
        <v>628.26000000000022</v>
      </c>
      <c r="I77" s="51"/>
      <c r="J77" s="52"/>
    </row>
    <row r="78" spans="1:10" ht="15.75" x14ac:dyDescent="0.25">
      <c r="A78" s="27" t="s">
        <v>98</v>
      </c>
      <c r="B78" s="189" t="s">
        <v>53</v>
      </c>
      <c r="C78" s="86">
        <v>51259326</v>
      </c>
      <c r="D78" s="88" t="s">
        <v>15</v>
      </c>
      <c r="E78" s="189">
        <v>7200</v>
      </c>
      <c r="F78" s="21">
        <v>325.24169999999998</v>
      </c>
      <c r="G78" s="21">
        <v>326.78370000000001</v>
      </c>
      <c r="H78" s="18">
        <f>(G78-F78)*E78</f>
        <v>11102.400000000216</v>
      </c>
      <c r="I78" s="51"/>
      <c r="J78" s="52"/>
    </row>
    <row r="79" spans="1:10" ht="15.75" x14ac:dyDescent="0.25">
      <c r="A79" s="27" t="s">
        <v>99</v>
      </c>
      <c r="B79" s="189" t="s">
        <v>53</v>
      </c>
      <c r="C79" s="86">
        <v>51431351</v>
      </c>
      <c r="D79" s="88" t="s">
        <v>15</v>
      </c>
      <c r="E79" s="189">
        <v>7200</v>
      </c>
      <c r="F79" s="21">
        <v>232.50409999999999</v>
      </c>
      <c r="G79" s="21">
        <v>233.84360000000001</v>
      </c>
      <c r="H79" s="18">
        <f>(G79-F79)*E79</f>
        <v>9644.4000000001106</v>
      </c>
      <c r="I79" s="51"/>
      <c r="J79" s="52"/>
    </row>
    <row r="80" spans="1:10" ht="15.75" x14ac:dyDescent="0.25">
      <c r="A80" s="89" t="s">
        <v>100</v>
      </c>
      <c r="B80" s="189" t="s">
        <v>53</v>
      </c>
      <c r="C80" s="90">
        <v>51097666</v>
      </c>
      <c r="D80" s="88" t="s">
        <v>64</v>
      </c>
      <c r="E80" s="189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101</v>
      </c>
      <c r="B81" s="189" t="s">
        <v>53</v>
      </c>
      <c r="C81" s="90">
        <v>51259323</v>
      </c>
      <c r="D81" s="88" t="s">
        <v>64</v>
      </c>
      <c r="E81" s="189">
        <v>2400</v>
      </c>
      <c r="F81" s="31">
        <v>7.6399999999999996E-2</v>
      </c>
      <c r="G81" s="31">
        <v>7.6399999999999996E-2</v>
      </c>
      <c r="H81" s="33">
        <f t="shared" si="3"/>
        <v>0</v>
      </c>
      <c r="I81" s="91"/>
      <c r="J81" s="92"/>
    </row>
    <row r="82" spans="1:10" ht="15.75" x14ac:dyDescent="0.25">
      <c r="A82" s="93" t="s">
        <v>102</v>
      </c>
      <c r="B82" s="32"/>
      <c r="C82" s="32"/>
      <c r="D82" s="94"/>
      <c r="E82" s="32"/>
      <c r="F82" s="95"/>
      <c r="G82" s="95"/>
      <c r="H82" s="84">
        <f>H75+H76+H77+H78+H79+H80+H81</f>
        <v>35800.260000000075</v>
      </c>
      <c r="I82" s="91"/>
      <c r="J82" s="96"/>
    </row>
    <row r="83" spans="1:10" ht="15.75" x14ac:dyDescent="0.25">
      <c r="A83" s="97"/>
      <c r="B83" s="98"/>
      <c r="C83" s="99" t="s">
        <v>103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86</v>
      </c>
      <c r="B84" s="189" t="s">
        <v>53</v>
      </c>
      <c r="C84" s="106">
        <v>51431297</v>
      </c>
      <c r="D84" s="190" t="s">
        <v>54</v>
      </c>
      <c r="E84" s="100">
        <v>7000</v>
      </c>
      <c r="F84" s="17">
        <v>267.83859999999999</v>
      </c>
      <c r="G84" s="17">
        <v>270.43529999999998</v>
      </c>
      <c r="H84" s="18">
        <f>(G84-F84)*E84</f>
        <v>18176.899999999991</v>
      </c>
      <c r="I84" s="107"/>
      <c r="J84" s="108"/>
    </row>
    <row r="85" spans="1:10" ht="15.75" x14ac:dyDescent="0.25">
      <c r="A85" s="105" t="s">
        <v>87</v>
      </c>
      <c r="B85" s="189" t="s">
        <v>53</v>
      </c>
      <c r="C85" s="106">
        <v>51431332</v>
      </c>
      <c r="D85" s="190" t="s">
        <v>54</v>
      </c>
      <c r="E85" s="100">
        <v>7000</v>
      </c>
      <c r="F85" s="21">
        <v>356.92239999999998</v>
      </c>
      <c r="G85" s="21">
        <v>357.07400000000001</v>
      </c>
      <c r="H85" s="18">
        <f>(G85-F85)*E85</f>
        <v>1061.2000000002126</v>
      </c>
      <c r="I85" s="189"/>
      <c r="J85" s="58"/>
    </row>
    <row r="86" spans="1:10" ht="15.75" x14ac:dyDescent="0.25">
      <c r="A86" s="27" t="s">
        <v>88</v>
      </c>
      <c r="B86" s="189" t="s">
        <v>104</v>
      </c>
      <c r="C86" s="109">
        <v>150773</v>
      </c>
      <c r="D86" s="190" t="s">
        <v>54</v>
      </c>
      <c r="E86" s="109">
        <v>20</v>
      </c>
      <c r="F86" s="17">
        <v>15637.7</v>
      </c>
      <c r="G86" s="17">
        <v>15645.5</v>
      </c>
      <c r="H86" s="18">
        <f>(G86-F86)*E86</f>
        <v>155.99999999998545</v>
      </c>
      <c r="I86" s="51"/>
      <c r="J86" s="58"/>
    </row>
    <row r="87" spans="1:10" ht="15.75" x14ac:dyDescent="0.25">
      <c r="A87" s="27" t="s">
        <v>90</v>
      </c>
      <c r="B87" s="189" t="s">
        <v>104</v>
      </c>
      <c r="C87" s="109">
        <v>150791</v>
      </c>
      <c r="D87" s="190" t="s">
        <v>54</v>
      </c>
      <c r="E87" s="109">
        <v>20</v>
      </c>
      <c r="F87" s="21">
        <v>231.7</v>
      </c>
      <c r="G87" s="21">
        <v>231.7</v>
      </c>
      <c r="H87" s="18">
        <f>(G87-F87)*E87</f>
        <v>0</v>
      </c>
      <c r="I87" s="51"/>
      <c r="J87" s="58"/>
    </row>
    <row r="88" spans="1:10" ht="15.75" x14ac:dyDescent="0.25">
      <c r="A88" s="110" t="s">
        <v>91</v>
      </c>
      <c r="B88" s="191"/>
      <c r="C88" s="32"/>
      <c r="D88" s="82"/>
      <c r="E88" s="82"/>
      <c r="F88" s="21"/>
      <c r="G88" s="21"/>
      <c r="H88" s="48">
        <f>H84+H85</f>
        <v>19238.100000000202</v>
      </c>
      <c r="I88" s="85">
        <f>H88-H91-H86-H87</f>
        <v>410.58000000043467</v>
      </c>
      <c r="J88" s="25">
        <f>I88/H88</f>
        <v>2.1342024420313355E-2</v>
      </c>
    </row>
    <row r="89" spans="1:10" ht="15.75" x14ac:dyDescent="0.25">
      <c r="A89" s="27" t="s">
        <v>105</v>
      </c>
      <c r="B89" s="189" t="s">
        <v>53</v>
      </c>
      <c r="C89" s="106">
        <v>51431342</v>
      </c>
      <c r="D89" s="88" t="s">
        <v>35</v>
      </c>
      <c r="E89" s="189">
        <v>4800</v>
      </c>
      <c r="F89" s="21">
        <v>380.00170000000003</v>
      </c>
      <c r="G89" s="21">
        <v>383.7466</v>
      </c>
      <c r="H89" s="18">
        <f>(G89-F89)*E89</f>
        <v>17975.519999999869</v>
      </c>
      <c r="I89" s="51"/>
      <c r="J89" s="52"/>
    </row>
    <row r="90" spans="1:10" ht="15.75" x14ac:dyDescent="0.25">
      <c r="A90" s="27" t="s">
        <v>106</v>
      </c>
      <c r="B90" s="189" t="s">
        <v>53</v>
      </c>
      <c r="C90" s="106">
        <v>51431343</v>
      </c>
      <c r="D90" s="88" t="s">
        <v>35</v>
      </c>
      <c r="E90" s="189">
        <v>4800</v>
      </c>
      <c r="F90" s="21">
        <v>504.51990000000001</v>
      </c>
      <c r="G90" s="21">
        <v>504.66489999999999</v>
      </c>
      <c r="H90" s="18">
        <f>(G90-F90)*E90</f>
        <v>695.99999999991269</v>
      </c>
      <c r="I90" s="51"/>
      <c r="J90" s="52"/>
    </row>
    <row r="91" spans="1:10" ht="15.75" x14ac:dyDescent="0.25">
      <c r="A91" s="44" t="s">
        <v>107</v>
      </c>
      <c r="B91" s="79"/>
      <c r="C91" s="109"/>
      <c r="D91" s="112"/>
      <c r="E91" s="109"/>
      <c r="F91" s="21"/>
      <c r="G91" s="21"/>
      <c r="H91" s="48">
        <f>H89+H90</f>
        <v>18671.519999999782</v>
      </c>
      <c r="I91" s="85">
        <f>H91-H99</f>
        <v>-108.78000000011525</v>
      </c>
      <c r="J91" s="25">
        <f>I91/H91</f>
        <v>-5.8259852438428432E-3</v>
      </c>
    </row>
    <row r="92" spans="1:10" ht="15.75" x14ac:dyDescent="0.25">
      <c r="A92" s="27" t="s">
        <v>108</v>
      </c>
      <c r="B92" s="189" t="s">
        <v>53</v>
      </c>
      <c r="C92" s="106">
        <v>51431347</v>
      </c>
      <c r="D92" s="190" t="s">
        <v>54</v>
      </c>
      <c r="E92" s="189">
        <v>1200</v>
      </c>
      <c r="F92" s="21">
        <v>1202.1474000000001</v>
      </c>
      <c r="G92" s="21">
        <v>1202.1474000000001</v>
      </c>
      <c r="H92" s="18">
        <f>(G92-F92)*E92</f>
        <v>0</v>
      </c>
      <c r="I92" s="51"/>
      <c r="J92" s="52"/>
    </row>
    <row r="93" spans="1:10" ht="15.75" x14ac:dyDescent="0.25">
      <c r="A93" s="27" t="s">
        <v>109</v>
      </c>
      <c r="B93" s="189" t="s">
        <v>53</v>
      </c>
      <c r="C93" s="106">
        <v>51431339</v>
      </c>
      <c r="D93" s="190" t="s">
        <v>54</v>
      </c>
      <c r="E93" s="189">
        <v>1200</v>
      </c>
      <c r="F93" s="21"/>
      <c r="G93" s="21"/>
      <c r="H93" s="18">
        <f t="shared" ref="H93:H100" si="4">(G93-F93)*E93</f>
        <v>0</v>
      </c>
      <c r="I93" s="51"/>
      <c r="J93" s="52"/>
    </row>
    <row r="94" spans="1:10" ht="15.75" x14ac:dyDescent="0.25">
      <c r="A94" s="27" t="s">
        <v>110</v>
      </c>
      <c r="B94" s="189" t="s">
        <v>53</v>
      </c>
      <c r="C94" s="106">
        <v>51217244</v>
      </c>
      <c r="D94" s="189" t="s">
        <v>38</v>
      </c>
      <c r="E94" s="189">
        <v>600</v>
      </c>
      <c r="F94" s="30">
        <v>328.39080000000001</v>
      </c>
      <c r="G94" s="30">
        <v>329.43389999999999</v>
      </c>
      <c r="H94" s="18">
        <f t="shared" si="4"/>
        <v>625.85999999998876</v>
      </c>
      <c r="I94" s="51"/>
      <c r="J94" s="52"/>
    </row>
    <row r="95" spans="1:10" ht="15.75" x14ac:dyDescent="0.25">
      <c r="A95" s="27" t="s">
        <v>111</v>
      </c>
      <c r="B95" s="189" t="s">
        <v>53</v>
      </c>
      <c r="C95" s="106">
        <v>51217267</v>
      </c>
      <c r="D95" s="88" t="s">
        <v>64</v>
      </c>
      <c r="E95" s="189">
        <v>2400</v>
      </c>
      <c r="F95" s="30">
        <v>20.139700000000001</v>
      </c>
      <c r="G95" s="30">
        <v>20.171199999999999</v>
      </c>
      <c r="H95" s="18">
        <f t="shared" si="4"/>
        <v>75.599999999994338</v>
      </c>
      <c r="I95" s="51"/>
      <c r="J95" s="52"/>
    </row>
    <row r="96" spans="1:10" ht="15.75" x14ac:dyDescent="0.25">
      <c r="A96" s="27" t="s">
        <v>112</v>
      </c>
      <c r="B96" s="189" t="s">
        <v>53</v>
      </c>
      <c r="C96" s="189">
        <v>51555165</v>
      </c>
      <c r="D96" s="190" t="s">
        <v>54</v>
      </c>
      <c r="E96" s="189">
        <v>1200</v>
      </c>
      <c r="F96" s="30">
        <v>805.18309999999997</v>
      </c>
      <c r="G96" s="30">
        <v>813.84529999999995</v>
      </c>
      <c r="H96" s="18">
        <f t="shared" si="4"/>
        <v>10394.639999999981</v>
      </c>
      <c r="I96" s="51" t="s">
        <v>28</v>
      </c>
      <c r="J96" s="52"/>
    </row>
    <row r="97" spans="1:10" ht="15.75" x14ac:dyDescent="0.25">
      <c r="A97" s="113" t="s">
        <v>113</v>
      </c>
      <c r="B97" s="189" t="s">
        <v>53</v>
      </c>
      <c r="C97" s="106">
        <v>51431346</v>
      </c>
      <c r="D97" s="114" t="s">
        <v>38</v>
      </c>
      <c r="E97" s="114">
        <v>600</v>
      </c>
      <c r="F97" s="30">
        <v>341.80560000000003</v>
      </c>
      <c r="G97" s="30">
        <v>343.95159999999998</v>
      </c>
      <c r="H97" s="115">
        <f t="shared" si="4"/>
        <v>1287.5999999999749</v>
      </c>
      <c r="I97" s="116"/>
      <c r="J97" s="117"/>
    </row>
    <row r="98" spans="1:10" ht="15.75" x14ac:dyDescent="0.25">
      <c r="A98" s="27" t="s">
        <v>114</v>
      </c>
      <c r="B98" s="189" t="s">
        <v>53</v>
      </c>
      <c r="C98" s="106">
        <v>51431352</v>
      </c>
      <c r="D98" s="88" t="s">
        <v>22</v>
      </c>
      <c r="E98" s="189">
        <v>3600</v>
      </c>
      <c r="F98" s="21">
        <v>221.7766</v>
      </c>
      <c r="G98" s="21">
        <v>223.51009999999999</v>
      </c>
      <c r="H98" s="18">
        <f t="shared" si="4"/>
        <v>6240.5999999999722</v>
      </c>
      <c r="I98" s="51"/>
      <c r="J98" s="52"/>
    </row>
    <row r="99" spans="1:10" ht="15.75" x14ac:dyDescent="0.25">
      <c r="A99" s="44" t="s">
        <v>107</v>
      </c>
      <c r="B99" s="51"/>
      <c r="C99" s="51"/>
      <c r="D99" s="51"/>
      <c r="E99" s="51"/>
      <c r="F99" s="118"/>
      <c r="G99" s="118"/>
      <c r="H99" s="119">
        <f>H92+H93+H94+H95+H96+H97+H98+H86+H87</f>
        <v>18780.299999999897</v>
      </c>
      <c r="I99" s="51"/>
      <c r="J99" s="52"/>
    </row>
    <row r="100" spans="1:10" ht="15.75" x14ac:dyDescent="0.25">
      <c r="A100" s="45" t="s">
        <v>115</v>
      </c>
      <c r="B100" s="189" t="s">
        <v>53</v>
      </c>
      <c r="C100" s="120">
        <v>51431357</v>
      </c>
      <c r="D100" s="190" t="s">
        <v>64</v>
      </c>
      <c r="E100" s="190">
        <v>14000</v>
      </c>
      <c r="F100" s="28">
        <v>823.899</v>
      </c>
      <c r="G100" s="28">
        <v>826.6771</v>
      </c>
      <c r="H100" s="121">
        <f t="shared" si="4"/>
        <v>38893.399999999929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sqref="A1:J99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3" t="s">
        <v>1</v>
      </c>
      <c r="B1" s="203" t="s">
        <v>2</v>
      </c>
      <c r="C1" s="203" t="s">
        <v>3</v>
      </c>
      <c r="D1" s="204" t="s">
        <v>4</v>
      </c>
      <c r="E1" s="203" t="s">
        <v>5</v>
      </c>
      <c r="F1" s="205" t="s">
        <v>6</v>
      </c>
      <c r="G1" s="206"/>
      <c r="H1" s="1" t="s">
        <v>7</v>
      </c>
      <c r="I1" s="2" t="s">
        <v>8</v>
      </c>
      <c r="J1" s="3" t="s">
        <v>8</v>
      </c>
    </row>
    <row r="2" spans="1:10" ht="16.5" thickBot="1" x14ac:dyDescent="0.3">
      <c r="A2" s="203"/>
      <c r="B2" s="203"/>
      <c r="C2" s="203"/>
      <c r="D2" s="204"/>
      <c r="E2" s="203"/>
      <c r="F2" s="4" t="s">
        <v>140</v>
      </c>
      <c r="G2" s="4" t="s">
        <v>141</v>
      </c>
      <c r="H2" s="5" t="s">
        <v>10</v>
      </c>
      <c r="I2" s="6" t="s">
        <v>10</v>
      </c>
      <c r="J2" s="7" t="s">
        <v>11</v>
      </c>
    </row>
    <row r="3" spans="1:10" ht="15.75" x14ac:dyDescent="0.25">
      <c r="A3" s="8"/>
      <c r="B3" s="9"/>
      <c r="C3" s="9"/>
      <c r="D3" s="10" t="s">
        <v>12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13</v>
      </c>
      <c r="B4" s="192" t="s">
        <v>14</v>
      </c>
      <c r="C4" s="192">
        <v>51555166</v>
      </c>
      <c r="D4" s="192" t="s">
        <v>15</v>
      </c>
      <c r="E4" s="192">
        <v>132000</v>
      </c>
      <c r="F4" s="17">
        <v>3.5419999999999998</v>
      </c>
      <c r="G4" s="17">
        <v>3.552</v>
      </c>
      <c r="H4" s="18">
        <f>(G4-F4)*E4</f>
        <v>1320.0000000000305</v>
      </c>
      <c r="I4" s="19"/>
      <c r="J4" s="20"/>
    </row>
    <row r="5" spans="1:10" ht="15.75" x14ac:dyDescent="0.25">
      <c r="A5" s="15" t="s">
        <v>16</v>
      </c>
      <c r="B5" s="192" t="s">
        <v>14</v>
      </c>
      <c r="C5" s="192">
        <v>51555191</v>
      </c>
      <c r="D5" s="192" t="s">
        <v>15</v>
      </c>
      <c r="E5" s="192">
        <v>132000</v>
      </c>
      <c r="F5" s="21">
        <v>363.96629999999999</v>
      </c>
      <c r="G5" s="21">
        <v>366.06</v>
      </c>
      <c r="H5" s="18">
        <f>(G5-F5)*E5</f>
        <v>276368.40000000165</v>
      </c>
      <c r="I5" s="19"/>
      <c r="J5" s="20"/>
    </row>
    <row r="6" spans="1:10" ht="15.75" x14ac:dyDescent="0.25">
      <c r="A6" s="207" t="s">
        <v>17</v>
      </c>
      <c r="B6" s="208"/>
      <c r="C6" s="192"/>
      <c r="D6" s="193"/>
      <c r="E6" s="192"/>
      <c r="H6" s="23">
        <f>H4+H5</f>
        <v>277688.40000000171</v>
      </c>
      <c r="I6" s="24">
        <f>H6-H9-H19</f>
        <v>2164.2000000007829</v>
      </c>
      <c r="J6" s="25">
        <f>I6/H6</f>
        <v>7.7936276776443296E-3</v>
      </c>
    </row>
    <row r="7" spans="1:10" ht="15.75" x14ac:dyDescent="0.25">
      <c r="A7" s="26" t="s">
        <v>18</v>
      </c>
      <c r="B7" s="192" t="s">
        <v>14</v>
      </c>
      <c r="C7" s="192">
        <v>51097629</v>
      </c>
      <c r="D7" s="193" t="s">
        <v>15</v>
      </c>
      <c r="E7" s="192">
        <v>42000</v>
      </c>
      <c r="F7" s="21">
        <v>1087.1069</v>
      </c>
      <c r="G7" s="21">
        <v>1091.817</v>
      </c>
      <c r="H7" s="18">
        <f>(G7-F7)*E7</f>
        <v>197824.20000000048</v>
      </c>
      <c r="I7" s="19"/>
      <c r="J7" s="20"/>
    </row>
    <row r="8" spans="1:10" ht="15.75" x14ac:dyDescent="0.25">
      <c r="A8" s="26" t="s">
        <v>19</v>
      </c>
      <c r="B8" s="192" t="s">
        <v>14</v>
      </c>
      <c r="C8" s="192">
        <v>51616820</v>
      </c>
      <c r="D8" s="193" t="s">
        <v>15</v>
      </c>
      <c r="E8" s="192">
        <v>42000</v>
      </c>
      <c r="F8" s="21">
        <v>6.2558999999999996</v>
      </c>
      <c r="G8" s="21">
        <v>6.2750000000000004</v>
      </c>
      <c r="H8" s="18">
        <f>(G8-F8)*E8</f>
        <v>802.2000000000329</v>
      </c>
      <c r="I8" s="19"/>
      <c r="J8" s="20"/>
    </row>
    <row r="9" spans="1:10" ht="15.75" x14ac:dyDescent="0.25">
      <c r="A9" s="207" t="s">
        <v>20</v>
      </c>
      <c r="B9" s="208"/>
      <c r="C9" s="192"/>
      <c r="D9" s="193"/>
      <c r="E9" s="192"/>
      <c r="F9" s="21"/>
      <c r="G9" s="21"/>
      <c r="H9" s="23">
        <f>H7+H8</f>
        <v>198626.40000000052</v>
      </c>
      <c r="I9" s="24">
        <f>H9-H16</f>
        <v>-2.099999999802094</v>
      </c>
      <c r="J9" s="25">
        <f>I9/H9</f>
        <v>-1.0572612703055024E-5</v>
      </c>
    </row>
    <row r="10" spans="1:10" ht="15.75" x14ac:dyDescent="0.25">
      <c r="A10" s="27" t="s">
        <v>21</v>
      </c>
      <c r="B10" s="192" t="s">
        <v>14</v>
      </c>
      <c r="C10" s="192">
        <v>51217286</v>
      </c>
      <c r="D10" s="193" t="s">
        <v>22</v>
      </c>
      <c r="E10" s="192">
        <v>21000</v>
      </c>
      <c r="F10" s="21">
        <v>858.38670000000002</v>
      </c>
      <c r="G10" s="21">
        <v>861.57600000000002</v>
      </c>
      <c r="H10" s="18">
        <f t="shared" ref="H10:H15" si="0">(G10-F10)*E10</f>
        <v>66975.300000000061</v>
      </c>
      <c r="I10" s="19"/>
      <c r="J10" s="20"/>
    </row>
    <row r="11" spans="1:10" ht="15.75" x14ac:dyDescent="0.25">
      <c r="A11" s="27" t="s">
        <v>23</v>
      </c>
      <c r="B11" s="192" t="s">
        <v>14</v>
      </c>
      <c r="C11" s="192">
        <v>51217292</v>
      </c>
      <c r="D11" s="193" t="s">
        <v>22</v>
      </c>
      <c r="E11" s="192">
        <v>21000</v>
      </c>
      <c r="F11" s="28">
        <v>3.8182999999999998</v>
      </c>
      <c r="G11" s="28">
        <v>3.8410000000000002</v>
      </c>
      <c r="H11" s="18">
        <f>(G11-F11)*E11</f>
        <v>476.70000000000812</v>
      </c>
      <c r="I11" s="19"/>
      <c r="J11" s="20"/>
    </row>
    <row r="12" spans="1:10" ht="15.75" x14ac:dyDescent="0.25">
      <c r="A12" s="27" t="s">
        <v>24</v>
      </c>
      <c r="B12" s="192" t="s">
        <v>14</v>
      </c>
      <c r="C12" s="192">
        <v>51217271</v>
      </c>
      <c r="D12" s="193" t="s">
        <v>22</v>
      </c>
      <c r="E12" s="192">
        <v>21000</v>
      </c>
      <c r="F12" s="21">
        <v>633.11</v>
      </c>
      <c r="G12" s="21">
        <v>636.39800000000002</v>
      </c>
      <c r="H12" s="18">
        <f t="shared" si="0"/>
        <v>69048.000000000233</v>
      </c>
      <c r="I12" s="19"/>
      <c r="J12" s="20"/>
    </row>
    <row r="13" spans="1:10" ht="15.75" x14ac:dyDescent="0.25">
      <c r="A13" s="27" t="s">
        <v>25</v>
      </c>
      <c r="B13" s="192" t="s">
        <v>14</v>
      </c>
      <c r="C13" s="192">
        <v>51217276</v>
      </c>
      <c r="D13" s="193" t="s">
        <v>22</v>
      </c>
      <c r="E13" s="192">
        <v>21000</v>
      </c>
      <c r="F13" s="28">
        <v>0.56340000000000001</v>
      </c>
      <c r="G13" s="28">
        <v>0.56399999999999995</v>
      </c>
      <c r="H13" s="18">
        <f>(G13-F13)*E13</f>
        <v>12.599999999998612</v>
      </c>
      <c r="I13" s="19"/>
      <c r="J13" s="20"/>
    </row>
    <row r="14" spans="1:10" ht="15.75" x14ac:dyDescent="0.25">
      <c r="A14" s="27" t="s">
        <v>26</v>
      </c>
      <c r="B14" s="192" t="s">
        <v>14</v>
      </c>
      <c r="C14" s="192">
        <v>51100990</v>
      </c>
      <c r="D14" s="193" t="s">
        <v>22</v>
      </c>
      <c r="E14" s="192">
        <v>21000</v>
      </c>
      <c r="F14" s="29">
        <v>689.73990000000003</v>
      </c>
      <c r="G14" s="29">
        <v>692.68600000000004</v>
      </c>
      <c r="H14" s="18">
        <f t="shared" si="0"/>
        <v>61868.100000000028</v>
      </c>
      <c r="I14" s="19"/>
      <c r="J14" s="20"/>
    </row>
    <row r="15" spans="1:10" ht="15.75" x14ac:dyDescent="0.25">
      <c r="A15" s="27" t="s">
        <v>27</v>
      </c>
      <c r="B15" s="192" t="s">
        <v>14</v>
      </c>
      <c r="C15" s="192">
        <v>51097622</v>
      </c>
      <c r="D15" s="193" t="s">
        <v>22</v>
      </c>
      <c r="E15" s="192">
        <v>21000</v>
      </c>
      <c r="F15" s="21">
        <v>3.6402000000000001</v>
      </c>
      <c r="G15" s="21">
        <v>3.6520000000000001</v>
      </c>
      <c r="H15" s="18">
        <f t="shared" si="0"/>
        <v>247.80000000000069</v>
      </c>
      <c r="I15" s="19" t="s">
        <v>28</v>
      </c>
      <c r="J15" s="20"/>
    </row>
    <row r="16" spans="1:10" ht="15.75" x14ac:dyDescent="0.25">
      <c r="A16" s="207" t="s">
        <v>29</v>
      </c>
      <c r="B16" s="208"/>
      <c r="C16" s="192"/>
      <c r="D16" s="193"/>
      <c r="E16" s="192"/>
      <c r="F16" s="21"/>
      <c r="G16" s="21"/>
      <c r="H16" s="23">
        <f>H10+H11+H12+H13+H14+H15</f>
        <v>198628.50000000032</v>
      </c>
      <c r="I16" s="19"/>
      <c r="J16" s="20"/>
    </row>
    <row r="17" spans="1:10" ht="15.75" x14ac:dyDescent="0.25">
      <c r="A17" s="26" t="s">
        <v>30</v>
      </c>
      <c r="B17" s="192" t="s">
        <v>14</v>
      </c>
      <c r="C17" s="192">
        <v>51097617</v>
      </c>
      <c r="D17" s="193" t="s">
        <v>31</v>
      </c>
      <c r="E17" s="192">
        <v>18000</v>
      </c>
      <c r="F17" s="30">
        <v>836.28589999999997</v>
      </c>
      <c r="G17" s="30">
        <v>840.55799999999999</v>
      </c>
      <c r="H17" s="18">
        <f>(G17-F17)*E17</f>
        <v>76897.80000000041</v>
      </c>
      <c r="I17" s="19"/>
      <c r="J17" s="20"/>
    </row>
    <row r="18" spans="1:10" ht="15.75" x14ac:dyDescent="0.25">
      <c r="A18" s="26" t="s">
        <v>32</v>
      </c>
      <c r="B18" s="192" t="s">
        <v>14</v>
      </c>
      <c r="C18" s="192">
        <v>51097655</v>
      </c>
      <c r="D18" s="193" t="s">
        <v>31</v>
      </c>
      <c r="E18" s="192">
        <v>18000</v>
      </c>
      <c r="F18" s="30">
        <v>8.2070000000000007</v>
      </c>
      <c r="G18" s="30">
        <v>8.2070000000000007</v>
      </c>
      <c r="H18" s="18">
        <f>(G18-F18)*E18</f>
        <v>0</v>
      </c>
      <c r="I18" s="19"/>
      <c r="J18" s="20"/>
    </row>
    <row r="19" spans="1:10" ht="15.75" x14ac:dyDescent="0.25">
      <c r="A19" s="207" t="s">
        <v>33</v>
      </c>
      <c r="B19" s="208"/>
      <c r="C19" s="192"/>
      <c r="D19" s="193"/>
      <c r="E19" s="192"/>
      <c r="F19" s="30"/>
      <c r="G19" s="30"/>
      <c r="H19" s="23">
        <f>H17+H18</f>
        <v>76897.80000000041</v>
      </c>
      <c r="I19" s="24">
        <f>H19-H34</f>
        <v>1747.3199999998033</v>
      </c>
      <c r="J19" s="25">
        <f>I19/H19</f>
        <v>2.2722626655116193E-2</v>
      </c>
    </row>
    <row r="20" spans="1:10" ht="15.75" x14ac:dyDescent="0.25">
      <c r="A20" s="15" t="s">
        <v>34</v>
      </c>
      <c r="B20" s="192" t="s">
        <v>14</v>
      </c>
      <c r="C20" s="192">
        <v>51217282</v>
      </c>
      <c r="D20" s="193" t="s">
        <v>35</v>
      </c>
      <c r="E20" s="192">
        <v>4800</v>
      </c>
      <c r="F20" s="21">
        <v>381.3297</v>
      </c>
      <c r="G20" s="21">
        <v>381.649</v>
      </c>
      <c r="H20" s="18">
        <f t="shared" ref="H20:H33" si="1">(G20-F20)*E20</f>
        <v>1532.6399999999921</v>
      </c>
      <c r="I20" s="19" t="s">
        <v>28</v>
      </c>
      <c r="J20" s="20"/>
    </row>
    <row r="21" spans="1:10" ht="15.75" x14ac:dyDescent="0.25">
      <c r="A21" s="15" t="s">
        <v>36</v>
      </c>
      <c r="B21" s="192" t="s">
        <v>14</v>
      </c>
      <c r="C21" s="192">
        <v>51217274</v>
      </c>
      <c r="D21" s="193" t="s">
        <v>35</v>
      </c>
      <c r="E21" s="192">
        <v>4800</v>
      </c>
      <c r="F21" s="21">
        <v>1310.5979</v>
      </c>
      <c r="G21" s="21">
        <v>1316.2760000000001</v>
      </c>
      <c r="H21" s="18">
        <f t="shared" si="1"/>
        <v>27254.880000000412</v>
      </c>
      <c r="I21" s="19"/>
      <c r="J21" s="20"/>
    </row>
    <row r="22" spans="1:10" ht="15.75" x14ac:dyDescent="0.25">
      <c r="A22" s="15" t="s">
        <v>37</v>
      </c>
      <c r="B22" s="192" t="s">
        <v>14</v>
      </c>
      <c r="C22" s="192">
        <v>51097664</v>
      </c>
      <c r="D22" s="193" t="s">
        <v>38</v>
      </c>
      <c r="E22" s="192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39</v>
      </c>
      <c r="B23" s="192" t="s">
        <v>14</v>
      </c>
      <c r="C23" s="192">
        <v>51097615</v>
      </c>
      <c r="D23" s="193" t="s">
        <v>38</v>
      </c>
      <c r="E23" s="192">
        <v>600</v>
      </c>
      <c r="F23" s="21">
        <v>42.315899999999999</v>
      </c>
      <c r="G23" s="21">
        <v>42.607999999999997</v>
      </c>
      <c r="H23" s="18">
        <f t="shared" si="1"/>
        <v>175.25999999999868</v>
      </c>
      <c r="I23" s="19"/>
      <c r="J23" s="20"/>
    </row>
    <row r="24" spans="1:10" ht="15.75" x14ac:dyDescent="0.25">
      <c r="A24" s="15" t="s">
        <v>40</v>
      </c>
      <c r="B24" s="192" t="s">
        <v>14</v>
      </c>
      <c r="C24" s="192">
        <v>51217264</v>
      </c>
      <c r="D24" s="193" t="s">
        <v>38</v>
      </c>
      <c r="E24" s="192">
        <v>600</v>
      </c>
      <c r="F24" s="21">
        <v>99.490499999999997</v>
      </c>
      <c r="G24" s="21">
        <v>100.202</v>
      </c>
      <c r="H24" s="18">
        <f t="shared" si="1"/>
        <v>426.90000000000055</v>
      </c>
      <c r="I24" s="19"/>
      <c r="J24" s="20"/>
    </row>
    <row r="25" spans="1:10" ht="15.75" x14ac:dyDescent="0.25">
      <c r="A25" s="15" t="s">
        <v>41</v>
      </c>
      <c r="B25" s="192" t="s">
        <v>14</v>
      </c>
      <c r="C25" s="192">
        <v>51217288</v>
      </c>
      <c r="D25" s="193" t="s">
        <v>38</v>
      </c>
      <c r="E25" s="192">
        <v>600</v>
      </c>
      <c r="F25" s="21">
        <v>20.269500000000001</v>
      </c>
      <c r="G25" s="21">
        <v>20.298999999999999</v>
      </c>
      <c r="H25" s="18">
        <f t="shared" si="1"/>
        <v>17.69999999999925</v>
      </c>
      <c r="I25" s="19" t="s">
        <v>28</v>
      </c>
      <c r="J25" s="20"/>
    </row>
    <row r="26" spans="1:10" ht="15.75" x14ac:dyDescent="0.25">
      <c r="A26" s="15" t="s">
        <v>42</v>
      </c>
      <c r="B26" s="192" t="s">
        <v>14</v>
      </c>
      <c r="C26" s="192">
        <v>51217279</v>
      </c>
      <c r="D26" s="193" t="s">
        <v>38</v>
      </c>
      <c r="E26" s="192">
        <v>600</v>
      </c>
      <c r="F26" s="21">
        <v>14.943</v>
      </c>
      <c r="G26" s="21">
        <v>14.996</v>
      </c>
      <c r="H26" s="18">
        <f t="shared" si="1"/>
        <v>31.800000000000495</v>
      </c>
      <c r="I26" s="19" t="s">
        <v>28</v>
      </c>
      <c r="J26" s="20"/>
    </row>
    <row r="27" spans="1:10" ht="15.75" x14ac:dyDescent="0.25">
      <c r="A27" s="15" t="s">
        <v>43</v>
      </c>
      <c r="B27" s="192" t="s">
        <v>14</v>
      </c>
      <c r="C27" s="192">
        <v>51217272</v>
      </c>
      <c r="D27" s="193" t="s">
        <v>38</v>
      </c>
      <c r="E27" s="192">
        <v>600</v>
      </c>
      <c r="F27" s="31">
        <v>14.656700000000001</v>
      </c>
      <c r="G27" s="31">
        <v>14.708</v>
      </c>
      <c r="H27" s="18">
        <f t="shared" si="1"/>
        <v>30.779999999999674</v>
      </c>
      <c r="I27" s="19"/>
      <c r="J27" s="20"/>
    </row>
    <row r="28" spans="1:10" ht="15.75" x14ac:dyDescent="0.25">
      <c r="A28" s="15" t="s">
        <v>44</v>
      </c>
      <c r="B28" s="192" t="s">
        <v>14</v>
      </c>
      <c r="C28" s="192">
        <v>51616744</v>
      </c>
      <c r="D28" s="193">
        <f>300/5</f>
        <v>60</v>
      </c>
      <c r="E28" s="192">
        <v>3600</v>
      </c>
      <c r="F28" s="31">
        <v>109.78400000000001</v>
      </c>
      <c r="G28" s="31">
        <v>109.78400000000001</v>
      </c>
      <c r="H28" s="18">
        <f t="shared" si="1"/>
        <v>0</v>
      </c>
      <c r="I28" s="19"/>
      <c r="J28" s="20"/>
    </row>
    <row r="29" spans="1:10" ht="15.75" x14ac:dyDescent="0.25">
      <c r="A29" s="15" t="s">
        <v>45</v>
      </c>
      <c r="B29" s="192" t="s">
        <v>14</v>
      </c>
      <c r="C29" s="192">
        <v>51555226</v>
      </c>
      <c r="D29" s="193">
        <f>300/5</f>
        <v>60</v>
      </c>
      <c r="E29" s="192">
        <v>3600</v>
      </c>
      <c r="F29" s="31">
        <v>492.04669999999999</v>
      </c>
      <c r="G29" s="31">
        <v>496.47199999999998</v>
      </c>
      <c r="H29" s="18">
        <f>(G29-F29)*E29</f>
        <v>15931.079999999974</v>
      </c>
      <c r="I29" s="19"/>
      <c r="J29" s="20"/>
    </row>
    <row r="30" spans="1:10" ht="15.75" x14ac:dyDescent="0.25">
      <c r="A30" s="15" t="s">
        <v>46</v>
      </c>
      <c r="B30" s="192" t="s">
        <v>14</v>
      </c>
      <c r="C30" s="192">
        <v>51097658</v>
      </c>
      <c r="D30" s="193" t="s">
        <v>35</v>
      </c>
      <c r="E30" s="192">
        <v>4800</v>
      </c>
      <c r="F30" s="31">
        <v>646.58050000000003</v>
      </c>
      <c r="G30" s="31">
        <v>650.33900000000006</v>
      </c>
      <c r="H30" s="18">
        <f t="shared" si="1"/>
        <v>18040.800000000127</v>
      </c>
      <c r="I30" s="19"/>
      <c r="J30" s="20"/>
    </row>
    <row r="31" spans="1:10" ht="15.75" x14ac:dyDescent="0.25">
      <c r="A31" s="15" t="s">
        <v>47</v>
      </c>
      <c r="B31" s="192" t="s">
        <v>14</v>
      </c>
      <c r="C31" s="192">
        <v>51097635</v>
      </c>
      <c r="D31" s="193" t="s">
        <v>35</v>
      </c>
      <c r="E31" s="192">
        <v>4800</v>
      </c>
      <c r="F31" s="31">
        <v>48.4619</v>
      </c>
      <c r="G31" s="31">
        <v>48.462000000000003</v>
      </c>
      <c r="H31" s="18">
        <f t="shared" si="1"/>
        <v>0.48000000001593435</v>
      </c>
      <c r="I31" s="19"/>
      <c r="J31" s="20"/>
    </row>
    <row r="32" spans="1:10" ht="15.75" x14ac:dyDescent="0.25">
      <c r="A32" s="15" t="s">
        <v>48</v>
      </c>
      <c r="B32" s="192" t="s">
        <v>14</v>
      </c>
      <c r="C32" s="32">
        <v>51097633</v>
      </c>
      <c r="D32" s="193" t="s">
        <v>35</v>
      </c>
      <c r="E32" s="192">
        <v>4800</v>
      </c>
      <c r="F32" s="31">
        <v>167.45769999999999</v>
      </c>
      <c r="G32" s="31">
        <v>169.846</v>
      </c>
      <c r="H32" s="33">
        <f t="shared" si="1"/>
        <v>11463.840000000073</v>
      </c>
      <c r="I32" s="34"/>
      <c r="J32" s="35"/>
    </row>
    <row r="33" spans="1:10" ht="15.75" x14ac:dyDescent="0.25">
      <c r="A33" s="15" t="s">
        <v>49</v>
      </c>
      <c r="B33" s="192" t="s">
        <v>14</v>
      </c>
      <c r="C33" s="32">
        <v>51097662</v>
      </c>
      <c r="D33" s="193" t="s">
        <v>35</v>
      </c>
      <c r="E33" s="192">
        <v>4800</v>
      </c>
      <c r="F33" s="31">
        <v>3.4630999999999998</v>
      </c>
      <c r="G33" s="31">
        <v>3.5139999999999998</v>
      </c>
      <c r="H33" s="33">
        <f t="shared" si="1"/>
        <v>244.31999999999974</v>
      </c>
      <c r="I33" s="34"/>
      <c r="J33" s="35"/>
    </row>
    <row r="34" spans="1:10" ht="15.75" x14ac:dyDescent="0.25">
      <c r="A34" s="207" t="s">
        <v>50</v>
      </c>
      <c r="B34" s="208"/>
      <c r="C34" s="192"/>
      <c r="D34" s="193"/>
      <c r="E34" s="192"/>
      <c r="F34" s="36"/>
      <c r="G34" s="36"/>
      <c r="H34" s="23">
        <f>H20+H21+H22+H23+H24+H25+H26+H27+H28+H29+H30+H31+H32+H33</f>
        <v>75150.480000000607</v>
      </c>
      <c r="I34" s="19"/>
      <c r="J34" s="20"/>
    </row>
    <row r="35" spans="1:10" ht="15.75" x14ac:dyDescent="0.25">
      <c r="A35" s="37"/>
      <c r="B35" s="37"/>
      <c r="C35" s="37"/>
      <c r="D35" s="38" t="s">
        <v>51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52</v>
      </c>
      <c r="B36" s="192" t="s">
        <v>53</v>
      </c>
      <c r="C36" s="192">
        <v>51555209</v>
      </c>
      <c r="D36" s="193" t="s">
        <v>54</v>
      </c>
      <c r="E36" s="192">
        <v>7000</v>
      </c>
      <c r="F36" s="17">
        <v>5.6825999999999999</v>
      </c>
      <c r="G36" s="17">
        <v>5.7350000000000003</v>
      </c>
      <c r="H36" s="41">
        <f>(G36-F36)*E36</f>
        <v>366.80000000000314</v>
      </c>
      <c r="I36" s="42"/>
      <c r="J36" s="14"/>
    </row>
    <row r="37" spans="1:10" ht="15.75" x14ac:dyDescent="0.25">
      <c r="A37" s="15" t="s">
        <v>55</v>
      </c>
      <c r="B37" s="192" t="s">
        <v>53</v>
      </c>
      <c r="C37" s="192">
        <v>51555209</v>
      </c>
      <c r="D37" s="193" t="s">
        <v>54</v>
      </c>
      <c r="E37" s="192">
        <v>7000</v>
      </c>
      <c r="F37" s="21">
        <v>10.1431</v>
      </c>
      <c r="G37" s="21">
        <v>10.176</v>
      </c>
      <c r="H37" s="18">
        <f>(G37-F37)*E37</f>
        <v>230.29999999999797</v>
      </c>
      <c r="I37" s="43"/>
      <c r="J37" s="20"/>
    </row>
    <row r="38" spans="1:10" ht="15.75" x14ac:dyDescent="0.25">
      <c r="A38" s="44" t="s">
        <v>56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57</v>
      </c>
      <c r="B39" s="192" t="s">
        <v>53</v>
      </c>
      <c r="C39" s="192">
        <v>51097674</v>
      </c>
      <c r="D39" s="192" t="s">
        <v>15</v>
      </c>
      <c r="E39" s="192">
        <v>7200</v>
      </c>
      <c r="F39" s="21">
        <v>585.2056</v>
      </c>
      <c r="G39" s="21">
        <v>587.58199999999999</v>
      </c>
      <c r="H39" s="18">
        <f>(G39-F39)*E39</f>
        <v>17110.079999999925</v>
      </c>
      <c r="I39" s="47"/>
      <c r="J39" s="20"/>
    </row>
    <row r="40" spans="1:10" ht="15.75" x14ac:dyDescent="0.25">
      <c r="A40" s="27" t="s">
        <v>58</v>
      </c>
      <c r="B40" s="192" t="s">
        <v>53</v>
      </c>
      <c r="C40" s="192">
        <v>51259257</v>
      </c>
      <c r="D40" s="192" t="s">
        <v>15</v>
      </c>
      <c r="E40" s="192">
        <v>7200</v>
      </c>
      <c r="F40" s="21">
        <v>1.0549999999999999</v>
      </c>
      <c r="G40" s="21">
        <v>1.0549999999999999</v>
      </c>
      <c r="H40" s="18">
        <f>(G40-F40)*E40</f>
        <v>0</v>
      </c>
      <c r="I40" s="43"/>
      <c r="J40" s="20"/>
    </row>
    <row r="41" spans="1:10" ht="15.75" x14ac:dyDescent="0.25">
      <c r="A41" s="44" t="s">
        <v>59</v>
      </c>
      <c r="B41" s="192"/>
      <c r="C41" s="192"/>
      <c r="D41" s="192"/>
      <c r="E41" s="192"/>
      <c r="F41" s="21"/>
      <c r="G41" s="21"/>
      <c r="H41" s="48">
        <f>H39+H40</f>
        <v>17110.079999999925</v>
      </c>
      <c r="I41" s="24">
        <f>H41-H49</f>
        <v>-116.7200000001576</v>
      </c>
      <c r="J41" s="25">
        <f>I41/H41</f>
        <v>-6.8217097757671567E-3</v>
      </c>
    </row>
    <row r="42" spans="1:10" ht="15.75" x14ac:dyDescent="0.25">
      <c r="A42" s="15" t="s">
        <v>60</v>
      </c>
      <c r="B42" s="192"/>
      <c r="C42" s="192"/>
      <c r="D42" s="193"/>
      <c r="E42" s="192"/>
      <c r="H42" s="18"/>
      <c r="I42" s="43"/>
      <c r="J42" s="20"/>
    </row>
    <row r="43" spans="1:10" ht="15.75" x14ac:dyDescent="0.25">
      <c r="A43" s="27" t="s">
        <v>61</v>
      </c>
      <c r="B43" s="192" t="s">
        <v>53</v>
      </c>
      <c r="C43" s="32">
        <v>51097648</v>
      </c>
      <c r="D43" s="192" t="s">
        <v>54</v>
      </c>
      <c r="E43" s="192">
        <v>1200</v>
      </c>
      <c r="F43" s="21">
        <v>478.98590000000002</v>
      </c>
      <c r="G43" s="21">
        <v>480.93299999999999</v>
      </c>
      <c r="H43" s="33">
        <f>(G43-F43)*E43</f>
        <v>2336.5199999999732</v>
      </c>
      <c r="I43" s="43"/>
      <c r="J43" s="20"/>
    </row>
    <row r="44" spans="1:10" ht="15.75" x14ac:dyDescent="0.25">
      <c r="A44" s="27" t="s">
        <v>62</v>
      </c>
      <c r="B44" s="192" t="s">
        <v>53</v>
      </c>
      <c r="C44" s="32">
        <v>50555043</v>
      </c>
      <c r="D44" s="192" t="s">
        <v>54</v>
      </c>
      <c r="E44" s="192">
        <v>1200</v>
      </c>
      <c r="F44" s="21">
        <v>2004.9195</v>
      </c>
      <c r="G44" s="21">
        <v>2012.913</v>
      </c>
      <c r="H44" s="33">
        <f>(G44-F44)*E44</f>
        <v>9592.200000000048</v>
      </c>
      <c r="I44" s="43"/>
      <c r="J44" s="20"/>
    </row>
    <row r="45" spans="1:10" ht="15.75" x14ac:dyDescent="0.25">
      <c r="A45" s="27" t="s">
        <v>63</v>
      </c>
      <c r="B45" s="192" t="s">
        <v>53</v>
      </c>
      <c r="C45" s="32">
        <v>51259336</v>
      </c>
      <c r="D45" s="192" t="s">
        <v>64</v>
      </c>
      <c r="E45" s="192">
        <v>2400</v>
      </c>
      <c r="F45" s="21">
        <v>4.0797999999999996</v>
      </c>
      <c r="G45" s="21">
        <v>4.093</v>
      </c>
      <c r="H45" s="33">
        <f>(G45-F45)*E45</f>
        <v>31.680000000000774</v>
      </c>
      <c r="I45" s="43"/>
      <c r="J45" s="20"/>
    </row>
    <row r="46" spans="1:10" ht="15.75" x14ac:dyDescent="0.25">
      <c r="A46" s="27" t="s">
        <v>65</v>
      </c>
      <c r="B46" s="192" t="s">
        <v>53</v>
      </c>
      <c r="C46" s="32">
        <v>51259266</v>
      </c>
      <c r="D46" s="192" t="s">
        <v>54</v>
      </c>
      <c r="E46" s="192">
        <v>1200</v>
      </c>
      <c r="F46" s="21">
        <v>972.68539999999996</v>
      </c>
      <c r="G46" s="21">
        <v>976.71600000000001</v>
      </c>
      <c r="H46" s="33">
        <f>(G46-F46)*E46</f>
        <v>4836.7200000000594</v>
      </c>
      <c r="I46" s="43"/>
      <c r="J46" s="20"/>
    </row>
    <row r="47" spans="1:10" ht="15.75" x14ac:dyDescent="0.25">
      <c r="A47" s="27" t="s">
        <v>66</v>
      </c>
      <c r="B47" s="192" t="s">
        <v>53</v>
      </c>
      <c r="C47" s="32">
        <v>51431336</v>
      </c>
      <c r="D47" s="192" t="s">
        <v>54</v>
      </c>
      <c r="E47" s="192">
        <v>1200</v>
      </c>
      <c r="F47" s="21">
        <v>56.6066</v>
      </c>
      <c r="G47" s="21">
        <v>56.923000000000002</v>
      </c>
      <c r="H47" s="33">
        <f>(G47-F47)*E47</f>
        <v>379.68000000000188</v>
      </c>
      <c r="I47" s="43"/>
      <c r="J47" s="20"/>
    </row>
    <row r="48" spans="1:10" ht="15.75" x14ac:dyDescent="0.25">
      <c r="A48" s="15" t="s">
        <v>67</v>
      </c>
      <c r="B48" s="192" t="s">
        <v>68</v>
      </c>
      <c r="C48" s="192">
        <v>49174</v>
      </c>
      <c r="D48" s="193" t="s">
        <v>54</v>
      </c>
      <c r="E48" s="192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69</v>
      </c>
      <c r="B49" s="45"/>
      <c r="C49" s="45"/>
      <c r="D49" s="45"/>
      <c r="E49" s="45"/>
      <c r="F49" s="49"/>
      <c r="G49" s="49"/>
      <c r="H49" s="50">
        <f>H43+H44+H45+H46+H47+H48</f>
        <v>17226.800000000083</v>
      </c>
      <c r="I49" s="51"/>
      <c r="J49" s="52"/>
    </row>
    <row r="50" spans="1:10" ht="15.75" x14ac:dyDescent="0.25">
      <c r="A50" s="53" t="s">
        <v>70</v>
      </c>
      <c r="B50" s="201" t="s">
        <v>71</v>
      </c>
      <c r="C50" s="201"/>
      <c r="D50" s="201"/>
      <c r="E50" s="201"/>
      <c r="F50" s="54"/>
      <c r="G50" s="54"/>
      <c r="H50" s="55"/>
      <c r="I50" s="56"/>
      <c r="J50" s="57"/>
    </row>
    <row r="51" spans="1:10" ht="15.75" x14ac:dyDescent="0.25">
      <c r="A51" s="27" t="s">
        <v>72</v>
      </c>
      <c r="B51" s="192" t="s">
        <v>53</v>
      </c>
      <c r="C51" s="192">
        <v>51097603</v>
      </c>
      <c r="D51" s="193" t="s">
        <v>54</v>
      </c>
      <c r="E51" s="192">
        <v>7000</v>
      </c>
      <c r="F51" s="17">
        <v>1919.6126999999999</v>
      </c>
      <c r="G51" s="17">
        <v>1926.538</v>
      </c>
      <c r="H51" s="18">
        <f>(G51-F51)*E51</f>
        <v>48477.100000000748</v>
      </c>
      <c r="I51" s="43"/>
      <c r="J51" s="20"/>
    </row>
    <row r="52" spans="1:10" ht="15.75" x14ac:dyDescent="0.25">
      <c r="A52" s="27" t="s">
        <v>73</v>
      </c>
      <c r="B52" s="192" t="s">
        <v>53</v>
      </c>
      <c r="C52" s="192">
        <v>51097590</v>
      </c>
      <c r="D52" s="193" t="s">
        <v>54</v>
      </c>
      <c r="E52" s="192">
        <v>7000</v>
      </c>
      <c r="F52" s="21">
        <v>12.4541</v>
      </c>
      <c r="G52" s="21">
        <v>12.526</v>
      </c>
      <c r="H52" s="18">
        <f>(G52-F52)*E52</f>
        <v>503.29999999999586</v>
      </c>
      <c r="I52" s="43"/>
      <c r="J52" s="20"/>
    </row>
    <row r="53" spans="1:10" ht="15.75" x14ac:dyDescent="0.25">
      <c r="A53" s="15" t="s">
        <v>67</v>
      </c>
      <c r="B53" s="192" t="s">
        <v>68</v>
      </c>
      <c r="C53" s="192">
        <v>49174</v>
      </c>
      <c r="D53" s="193" t="s">
        <v>54</v>
      </c>
      <c r="E53" s="192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74</v>
      </c>
      <c r="B54" s="40"/>
      <c r="C54" s="192"/>
      <c r="D54" s="193"/>
      <c r="E54" s="192"/>
      <c r="F54" s="21"/>
      <c r="G54" s="21"/>
      <c r="H54" s="48">
        <f>H51+H52+H53</f>
        <v>49080.400000000744</v>
      </c>
      <c r="I54" s="47"/>
      <c r="J54" s="59"/>
    </row>
    <row r="55" spans="1:10" ht="15.75" x14ac:dyDescent="0.25">
      <c r="A55" s="27" t="s">
        <v>75</v>
      </c>
      <c r="B55" s="192" t="s">
        <v>53</v>
      </c>
      <c r="C55" s="192">
        <v>51100980</v>
      </c>
      <c r="D55" s="192" t="s">
        <v>76</v>
      </c>
      <c r="E55" s="192">
        <v>12000</v>
      </c>
      <c r="F55" s="21">
        <v>1129.4770000000001</v>
      </c>
      <c r="G55" s="21">
        <v>1133.5650000000001</v>
      </c>
      <c r="H55" s="18">
        <f>(G55-F55)*E55</f>
        <v>49055.999999999585</v>
      </c>
      <c r="I55" s="47"/>
      <c r="J55" s="58"/>
    </row>
    <row r="56" spans="1:10" ht="15.75" x14ac:dyDescent="0.25">
      <c r="A56" s="27" t="s">
        <v>77</v>
      </c>
      <c r="B56" s="192" t="s">
        <v>53</v>
      </c>
      <c r="C56" s="192">
        <v>51097623</v>
      </c>
      <c r="D56" s="192" t="s">
        <v>76</v>
      </c>
      <c r="E56" s="192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78</v>
      </c>
      <c r="B57" s="192"/>
      <c r="C57" s="192"/>
      <c r="D57" s="192"/>
      <c r="E57" s="192"/>
      <c r="F57" s="21"/>
      <c r="G57" s="21"/>
      <c r="H57" s="48">
        <f>H55+H56</f>
        <v>49055.999999999585</v>
      </c>
      <c r="I57" s="61">
        <f>H54-H64-H53</f>
        <v>-137.39999999997235</v>
      </c>
      <c r="J57" s="25">
        <f>I57/H57</f>
        <v>-2.8008806262225521E-3</v>
      </c>
    </row>
    <row r="58" spans="1:10" ht="15.75" x14ac:dyDescent="0.25">
      <c r="A58" s="27" t="s">
        <v>79</v>
      </c>
      <c r="B58" s="192" t="s">
        <v>53</v>
      </c>
      <c r="C58" s="192">
        <v>51097675</v>
      </c>
      <c r="D58" s="192" t="s">
        <v>35</v>
      </c>
      <c r="E58" s="192">
        <v>4800</v>
      </c>
      <c r="F58" s="21">
        <v>500.40190000000001</v>
      </c>
      <c r="G58" s="21">
        <v>503.73</v>
      </c>
      <c r="H58" s="18">
        <f t="shared" ref="H58:H63" si="2">(G58-F58)*E58</f>
        <v>15974.88000000003</v>
      </c>
      <c r="I58" s="62"/>
      <c r="J58" s="59"/>
    </row>
    <row r="59" spans="1:10" ht="15.75" x14ac:dyDescent="0.25">
      <c r="A59" s="27" t="s">
        <v>80</v>
      </c>
      <c r="B59" s="192" t="s">
        <v>53</v>
      </c>
      <c r="C59" s="192">
        <v>51100997</v>
      </c>
      <c r="D59" s="192" t="s">
        <v>22</v>
      </c>
      <c r="E59" s="192">
        <v>3600</v>
      </c>
      <c r="F59" s="21">
        <v>1370.0255999999999</v>
      </c>
      <c r="G59" s="21">
        <v>1372.846</v>
      </c>
      <c r="H59" s="18">
        <f t="shared" si="2"/>
        <v>10153.440000000228</v>
      </c>
      <c r="I59" s="62"/>
      <c r="J59" s="59"/>
    </row>
    <row r="60" spans="1:10" ht="15.75" x14ac:dyDescent="0.25">
      <c r="A60" s="27" t="s">
        <v>81</v>
      </c>
      <c r="B60" s="192" t="s">
        <v>53</v>
      </c>
      <c r="C60" s="192">
        <v>51555218</v>
      </c>
      <c r="D60" s="192">
        <f>400/5</f>
        <v>80</v>
      </c>
      <c r="E60" s="192">
        <v>4800</v>
      </c>
      <c r="F60" s="21">
        <v>62.793599999999998</v>
      </c>
      <c r="G60" s="21">
        <v>63.350999999999999</v>
      </c>
      <c r="H60" s="18">
        <f t="shared" si="2"/>
        <v>2675.5200000000059</v>
      </c>
      <c r="I60" s="62"/>
      <c r="J60" s="59"/>
    </row>
    <row r="61" spans="1:10" ht="15.75" x14ac:dyDescent="0.25">
      <c r="A61" s="27" t="s">
        <v>82</v>
      </c>
      <c r="B61" s="192" t="s">
        <v>53</v>
      </c>
      <c r="C61" s="192">
        <v>51555151</v>
      </c>
      <c r="D61" s="192">
        <f>400/5</f>
        <v>80</v>
      </c>
      <c r="E61" s="192">
        <v>4800</v>
      </c>
      <c r="F61" s="63">
        <v>0.30599999999999999</v>
      </c>
      <c r="G61" s="63">
        <v>0.30599999999999999</v>
      </c>
      <c r="H61" s="18">
        <f t="shared" si="2"/>
        <v>0</v>
      </c>
      <c r="I61" s="62"/>
      <c r="J61" s="59"/>
    </row>
    <row r="62" spans="1:10" ht="15.75" x14ac:dyDescent="0.25">
      <c r="A62" s="27" t="s">
        <v>83</v>
      </c>
      <c r="B62" s="192" t="s">
        <v>53</v>
      </c>
      <c r="C62" s="192">
        <v>51097599</v>
      </c>
      <c r="D62" s="192" t="s">
        <v>22</v>
      </c>
      <c r="E62" s="192">
        <v>3600</v>
      </c>
      <c r="F62" s="21">
        <v>956.56269999999995</v>
      </c>
      <c r="G62" s="21">
        <v>958.88800000000003</v>
      </c>
      <c r="H62" s="18">
        <f t="shared" si="2"/>
        <v>8371.0800000003019</v>
      </c>
      <c r="I62" s="62"/>
      <c r="J62" s="59"/>
    </row>
    <row r="63" spans="1:10" ht="15.75" x14ac:dyDescent="0.25">
      <c r="A63" s="27" t="s">
        <v>84</v>
      </c>
      <c r="B63" s="192" t="s">
        <v>53</v>
      </c>
      <c r="C63" s="192">
        <v>51097620</v>
      </c>
      <c r="D63" s="192" t="s">
        <v>35</v>
      </c>
      <c r="E63" s="192">
        <v>4800</v>
      </c>
      <c r="F63" s="21">
        <v>505.04289999999997</v>
      </c>
      <c r="G63" s="21">
        <v>507.53100000000001</v>
      </c>
      <c r="H63" s="18">
        <f t="shared" si="2"/>
        <v>11942.88000000015</v>
      </c>
      <c r="I63" s="62"/>
      <c r="J63" s="64"/>
    </row>
    <row r="64" spans="1:10" ht="16.5" thickBot="1" x14ac:dyDescent="0.3">
      <c r="A64" s="44" t="s">
        <v>50</v>
      </c>
      <c r="B64" s="45"/>
      <c r="C64" s="45"/>
      <c r="D64" s="45"/>
      <c r="E64" s="45"/>
      <c r="F64" s="21"/>
      <c r="G64" s="21"/>
      <c r="H64" s="50">
        <f>+H59+H60+H61+H62+ H63+H58</f>
        <v>49117.800000000716</v>
      </c>
      <c r="I64" s="65"/>
      <c r="J64" s="59"/>
    </row>
    <row r="65" spans="1:10" ht="16.5" thickBot="1" x14ac:dyDescent="0.3">
      <c r="A65" s="66"/>
      <c r="B65" s="67" t="s">
        <v>85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86</v>
      </c>
      <c r="B66" s="192" t="s">
        <v>53</v>
      </c>
      <c r="C66" s="9">
        <v>51259238</v>
      </c>
      <c r="D66" s="74" t="s">
        <v>54</v>
      </c>
      <c r="E66" s="74">
        <v>7000</v>
      </c>
      <c r="F66" s="75">
        <v>547.65899999999999</v>
      </c>
      <c r="G66" s="75">
        <v>550.52300000000002</v>
      </c>
      <c r="H66" s="76">
        <f>(G66-F66)*E66</f>
        <v>20048.000000000229</v>
      </c>
      <c r="I66" s="77"/>
      <c r="J66" s="78"/>
    </row>
    <row r="67" spans="1:10" ht="15.75" x14ac:dyDescent="0.25">
      <c r="A67" s="27" t="s">
        <v>87</v>
      </c>
      <c r="B67" s="192" t="s">
        <v>53</v>
      </c>
      <c r="C67" s="192">
        <v>51259324</v>
      </c>
      <c r="D67" s="193" t="s">
        <v>54</v>
      </c>
      <c r="E67" s="193">
        <v>7000</v>
      </c>
      <c r="F67" s="21">
        <v>426.68680000000001</v>
      </c>
      <c r="G67" s="21">
        <v>428.88299999999998</v>
      </c>
      <c r="H67" s="18">
        <f>(G67-F67)*E67</f>
        <v>15373.399999999834</v>
      </c>
      <c r="I67" s="51"/>
      <c r="J67" s="58"/>
    </row>
    <row r="68" spans="1:10" ht="15.75" x14ac:dyDescent="0.25">
      <c r="A68" s="27" t="s">
        <v>88</v>
      </c>
      <c r="B68" s="79" t="s">
        <v>89</v>
      </c>
      <c r="C68" s="192">
        <v>51491618</v>
      </c>
      <c r="D68" s="193" t="s">
        <v>64</v>
      </c>
      <c r="E68" s="192">
        <v>40</v>
      </c>
      <c r="F68" s="28">
        <v>1216.6935000000001</v>
      </c>
      <c r="G68" s="28">
        <v>1228.269</v>
      </c>
      <c r="H68" s="18">
        <f>(G68-F68)*E68</f>
        <v>463.0199999999968</v>
      </c>
      <c r="I68" s="51"/>
      <c r="J68" s="58"/>
    </row>
    <row r="69" spans="1:10" ht="15.75" x14ac:dyDescent="0.25">
      <c r="A69" s="27" t="s">
        <v>90</v>
      </c>
      <c r="B69" s="79" t="s">
        <v>89</v>
      </c>
      <c r="C69" s="192">
        <v>51491624</v>
      </c>
      <c r="D69" s="193" t="s">
        <v>64</v>
      </c>
      <c r="E69" s="192">
        <v>40</v>
      </c>
      <c r="F69" s="28">
        <v>169.94200000000001</v>
      </c>
      <c r="G69" s="28">
        <v>170.72399999999999</v>
      </c>
      <c r="H69" s="18">
        <f>(G69-F69)*E69</f>
        <v>31.279999999999291</v>
      </c>
      <c r="I69" s="51"/>
      <c r="J69" s="58"/>
    </row>
    <row r="70" spans="1:10" ht="15.75" x14ac:dyDescent="0.25">
      <c r="A70" s="80" t="s">
        <v>91</v>
      </c>
      <c r="B70" s="81"/>
      <c r="C70" s="32" t="s">
        <v>28</v>
      </c>
      <c r="D70" s="82"/>
      <c r="E70" s="82"/>
      <c r="F70" s="83"/>
      <c r="G70" s="83"/>
      <c r="H70" s="84">
        <f>H66+H67</f>
        <v>35421.400000000067</v>
      </c>
      <c r="I70" s="85">
        <f>H70-H73-H68-H69</f>
        <v>193.10000000014361</v>
      </c>
      <c r="J70" s="25">
        <f>I70/H70</f>
        <v>5.4515067162829037E-3</v>
      </c>
    </row>
    <row r="71" spans="1:10" ht="15.75" x14ac:dyDescent="0.25">
      <c r="A71" s="27" t="s">
        <v>92</v>
      </c>
      <c r="B71" s="192" t="s">
        <v>53</v>
      </c>
      <c r="C71" s="86">
        <v>51097588</v>
      </c>
      <c r="D71" s="193" t="s">
        <v>76</v>
      </c>
      <c r="E71" s="192">
        <v>12000</v>
      </c>
      <c r="F71" s="21">
        <v>328.57920000000001</v>
      </c>
      <c r="G71" s="21">
        <v>330.20600000000002</v>
      </c>
      <c r="H71" s="18">
        <f>(G71-F71)*E71</f>
        <v>19521.600000000035</v>
      </c>
      <c r="I71" s="51"/>
      <c r="J71" s="58"/>
    </row>
    <row r="72" spans="1:10" ht="15.75" x14ac:dyDescent="0.25">
      <c r="A72" s="27" t="s">
        <v>93</v>
      </c>
      <c r="B72" s="192" t="s">
        <v>53</v>
      </c>
      <c r="C72" s="86">
        <v>51431335</v>
      </c>
      <c r="D72" s="193" t="s">
        <v>76</v>
      </c>
      <c r="E72" s="192">
        <v>12000</v>
      </c>
      <c r="F72" s="21">
        <v>260.88330000000002</v>
      </c>
      <c r="G72" s="21">
        <v>262.15100000000001</v>
      </c>
      <c r="H72" s="18">
        <f>(G72-F72)*E72</f>
        <v>15212.399999999889</v>
      </c>
      <c r="I72" s="51"/>
      <c r="J72" s="58"/>
    </row>
    <row r="73" spans="1:10" ht="15.75" x14ac:dyDescent="0.25">
      <c r="A73" s="87" t="s">
        <v>94</v>
      </c>
      <c r="B73" s="192" t="s">
        <v>28</v>
      </c>
      <c r="C73" s="192"/>
      <c r="D73" s="193"/>
      <c r="E73" s="192"/>
      <c r="F73" s="21"/>
      <c r="G73" s="21"/>
      <c r="H73" s="48">
        <f>H71+ H72</f>
        <v>34733.999999999927</v>
      </c>
      <c r="I73" s="85">
        <f>H73-H81</f>
        <v>-88.440000000133296</v>
      </c>
      <c r="J73" s="25">
        <f>I73/H73</f>
        <v>-2.5462083261396178E-3</v>
      </c>
    </row>
    <row r="74" spans="1:10" ht="15.75" x14ac:dyDescent="0.25">
      <c r="A74" s="27" t="s">
        <v>95</v>
      </c>
      <c r="B74" s="192" t="s">
        <v>53</v>
      </c>
      <c r="C74" s="86">
        <v>51097676</v>
      </c>
      <c r="D74" s="88" t="s">
        <v>64</v>
      </c>
      <c r="E74" s="192">
        <v>2400</v>
      </c>
      <c r="F74" s="21">
        <v>688.34699999999998</v>
      </c>
      <c r="G74" s="21">
        <v>692.05</v>
      </c>
      <c r="H74" s="18">
        <f>(G74-F74)*E74</f>
        <v>8887.1999999999389</v>
      </c>
      <c r="I74" s="51"/>
      <c r="J74" s="58"/>
    </row>
    <row r="75" spans="1:10" ht="15.75" x14ac:dyDescent="0.25">
      <c r="A75" s="27" t="s">
        <v>96</v>
      </c>
      <c r="B75" s="192" t="s">
        <v>53</v>
      </c>
      <c r="C75" s="86">
        <v>51431355</v>
      </c>
      <c r="D75" s="193" t="s">
        <v>22</v>
      </c>
      <c r="E75" s="193">
        <v>3600</v>
      </c>
      <c r="F75" s="21">
        <v>361.43709999999999</v>
      </c>
      <c r="G75" s="21">
        <v>362.87900000000002</v>
      </c>
      <c r="H75" s="18">
        <f>(G75-F75)*E75</f>
        <v>5190.8400000001166</v>
      </c>
      <c r="I75" s="51"/>
      <c r="J75" s="52"/>
    </row>
    <row r="76" spans="1:10" ht="15.75" x14ac:dyDescent="0.25">
      <c r="A76" s="27" t="s">
        <v>97</v>
      </c>
      <c r="B76" s="192" t="s">
        <v>53</v>
      </c>
      <c r="C76" s="86">
        <v>51259331</v>
      </c>
      <c r="D76" s="88" t="s">
        <v>38</v>
      </c>
      <c r="E76" s="192">
        <v>600</v>
      </c>
      <c r="F76" s="21">
        <v>161.9444</v>
      </c>
      <c r="G76" s="21">
        <v>162.922</v>
      </c>
      <c r="H76" s="18">
        <f>(G76-F76)*E76</f>
        <v>586.55999999999722</v>
      </c>
      <c r="I76" s="51"/>
      <c r="J76" s="52"/>
    </row>
    <row r="77" spans="1:10" ht="15.75" x14ac:dyDescent="0.25">
      <c r="A77" s="27" t="s">
        <v>98</v>
      </c>
      <c r="B77" s="192" t="s">
        <v>53</v>
      </c>
      <c r="C77" s="86">
        <v>51259326</v>
      </c>
      <c r="D77" s="88" t="s">
        <v>15</v>
      </c>
      <c r="E77" s="192">
        <v>7200</v>
      </c>
      <c r="F77" s="21">
        <v>326.78370000000001</v>
      </c>
      <c r="G77" s="21">
        <v>328.27300000000002</v>
      </c>
      <c r="H77" s="18">
        <f>(G77-F77)*E77</f>
        <v>10722.960000000103</v>
      </c>
      <c r="I77" s="51"/>
      <c r="J77" s="52"/>
    </row>
    <row r="78" spans="1:10" ht="15.75" x14ac:dyDescent="0.25">
      <c r="A78" s="27" t="s">
        <v>99</v>
      </c>
      <c r="B78" s="192" t="s">
        <v>53</v>
      </c>
      <c r="C78" s="86">
        <v>51431351</v>
      </c>
      <c r="D78" s="88" t="s">
        <v>15</v>
      </c>
      <c r="E78" s="192">
        <v>7200</v>
      </c>
      <c r="F78" s="21">
        <v>233.84360000000001</v>
      </c>
      <c r="G78" s="21">
        <v>235.154</v>
      </c>
      <c r="H78" s="18">
        <f>(G78-F78)*E78</f>
        <v>9434.8799999999064</v>
      </c>
      <c r="I78" s="51"/>
      <c r="J78" s="52"/>
    </row>
    <row r="79" spans="1:10" ht="15.75" x14ac:dyDescent="0.25">
      <c r="A79" s="89" t="s">
        <v>100</v>
      </c>
      <c r="B79" s="192" t="s">
        <v>53</v>
      </c>
      <c r="C79" s="90">
        <v>51097666</v>
      </c>
      <c r="D79" s="88" t="s">
        <v>64</v>
      </c>
      <c r="E79" s="192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101</v>
      </c>
      <c r="B80" s="192" t="s">
        <v>53</v>
      </c>
      <c r="C80" s="90">
        <v>51259323</v>
      </c>
      <c r="D80" s="88" t="s">
        <v>64</v>
      </c>
      <c r="E80" s="192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102</v>
      </c>
      <c r="B81" s="32"/>
      <c r="C81" s="32"/>
      <c r="D81" s="94"/>
      <c r="E81" s="32"/>
      <c r="F81" s="95"/>
      <c r="G81" s="95"/>
      <c r="H81" s="84">
        <f>H74+H75+H76+H77+H78+H79+H80</f>
        <v>34822.440000000061</v>
      </c>
      <c r="I81" s="91"/>
      <c r="J81" s="96"/>
    </row>
    <row r="82" spans="1:10" ht="15.75" x14ac:dyDescent="0.25">
      <c r="A82" s="97"/>
      <c r="B82" s="98"/>
      <c r="C82" s="99" t="s">
        <v>103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86</v>
      </c>
      <c r="B83" s="192" t="s">
        <v>53</v>
      </c>
      <c r="C83" s="106">
        <v>51431297</v>
      </c>
      <c r="D83" s="193" t="s">
        <v>54</v>
      </c>
      <c r="E83" s="100">
        <v>7000</v>
      </c>
      <c r="F83" s="17">
        <v>270.43529999999998</v>
      </c>
      <c r="G83" s="17">
        <v>273.01400000000001</v>
      </c>
      <c r="H83" s="18">
        <f>(G83-F83)*E83</f>
        <v>18050.900000000183</v>
      </c>
      <c r="I83" s="107"/>
      <c r="J83" s="108"/>
    </row>
    <row r="84" spans="1:10" ht="15.75" x14ac:dyDescent="0.25">
      <c r="A84" s="105" t="s">
        <v>87</v>
      </c>
      <c r="B84" s="192" t="s">
        <v>53</v>
      </c>
      <c r="C84" s="106">
        <v>51431332</v>
      </c>
      <c r="D84" s="193" t="s">
        <v>54</v>
      </c>
      <c r="E84" s="100">
        <v>7000</v>
      </c>
      <c r="F84" s="21">
        <v>357.07400000000001</v>
      </c>
      <c r="G84" s="21">
        <v>357.221</v>
      </c>
      <c r="H84" s="18">
        <f>(G84-F84)*E84</f>
        <v>1028.9999999999395</v>
      </c>
      <c r="I84" s="192"/>
      <c r="J84" s="58"/>
    </row>
    <row r="85" spans="1:10" ht="15.75" x14ac:dyDescent="0.25">
      <c r="A85" s="27" t="s">
        <v>88</v>
      </c>
      <c r="B85" s="192" t="s">
        <v>104</v>
      </c>
      <c r="C85" s="109">
        <v>150773</v>
      </c>
      <c r="D85" s="193" t="s">
        <v>54</v>
      </c>
      <c r="E85" s="109">
        <v>20</v>
      </c>
      <c r="F85" s="17">
        <v>15645.5</v>
      </c>
      <c r="G85" s="17">
        <v>15653.8</v>
      </c>
      <c r="H85" s="18">
        <f>(G85-F85)*E85</f>
        <v>165.99999999998545</v>
      </c>
      <c r="I85" s="51"/>
      <c r="J85" s="58"/>
    </row>
    <row r="86" spans="1:10" ht="15.75" x14ac:dyDescent="0.25">
      <c r="A86" s="27" t="s">
        <v>90</v>
      </c>
      <c r="B86" s="192" t="s">
        <v>104</v>
      </c>
      <c r="C86" s="109">
        <v>150791</v>
      </c>
      <c r="D86" s="193" t="s">
        <v>54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91</v>
      </c>
      <c r="B87" s="194"/>
      <c r="C87" s="32"/>
      <c r="D87" s="82"/>
      <c r="E87" s="82"/>
      <c r="F87" s="21"/>
      <c r="G87" s="21"/>
      <c r="H87" s="48">
        <f>H83+H84</f>
        <v>19079.900000000122</v>
      </c>
      <c r="I87" s="85">
        <f>H87-H90-H85-H86</f>
        <v>383.50000000012733</v>
      </c>
      <c r="J87" s="25">
        <f>I87/H87</f>
        <v>2.0099686057061351E-2</v>
      </c>
    </row>
    <row r="88" spans="1:10" ht="15.75" x14ac:dyDescent="0.25">
      <c r="A88" s="27" t="s">
        <v>105</v>
      </c>
      <c r="B88" s="192" t="s">
        <v>53</v>
      </c>
      <c r="C88" s="106">
        <v>51431342</v>
      </c>
      <c r="D88" s="88" t="s">
        <v>35</v>
      </c>
      <c r="E88" s="192">
        <v>4800</v>
      </c>
      <c r="F88" s="21">
        <v>383.7466</v>
      </c>
      <c r="G88" s="21">
        <v>387.46699999999998</v>
      </c>
      <c r="H88" s="18">
        <f>(G88-F88)*E88</f>
        <v>17857.919999999922</v>
      </c>
      <c r="I88" s="51"/>
      <c r="J88" s="52"/>
    </row>
    <row r="89" spans="1:10" ht="15.75" x14ac:dyDescent="0.25">
      <c r="A89" s="27" t="s">
        <v>106</v>
      </c>
      <c r="B89" s="192" t="s">
        <v>53</v>
      </c>
      <c r="C89" s="106">
        <v>51431343</v>
      </c>
      <c r="D89" s="88" t="s">
        <v>35</v>
      </c>
      <c r="E89" s="192">
        <v>4800</v>
      </c>
      <c r="F89" s="21">
        <v>504.66489999999999</v>
      </c>
      <c r="G89" s="21">
        <v>504.80500000000001</v>
      </c>
      <c r="H89" s="18">
        <f>(G89-F89)*E89</f>
        <v>672.48000000008687</v>
      </c>
      <c r="I89" s="51"/>
      <c r="J89" s="52"/>
    </row>
    <row r="90" spans="1:10" ht="15.75" x14ac:dyDescent="0.25">
      <c r="A90" s="44" t="s">
        <v>107</v>
      </c>
      <c r="B90" s="79"/>
      <c r="C90" s="109"/>
      <c r="D90" s="112"/>
      <c r="E90" s="109"/>
      <c r="F90" s="21"/>
      <c r="G90" s="21"/>
      <c r="H90" s="48">
        <f>H88+H89</f>
        <v>18530.400000000009</v>
      </c>
      <c r="I90" s="85">
        <f>H90-H98</f>
        <v>-125.02000000001135</v>
      </c>
      <c r="J90" s="25">
        <f>I90/H90</f>
        <v>-6.746751284376554E-3</v>
      </c>
    </row>
    <row r="91" spans="1:10" ht="15.75" x14ac:dyDescent="0.25">
      <c r="A91" s="27" t="s">
        <v>108</v>
      </c>
      <c r="B91" s="192" t="s">
        <v>53</v>
      </c>
      <c r="C91" s="106">
        <v>51431347</v>
      </c>
      <c r="D91" s="193" t="s">
        <v>54</v>
      </c>
      <c r="E91" s="192">
        <v>1200</v>
      </c>
      <c r="F91" s="21">
        <v>1202.1474000000001</v>
      </c>
      <c r="G91" s="21">
        <v>1202.1469999999999</v>
      </c>
      <c r="H91" s="18">
        <f>(G91-F91)*E91</f>
        <v>-0.48000000015235855</v>
      </c>
      <c r="I91" s="51"/>
      <c r="J91" s="52"/>
    </row>
    <row r="92" spans="1:10" ht="15.75" x14ac:dyDescent="0.25">
      <c r="A92" s="27" t="s">
        <v>109</v>
      </c>
      <c r="B92" s="192" t="s">
        <v>53</v>
      </c>
      <c r="C92" s="106">
        <v>51431339</v>
      </c>
      <c r="D92" s="193" t="s">
        <v>54</v>
      </c>
      <c r="E92" s="192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110</v>
      </c>
      <c r="B93" s="192" t="s">
        <v>53</v>
      </c>
      <c r="C93" s="106">
        <v>51217244</v>
      </c>
      <c r="D93" s="192" t="s">
        <v>38</v>
      </c>
      <c r="E93" s="192">
        <v>600</v>
      </c>
      <c r="F93" s="30">
        <v>329.43389999999999</v>
      </c>
      <c r="G93" s="30">
        <v>330.44600000000003</v>
      </c>
      <c r="H93" s="18">
        <f t="shared" si="4"/>
        <v>607.26000000001932</v>
      </c>
      <c r="I93" s="51"/>
      <c r="J93" s="52"/>
    </row>
    <row r="94" spans="1:10" ht="15.75" x14ac:dyDescent="0.25">
      <c r="A94" s="27" t="s">
        <v>111</v>
      </c>
      <c r="B94" s="192" t="s">
        <v>53</v>
      </c>
      <c r="C94" s="106">
        <v>51217267</v>
      </c>
      <c r="D94" s="88" t="s">
        <v>64</v>
      </c>
      <c r="E94" s="192">
        <v>2400</v>
      </c>
      <c r="F94" s="30">
        <v>20.171199999999999</v>
      </c>
      <c r="G94" s="30">
        <v>20.202000000000002</v>
      </c>
      <c r="H94" s="18">
        <f t="shared" si="4"/>
        <v>73.92000000000678</v>
      </c>
      <c r="I94" s="51"/>
      <c r="J94" s="52"/>
    </row>
    <row r="95" spans="1:10" ht="15.75" x14ac:dyDescent="0.25">
      <c r="A95" s="27" t="s">
        <v>112</v>
      </c>
      <c r="B95" s="192" t="s">
        <v>53</v>
      </c>
      <c r="C95" s="192">
        <v>51555165</v>
      </c>
      <c r="D95" s="193" t="s">
        <v>54</v>
      </c>
      <c r="E95" s="192">
        <v>1200</v>
      </c>
      <c r="F95" s="30">
        <v>813.84529999999995</v>
      </c>
      <c r="G95" s="30">
        <v>822.50300000000004</v>
      </c>
      <c r="H95" s="18">
        <f t="shared" si="4"/>
        <v>10389.240000000109</v>
      </c>
      <c r="I95" s="51" t="s">
        <v>28</v>
      </c>
      <c r="J95" s="52"/>
    </row>
    <row r="96" spans="1:10" ht="15.75" x14ac:dyDescent="0.25">
      <c r="A96" s="113" t="s">
        <v>113</v>
      </c>
      <c r="B96" s="192" t="s">
        <v>53</v>
      </c>
      <c r="C96" s="106">
        <v>51431346</v>
      </c>
      <c r="D96" s="114" t="s">
        <v>38</v>
      </c>
      <c r="E96" s="114">
        <v>600</v>
      </c>
      <c r="F96" s="30">
        <v>343.95159999999998</v>
      </c>
      <c r="G96" s="30">
        <v>346.01</v>
      </c>
      <c r="H96" s="115">
        <f t="shared" si="4"/>
        <v>1235.0400000000036</v>
      </c>
      <c r="I96" s="116"/>
      <c r="J96" s="117"/>
    </row>
    <row r="97" spans="1:10" ht="15.75" x14ac:dyDescent="0.25">
      <c r="A97" s="27" t="s">
        <v>114</v>
      </c>
      <c r="B97" s="192" t="s">
        <v>53</v>
      </c>
      <c r="C97" s="106">
        <v>51431352</v>
      </c>
      <c r="D97" s="88" t="s">
        <v>22</v>
      </c>
      <c r="E97" s="192">
        <v>3600</v>
      </c>
      <c r="F97" s="21">
        <v>223.51009999999999</v>
      </c>
      <c r="G97" s="21">
        <v>225.22800000000001</v>
      </c>
      <c r="H97" s="18">
        <f t="shared" si="4"/>
        <v>6184.4400000000514</v>
      </c>
      <c r="I97" s="51"/>
      <c r="J97" s="52"/>
    </row>
    <row r="98" spans="1:10" ht="15.75" x14ac:dyDescent="0.25">
      <c r="A98" s="44" t="s">
        <v>107</v>
      </c>
      <c r="B98" s="51"/>
      <c r="C98" s="51"/>
      <c r="D98" s="51"/>
      <c r="E98" s="51"/>
      <c r="F98" s="118"/>
      <c r="G98" s="118"/>
      <c r="H98" s="119">
        <f>H91+H92+H93+H94+H95+H96+H97+H85+H86</f>
        <v>18655.42000000002</v>
      </c>
      <c r="I98" s="51"/>
      <c r="J98" s="52"/>
    </row>
    <row r="99" spans="1:10" ht="15.75" x14ac:dyDescent="0.25">
      <c r="A99" s="45" t="s">
        <v>115</v>
      </c>
      <c r="B99" s="192" t="s">
        <v>53</v>
      </c>
      <c r="C99" s="120">
        <v>51431357</v>
      </c>
      <c r="D99" s="193" t="s">
        <v>64</v>
      </c>
      <c r="E99" s="193">
        <v>14000</v>
      </c>
      <c r="F99" s="28">
        <v>826.6771</v>
      </c>
      <c r="G99" s="28">
        <v>829.41399999999999</v>
      </c>
      <c r="H99" s="121">
        <f t="shared" si="4"/>
        <v>38316.599999999882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sqref="A1:J99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3" t="s">
        <v>1</v>
      </c>
      <c r="B1" s="203" t="s">
        <v>2</v>
      </c>
      <c r="C1" s="203" t="s">
        <v>3</v>
      </c>
      <c r="D1" s="204" t="s">
        <v>4</v>
      </c>
      <c r="E1" s="203" t="s">
        <v>5</v>
      </c>
      <c r="F1" s="205" t="s">
        <v>6</v>
      </c>
      <c r="G1" s="206"/>
      <c r="H1" s="1" t="s">
        <v>7</v>
      </c>
      <c r="I1" s="2" t="s">
        <v>8</v>
      </c>
      <c r="J1" s="3" t="s">
        <v>8</v>
      </c>
    </row>
    <row r="2" spans="1:10" ht="16.5" thickBot="1" x14ac:dyDescent="0.3">
      <c r="A2" s="203"/>
      <c r="B2" s="203"/>
      <c r="C2" s="203"/>
      <c r="D2" s="204"/>
      <c r="E2" s="203"/>
      <c r="F2" s="4" t="s">
        <v>141</v>
      </c>
      <c r="G2" s="4" t="s">
        <v>142</v>
      </c>
      <c r="H2" s="5" t="s">
        <v>10</v>
      </c>
      <c r="I2" s="6" t="s">
        <v>10</v>
      </c>
      <c r="J2" s="7" t="s">
        <v>11</v>
      </c>
    </row>
    <row r="3" spans="1:10" ht="15.75" x14ac:dyDescent="0.25">
      <c r="A3" s="8"/>
      <c r="B3" s="9"/>
      <c r="C3" s="9"/>
      <c r="D3" s="10" t="s">
        <v>12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13</v>
      </c>
      <c r="B4" s="195" t="s">
        <v>14</v>
      </c>
      <c r="C4" s="195">
        <v>51555166</v>
      </c>
      <c r="D4" s="195" t="s">
        <v>15</v>
      </c>
      <c r="E4" s="195">
        <v>132000</v>
      </c>
      <c r="F4" s="17">
        <v>3.552</v>
      </c>
      <c r="G4" s="17">
        <v>3.5630000000000002</v>
      </c>
      <c r="H4" s="18">
        <f>(G4-F4)*E4</f>
        <v>1452.0000000000159</v>
      </c>
      <c r="I4" s="19"/>
      <c r="J4" s="20"/>
    </row>
    <row r="5" spans="1:10" ht="15.75" x14ac:dyDescent="0.25">
      <c r="A5" s="15" t="s">
        <v>16</v>
      </c>
      <c r="B5" s="195" t="s">
        <v>14</v>
      </c>
      <c r="C5" s="195">
        <v>51555191</v>
      </c>
      <c r="D5" s="195" t="s">
        <v>15</v>
      </c>
      <c r="E5" s="195">
        <v>132000</v>
      </c>
      <c r="F5" s="21">
        <v>366.06</v>
      </c>
      <c r="G5" s="21">
        <v>368.14699999999999</v>
      </c>
      <c r="H5" s="18">
        <f>(G5-F5)*E5</f>
        <v>275483.99999999854</v>
      </c>
      <c r="I5" s="19"/>
      <c r="J5" s="20"/>
    </row>
    <row r="6" spans="1:10" ht="15.75" x14ac:dyDescent="0.25">
      <c r="A6" s="207" t="s">
        <v>17</v>
      </c>
      <c r="B6" s="208"/>
      <c r="C6" s="195"/>
      <c r="D6" s="196"/>
      <c r="E6" s="195"/>
      <c r="H6" s="23">
        <f>H4+H5</f>
        <v>276935.99999999854</v>
      </c>
      <c r="I6" s="24">
        <f>H6-H9-H19</f>
        <v>2418.0000000016298</v>
      </c>
      <c r="J6" s="25">
        <f>I6/H6</f>
        <v>8.7312592079095627E-3</v>
      </c>
    </row>
    <row r="7" spans="1:10" ht="15.75" x14ac:dyDescent="0.25">
      <c r="A7" s="26" t="s">
        <v>18</v>
      </c>
      <c r="B7" s="195" t="s">
        <v>14</v>
      </c>
      <c r="C7" s="195">
        <v>51097629</v>
      </c>
      <c r="D7" s="196" t="s">
        <v>15</v>
      </c>
      <c r="E7" s="195">
        <v>42000</v>
      </c>
      <c r="F7" s="21">
        <v>1091.817</v>
      </c>
      <c r="G7" s="21">
        <v>1096.5519999999999</v>
      </c>
      <c r="H7" s="18">
        <f>(G7-F7)*E7</f>
        <v>198869.99999999581</v>
      </c>
      <c r="I7" s="19"/>
      <c r="J7" s="20"/>
    </row>
    <row r="8" spans="1:10" ht="15.75" x14ac:dyDescent="0.25">
      <c r="A8" s="26" t="s">
        <v>19</v>
      </c>
      <c r="B8" s="195" t="s">
        <v>14</v>
      </c>
      <c r="C8" s="195">
        <v>51616820</v>
      </c>
      <c r="D8" s="196" t="s">
        <v>15</v>
      </c>
      <c r="E8" s="195">
        <v>42000</v>
      </c>
      <c r="F8" s="21">
        <v>6.2750000000000004</v>
      </c>
      <c r="G8" s="21">
        <v>6.2949999999999999</v>
      </c>
      <c r="H8" s="18">
        <f>(G8-F8)*E8</f>
        <v>839.99999999998204</v>
      </c>
      <c r="I8" s="19"/>
      <c r="J8" s="20"/>
    </row>
    <row r="9" spans="1:10" ht="15.75" x14ac:dyDescent="0.25">
      <c r="A9" s="207" t="s">
        <v>20</v>
      </c>
      <c r="B9" s="208"/>
      <c r="C9" s="195"/>
      <c r="D9" s="196"/>
      <c r="E9" s="195"/>
      <c r="F9" s="21"/>
      <c r="G9" s="21"/>
      <c r="H9" s="23">
        <f>H7+H8</f>
        <v>199709.99999999578</v>
      </c>
      <c r="I9" s="24">
        <f>H9-H16</f>
        <v>-42.000000002328306</v>
      </c>
      <c r="J9" s="25">
        <f>I9/H9</f>
        <v>-2.1030494217780379E-4</v>
      </c>
    </row>
    <row r="10" spans="1:10" ht="15.75" x14ac:dyDescent="0.25">
      <c r="A10" s="27" t="s">
        <v>21</v>
      </c>
      <c r="B10" s="195" t="s">
        <v>14</v>
      </c>
      <c r="C10" s="195">
        <v>51217286</v>
      </c>
      <c r="D10" s="196" t="s">
        <v>22</v>
      </c>
      <c r="E10" s="195">
        <v>21000</v>
      </c>
      <c r="F10" s="21">
        <v>861.57600000000002</v>
      </c>
      <c r="G10" s="21">
        <v>864.79200000000003</v>
      </c>
      <c r="H10" s="18">
        <f t="shared" ref="H10:H15" si="0">(G10-F10)*E10</f>
        <v>67536.000000000175</v>
      </c>
      <c r="I10" s="19"/>
      <c r="J10" s="20"/>
    </row>
    <row r="11" spans="1:10" ht="15.75" x14ac:dyDescent="0.25">
      <c r="A11" s="27" t="s">
        <v>23</v>
      </c>
      <c r="B11" s="195" t="s">
        <v>14</v>
      </c>
      <c r="C11" s="195">
        <v>51217292</v>
      </c>
      <c r="D11" s="196" t="s">
        <v>22</v>
      </c>
      <c r="E11" s="195">
        <v>21000</v>
      </c>
      <c r="F11" s="28">
        <v>3.8410000000000002</v>
      </c>
      <c r="G11" s="28">
        <v>3.8660000000000001</v>
      </c>
      <c r="H11" s="18">
        <f>(G11-F11)*E11</f>
        <v>524.99999999999818</v>
      </c>
      <c r="I11" s="19"/>
      <c r="J11" s="20"/>
    </row>
    <row r="12" spans="1:10" ht="15.75" x14ac:dyDescent="0.25">
      <c r="A12" s="27" t="s">
        <v>24</v>
      </c>
      <c r="B12" s="195" t="s">
        <v>14</v>
      </c>
      <c r="C12" s="195">
        <v>51217271</v>
      </c>
      <c r="D12" s="196" t="s">
        <v>22</v>
      </c>
      <c r="E12" s="195">
        <v>21000</v>
      </c>
      <c r="F12" s="21">
        <v>636.39800000000002</v>
      </c>
      <c r="G12" s="21">
        <v>639.69399999999996</v>
      </c>
      <c r="H12" s="18">
        <f t="shared" si="0"/>
        <v>69215.999999998647</v>
      </c>
      <c r="I12" s="19"/>
      <c r="J12" s="20"/>
    </row>
    <row r="13" spans="1:10" ht="15.75" x14ac:dyDescent="0.25">
      <c r="A13" s="27" t="s">
        <v>25</v>
      </c>
      <c r="B13" s="195" t="s">
        <v>14</v>
      </c>
      <c r="C13" s="195">
        <v>51217276</v>
      </c>
      <c r="D13" s="196" t="s">
        <v>22</v>
      </c>
      <c r="E13" s="195">
        <v>21000</v>
      </c>
      <c r="F13" s="28">
        <v>0.56399999999999995</v>
      </c>
      <c r="G13" s="28">
        <v>0.56499999999999995</v>
      </c>
      <c r="H13" s="18">
        <f>(G13-F13)*E13</f>
        <v>21.000000000000018</v>
      </c>
      <c r="I13" s="19"/>
      <c r="J13" s="20"/>
    </row>
    <row r="14" spans="1:10" ht="15.75" x14ac:dyDescent="0.25">
      <c r="A14" s="27" t="s">
        <v>26</v>
      </c>
      <c r="B14" s="195" t="s">
        <v>14</v>
      </c>
      <c r="C14" s="195">
        <v>51100990</v>
      </c>
      <c r="D14" s="196" t="s">
        <v>22</v>
      </c>
      <c r="E14" s="195">
        <v>21000</v>
      </c>
      <c r="F14" s="29">
        <v>692.68600000000004</v>
      </c>
      <c r="G14" s="29">
        <v>695.649</v>
      </c>
      <c r="H14" s="18">
        <f t="shared" si="0"/>
        <v>62222.999999999272</v>
      </c>
      <c r="I14" s="19"/>
      <c r="J14" s="20"/>
    </row>
    <row r="15" spans="1:10" ht="15.75" x14ac:dyDescent="0.25">
      <c r="A15" s="27" t="s">
        <v>27</v>
      </c>
      <c r="B15" s="195" t="s">
        <v>14</v>
      </c>
      <c r="C15" s="195">
        <v>51097622</v>
      </c>
      <c r="D15" s="196" t="s">
        <v>22</v>
      </c>
      <c r="E15" s="195">
        <v>21000</v>
      </c>
      <c r="F15" s="21">
        <v>3.6520000000000001</v>
      </c>
      <c r="G15" s="21">
        <v>3.6629999999999998</v>
      </c>
      <c r="H15" s="18">
        <f t="shared" si="0"/>
        <v>230.99999999999321</v>
      </c>
      <c r="I15" s="19" t="s">
        <v>28</v>
      </c>
      <c r="J15" s="20"/>
    </row>
    <row r="16" spans="1:10" ht="15.75" x14ac:dyDescent="0.25">
      <c r="A16" s="207" t="s">
        <v>29</v>
      </c>
      <c r="B16" s="208"/>
      <c r="C16" s="195"/>
      <c r="D16" s="196"/>
      <c r="E16" s="195"/>
      <c r="F16" s="21"/>
      <c r="G16" s="21"/>
      <c r="H16" s="23">
        <f>H10+H11+H12+H13+H14+H15</f>
        <v>199751.99999999811</v>
      </c>
      <c r="I16" s="19"/>
      <c r="J16" s="20"/>
    </row>
    <row r="17" spans="1:10" ht="15.75" x14ac:dyDescent="0.25">
      <c r="A17" s="26" t="s">
        <v>30</v>
      </c>
      <c r="B17" s="195" t="s">
        <v>14</v>
      </c>
      <c r="C17" s="195">
        <v>51097617</v>
      </c>
      <c r="D17" s="196" t="s">
        <v>31</v>
      </c>
      <c r="E17" s="195">
        <v>18000</v>
      </c>
      <c r="F17" s="30">
        <v>840.55799999999999</v>
      </c>
      <c r="G17" s="30">
        <v>844.71400000000006</v>
      </c>
      <c r="H17" s="18">
        <f>(G17-F17)*E17</f>
        <v>74808.000000001135</v>
      </c>
      <c r="I17" s="19"/>
      <c r="J17" s="20"/>
    </row>
    <row r="18" spans="1:10" ht="15.75" x14ac:dyDescent="0.25">
      <c r="A18" s="26" t="s">
        <v>32</v>
      </c>
      <c r="B18" s="195" t="s">
        <v>14</v>
      </c>
      <c r="C18" s="195">
        <v>51097655</v>
      </c>
      <c r="D18" s="196" t="s">
        <v>31</v>
      </c>
      <c r="E18" s="195">
        <v>18000</v>
      </c>
      <c r="F18" s="30">
        <v>8.2070000000000007</v>
      </c>
      <c r="G18" s="30">
        <v>8.2070000000000007</v>
      </c>
      <c r="H18" s="18">
        <f>(G18-F18)*E18</f>
        <v>0</v>
      </c>
      <c r="I18" s="19"/>
      <c r="J18" s="20"/>
    </row>
    <row r="19" spans="1:10" ht="15.75" x14ac:dyDescent="0.25">
      <c r="A19" s="207" t="s">
        <v>33</v>
      </c>
      <c r="B19" s="208"/>
      <c r="C19" s="195"/>
      <c r="D19" s="196"/>
      <c r="E19" s="195"/>
      <c r="F19" s="30"/>
      <c r="G19" s="30"/>
      <c r="H19" s="23">
        <f>H17+H18</f>
        <v>74808.000000001135</v>
      </c>
      <c r="I19" s="24">
        <f>H19-H34</f>
        <v>1762.8000000011816</v>
      </c>
      <c r="J19" s="25">
        <f>I19/H19</f>
        <v>2.3564324671173604E-2</v>
      </c>
    </row>
    <row r="20" spans="1:10" ht="15.75" x14ac:dyDescent="0.25">
      <c r="A20" s="15" t="s">
        <v>34</v>
      </c>
      <c r="B20" s="195" t="s">
        <v>14</v>
      </c>
      <c r="C20" s="195">
        <v>51217282</v>
      </c>
      <c r="D20" s="196" t="s">
        <v>35</v>
      </c>
      <c r="E20" s="195">
        <v>4800</v>
      </c>
      <c r="F20" s="21">
        <v>381.649</v>
      </c>
      <c r="G20" s="21">
        <v>381.94400000000002</v>
      </c>
      <c r="H20" s="18">
        <f t="shared" ref="H20:H33" si="1">(G20-F20)*E20</f>
        <v>1416.0000000000764</v>
      </c>
      <c r="I20" s="19" t="s">
        <v>28</v>
      </c>
      <c r="J20" s="20"/>
    </row>
    <row r="21" spans="1:10" ht="15.75" x14ac:dyDescent="0.25">
      <c r="A21" s="15" t="s">
        <v>36</v>
      </c>
      <c r="B21" s="195" t="s">
        <v>14</v>
      </c>
      <c r="C21" s="195">
        <v>51217274</v>
      </c>
      <c r="D21" s="196" t="s">
        <v>35</v>
      </c>
      <c r="E21" s="195">
        <v>4800</v>
      </c>
      <c r="F21" s="21">
        <v>1316.2760000000001</v>
      </c>
      <c r="G21" s="21">
        <v>1321.4780000000001</v>
      </c>
      <c r="H21" s="18">
        <f t="shared" si="1"/>
        <v>24969.599999999991</v>
      </c>
      <c r="I21" s="19"/>
      <c r="J21" s="20"/>
    </row>
    <row r="22" spans="1:10" ht="15.75" x14ac:dyDescent="0.25">
      <c r="A22" s="15" t="s">
        <v>37</v>
      </c>
      <c r="B22" s="195" t="s">
        <v>14</v>
      </c>
      <c r="C22" s="195">
        <v>51097664</v>
      </c>
      <c r="D22" s="196" t="s">
        <v>38</v>
      </c>
      <c r="E22" s="195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39</v>
      </c>
      <c r="B23" s="195" t="s">
        <v>14</v>
      </c>
      <c r="C23" s="195">
        <v>51097615</v>
      </c>
      <c r="D23" s="196" t="s">
        <v>38</v>
      </c>
      <c r="E23" s="195">
        <v>600</v>
      </c>
      <c r="F23" s="21">
        <v>42.607999999999997</v>
      </c>
      <c r="G23" s="21">
        <v>42.9</v>
      </c>
      <c r="H23" s="18">
        <f t="shared" si="1"/>
        <v>175.20000000000095</v>
      </c>
      <c r="I23" s="19"/>
      <c r="J23" s="20"/>
    </row>
    <row r="24" spans="1:10" ht="15.75" x14ac:dyDescent="0.25">
      <c r="A24" s="15" t="s">
        <v>40</v>
      </c>
      <c r="B24" s="195" t="s">
        <v>14</v>
      </c>
      <c r="C24" s="195">
        <v>51217264</v>
      </c>
      <c r="D24" s="196" t="s">
        <v>38</v>
      </c>
      <c r="E24" s="195">
        <v>600</v>
      </c>
      <c r="F24" s="21">
        <v>100.202</v>
      </c>
      <c r="G24" s="21">
        <v>100.938</v>
      </c>
      <c r="H24" s="18">
        <f t="shared" si="1"/>
        <v>441.60000000000252</v>
      </c>
      <c r="I24" s="19"/>
      <c r="J24" s="20"/>
    </row>
    <row r="25" spans="1:10" ht="15.75" x14ac:dyDescent="0.25">
      <c r="A25" s="15" t="s">
        <v>41</v>
      </c>
      <c r="B25" s="195" t="s">
        <v>14</v>
      </c>
      <c r="C25" s="195">
        <v>51217288</v>
      </c>
      <c r="D25" s="196" t="s">
        <v>38</v>
      </c>
      <c r="E25" s="195">
        <v>600</v>
      </c>
      <c r="F25" s="21">
        <v>20.298999999999999</v>
      </c>
      <c r="G25" s="21">
        <v>20.329999999999998</v>
      </c>
      <c r="H25" s="18">
        <f t="shared" si="1"/>
        <v>18.599999999999284</v>
      </c>
      <c r="I25" s="19" t="s">
        <v>28</v>
      </c>
      <c r="J25" s="20"/>
    </row>
    <row r="26" spans="1:10" ht="15.75" x14ac:dyDescent="0.25">
      <c r="A26" s="15" t="s">
        <v>42</v>
      </c>
      <c r="B26" s="195" t="s">
        <v>14</v>
      </c>
      <c r="C26" s="195">
        <v>51217279</v>
      </c>
      <c r="D26" s="196" t="s">
        <v>38</v>
      </c>
      <c r="E26" s="195">
        <v>600</v>
      </c>
      <c r="F26" s="21">
        <v>14.996</v>
      </c>
      <c r="G26" s="21">
        <v>15.048999999999999</v>
      </c>
      <c r="H26" s="18">
        <f t="shared" si="1"/>
        <v>31.799999999999429</v>
      </c>
      <c r="I26" s="19" t="s">
        <v>28</v>
      </c>
      <c r="J26" s="20"/>
    </row>
    <row r="27" spans="1:10" ht="15.75" x14ac:dyDescent="0.25">
      <c r="A27" s="15" t="s">
        <v>43</v>
      </c>
      <c r="B27" s="195" t="s">
        <v>14</v>
      </c>
      <c r="C27" s="195">
        <v>51217272</v>
      </c>
      <c r="D27" s="196" t="s">
        <v>38</v>
      </c>
      <c r="E27" s="195">
        <v>600</v>
      </c>
      <c r="F27" s="31">
        <v>14.708</v>
      </c>
      <c r="G27" s="31">
        <v>14.76</v>
      </c>
      <c r="H27" s="18">
        <f t="shared" si="1"/>
        <v>31.199999999999761</v>
      </c>
      <c r="I27" s="19"/>
      <c r="J27" s="20"/>
    </row>
    <row r="28" spans="1:10" ht="15.75" x14ac:dyDescent="0.25">
      <c r="A28" s="15" t="s">
        <v>44</v>
      </c>
      <c r="B28" s="195" t="s">
        <v>14</v>
      </c>
      <c r="C28" s="195">
        <v>51616744</v>
      </c>
      <c r="D28" s="196">
        <f>300/5</f>
        <v>60</v>
      </c>
      <c r="E28" s="195">
        <v>3600</v>
      </c>
      <c r="F28" s="31">
        <v>109.78400000000001</v>
      </c>
      <c r="G28" s="31">
        <v>109.78400000000001</v>
      </c>
      <c r="H28" s="18">
        <f t="shared" si="1"/>
        <v>0</v>
      </c>
      <c r="I28" s="19"/>
      <c r="J28" s="20"/>
    </row>
    <row r="29" spans="1:10" ht="15.75" x14ac:dyDescent="0.25">
      <c r="A29" s="15" t="s">
        <v>45</v>
      </c>
      <c r="B29" s="195" t="s">
        <v>14</v>
      </c>
      <c r="C29" s="195">
        <v>51555226</v>
      </c>
      <c r="D29" s="196">
        <f>300/5</f>
        <v>60</v>
      </c>
      <c r="E29" s="195">
        <v>3600</v>
      </c>
      <c r="F29" s="31">
        <v>496.47199999999998</v>
      </c>
      <c r="G29" s="31">
        <v>500.90699999999998</v>
      </c>
      <c r="H29" s="18">
        <f>(G29-F29)*E29</f>
        <v>15966.000000000007</v>
      </c>
      <c r="I29" s="19"/>
      <c r="J29" s="20"/>
    </row>
    <row r="30" spans="1:10" ht="15.75" x14ac:dyDescent="0.25">
      <c r="A30" s="15" t="s">
        <v>46</v>
      </c>
      <c r="B30" s="195" t="s">
        <v>14</v>
      </c>
      <c r="C30" s="195">
        <v>51097658</v>
      </c>
      <c r="D30" s="196" t="s">
        <v>35</v>
      </c>
      <c r="E30" s="195">
        <v>4800</v>
      </c>
      <c r="F30" s="31">
        <v>650.33900000000006</v>
      </c>
      <c r="G30" s="31">
        <v>654.11800000000005</v>
      </c>
      <c r="H30" s="18">
        <f t="shared" si="1"/>
        <v>18139.199999999983</v>
      </c>
      <c r="I30" s="19"/>
      <c r="J30" s="20"/>
    </row>
    <row r="31" spans="1:10" ht="15.75" x14ac:dyDescent="0.25">
      <c r="A31" s="15" t="s">
        <v>47</v>
      </c>
      <c r="B31" s="195" t="s">
        <v>14</v>
      </c>
      <c r="C31" s="195">
        <v>51097635</v>
      </c>
      <c r="D31" s="196" t="s">
        <v>35</v>
      </c>
      <c r="E31" s="195">
        <v>4800</v>
      </c>
      <c r="F31" s="31">
        <v>48.462000000000003</v>
      </c>
      <c r="G31" s="31">
        <v>48.463000000000001</v>
      </c>
      <c r="H31" s="18">
        <f t="shared" si="1"/>
        <v>4.7999999999888132</v>
      </c>
      <c r="I31" s="19"/>
      <c r="J31" s="20"/>
    </row>
    <row r="32" spans="1:10" ht="15.75" x14ac:dyDescent="0.25">
      <c r="A32" s="15" t="s">
        <v>48</v>
      </c>
      <c r="B32" s="195" t="s">
        <v>14</v>
      </c>
      <c r="C32" s="32">
        <v>51097633</v>
      </c>
      <c r="D32" s="196" t="s">
        <v>35</v>
      </c>
      <c r="E32" s="195">
        <v>4800</v>
      </c>
      <c r="F32" s="31">
        <v>169.846</v>
      </c>
      <c r="G32" s="31">
        <v>172.26499999999999</v>
      </c>
      <c r="H32" s="33">
        <f t="shared" si="1"/>
        <v>11611.199999999917</v>
      </c>
      <c r="I32" s="34"/>
      <c r="J32" s="35"/>
    </row>
    <row r="33" spans="1:10" ht="15.75" x14ac:dyDescent="0.25">
      <c r="A33" s="15" t="s">
        <v>49</v>
      </c>
      <c r="B33" s="195" t="s">
        <v>14</v>
      </c>
      <c r="C33" s="32">
        <v>51097662</v>
      </c>
      <c r="D33" s="196" t="s">
        <v>35</v>
      </c>
      <c r="E33" s="195">
        <v>4800</v>
      </c>
      <c r="F33" s="31">
        <v>3.5139999999999998</v>
      </c>
      <c r="G33" s="31">
        <v>3.5640000000000001</v>
      </c>
      <c r="H33" s="33">
        <f t="shared" si="1"/>
        <v>240.00000000000128</v>
      </c>
      <c r="I33" s="34"/>
      <c r="J33" s="35"/>
    </row>
    <row r="34" spans="1:10" ht="15.75" x14ac:dyDescent="0.25">
      <c r="A34" s="207" t="s">
        <v>50</v>
      </c>
      <c r="B34" s="208"/>
      <c r="C34" s="195"/>
      <c r="D34" s="196"/>
      <c r="E34" s="195"/>
      <c r="F34" s="36"/>
      <c r="G34" s="36"/>
      <c r="H34" s="23">
        <f>H20+H21+H22+H23+H24+H25+H26+H27+H28+H29+H30+H31+H32+H33</f>
        <v>73045.199999999953</v>
      </c>
      <c r="I34" s="19"/>
      <c r="J34" s="20"/>
    </row>
    <row r="35" spans="1:10" ht="15.75" x14ac:dyDescent="0.25">
      <c r="A35" s="37"/>
      <c r="B35" s="37"/>
      <c r="C35" s="37"/>
      <c r="D35" s="38" t="s">
        <v>51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52</v>
      </c>
      <c r="B36" s="195" t="s">
        <v>53</v>
      </c>
      <c r="C36" s="195">
        <v>51555209</v>
      </c>
      <c r="D36" s="196" t="s">
        <v>54</v>
      </c>
      <c r="E36" s="195">
        <v>7000</v>
      </c>
      <c r="F36" s="17">
        <v>5.7350000000000003</v>
      </c>
      <c r="G36" s="17">
        <v>5.7880000000000003</v>
      </c>
      <c r="H36" s="41">
        <f>(G36-F36)*E36</f>
        <v>370.99999999999955</v>
      </c>
      <c r="I36" s="42"/>
      <c r="J36" s="14"/>
    </row>
    <row r="37" spans="1:10" ht="15.75" x14ac:dyDescent="0.25">
      <c r="A37" s="15" t="s">
        <v>55</v>
      </c>
      <c r="B37" s="195" t="s">
        <v>53</v>
      </c>
      <c r="C37" s="195">
        <v>51555209</v>
      </c>
      <c r="D37" s="196" t="s">
        <v>54</v>
      </c>
      <c r="E37" s="195">
        <v>7000</v>
      </c>
      <c r="F37" s="21">
        <v>10.176</v>
      </c>
      <c r="G37" s="21">
        <v>10.210000000000001</v>
      </c>
      <c r="H37" s="18">
        <f>(G37-F37)*E37</f>
        <v>238.00000000000489</v>
      </c>
      <c r="I37" s="43"/>
      <c r="J37" s="20"/>
    </row>
    <row r="38" spans="1:10" ht="15.75" x14ac:dyDescent="0.25">
      <c r="A38" s="44" t="s">
        <v>56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57</v>
      </c>
      <c r="B39" s="195" t="s">
        <v>53</v>
      </c>
      <c r="C39" s="195">
        <v>51097674</v>
      </c>
      <c r="D39" s="195" t="s">
        <v>15</v>
      </c>
      <c r="E39" s="195">
        <v>7200</v>
      </c>
      <c r="F39" s="21">
        <v>587.58199999999999</v>
      </c>
      <c r="G39" s="21">
        <v>589.99099999999999</v>
      </c>
      <c r="H39" s="18">
        <f>(G39-F39)*E39</f>
        <v>17344.799999999941</v>
      </c>
      <c r="I39" s="47"/>
      <c r="J39" s="20"/>
    </row>
    <row r="40" spans="1:10" ht="15.75" x14ac:dyDescent="0.25">
      <c r="A40" s="27" t="s">
        <v>58</v>
      </c>
      <c r="B40" s="195" t="s">
        <v>53</v>
      </c>
      <c r="C40" s="195">
        <v>51259257</v>
      </c>
      <c r="D40" s="195" t="s">
        <v>15</v>
      </c>
      <c r="E40" s="195">
        <v>7200</v>
      </c>
      <c r="F40" s="21">
        <v>1.0549999999999999</v>
      </c>
      <c r="G40" s="21">
        <v>1.0549999999999999</v>
      </c>
      <c r="H40" s="18">
        <f>(G40-F40)*E40</f>
        <v>0</v>
      </c>
      <c r="I40" s="43"/>
      <c r="J40" s="20"/>
    </row>
    <row r="41" spans="1:10" ht="15.75" x14ac:dyDescent="0.25">
      <c r="A41" s="44" t="s">
        <v>59</v>
      </c>
      <c r="B41" s="195"/>
      <c r="C41" s="195"/>
      <c r="D41" s="195"/>
      <c r="E41" s="195"/>
      <c r="F41" s="21"/>
      <c r="G41" s="21"/>
      <c r="H41" s="48">
        <f>H39+H40</f>
        <v>17344.799999999941</v>
      </c>
      <c r="I41" s="24">
        <f>H41-H49</f>
        <v>-120.80000000025029</v>
      </c>
      <c r="J41" s="25">
        <f>I41/H41</f>
        <v>-6.9646234029940215E-3</v>
      </c>
    </row>
    <row r="42" spans="1:10" ht="15.75" x14ac:dyDescent="0.25">
      <c r="A42" s="15" t="s">
        <v>60</v>
      </c>
      <c r="B42" s="195"/>
      <c r="C42" s="195"/>
      <c r="D42" s="196"/>
      <c r="E42" s="195"/>
      <c r="H42" s="18"/>
      <c r="I42" s="43"/>
      <c r="J42" s="20"/>
    </row>
    <row r="43" spans="1:10" ht="15.75" x14ac:dyDescent="0.25">
      <c r="A43" s="27" t="s">
        <v>61</v>
      </c>
      <c r="B43" s="195" t="s">
        <v>53</v>
      </c>
      <c r="C43" s="32">
        <v>51097648</v>
      </c>
      <c r="D43" s="195" t="s">
        <v>54</v>
      </c>
      <c r="E43" s="195">
        <v>1200</v>
      </c>
      <c r="F43" s="21">
        <v>480.93299999999999</v>
      </c>
      <c r="G43" s="21">
        <v>482.91300000000001</v>
      </c>
      <c r="H43" s="33">
        <f>(G43-F43)*E43</f>
        <v>2376.0000000000218</v>
      </c>
      <c r="I43" s="43"/>
      <c r="J43" s="20"/>
    </row>
    <row r="44" spans="1:10" ht="15.75" x14ac:dyDescent="0.25">
      <c r="A44" s="27" t="s">
        <v>62</v>
      </c>
      <c r="B44" s="195" t="s">
        <v>53</v>
      </c>
      <c r="C44" s="32">
        <v>50555043</v>
      </c>
      <c r="D44" s="195" t="s">
        <v>54</v>
      </c>
      <c r="E44" s="195">
        <v>1200</v>
      </c>
      <c r="F44" s="21">
        <v>2012.913</v>
      </c>
      <c r="G44" s="21">
        <v>2021.1010000000001</v>
      </c>
      <c r="H44" s="33">
        <f>(G44-F44)*E44</f>
        <v>9825.6000000001222</v>
      </c>
      <c r="I44" s="43"/>
      <c r="J44" s="20"/>
    </row>
    <row r="45" spans="1:10" ht="15.75" x14ac:dyDescent="0.25">
      <c r="A45" s="27" t="s">
        <v>63</v>
      </c>
      <c r="B45" s="195" t="s">
        <v>53</v>
      </c>
      <c r="C45" s="32">
        <v>51259336</v>
      </c>
      <c r="D45" s="195" t="s">
        <v>64</v>
      </c>
      <c r="E45" s="195">
        <v>2400</v>
      </c>
      <c r="F45" s="21">
        <v>4.093</v>
      </c>
      <c r="G45" s="21">
        <v>4.1059999999999999</v>
      </c>
      <c r="H45" s="33">
        <f>(G45-F45)*E45</f>
        <v>31.199999999999761</v>
      </c>
      <c r="I45" s="43"/>
      <c r="J45" s="20"/>
    </row>
    <row r="46" spans="1:10" ht="15.75" x14ac:dyDescent="0.25">
      <c r="A46" s="27" t="s">
        <v>65</v>
      </c>
      <c r="B46" s="195" t="s">
        <v>53</v>
      </c>
      <c r="C46" s="32">
        <v>51259266</v>
      </c>
      <c r="D46" s="195" t="s">
        <v>54</v>
      </c>
      <c r="E46" s="195">
        <v>1200</v>
      </c>
      <c r="F46" s="21">
        <v>976.71600000000001</v>
      </c>
      <c r="G46" s="21">
        <v>980.72400000000005</v>
      </c>
      <c r="H46" s="33">
        <f>(G46-F46)*E46</f>
        <v>4809.6000000000458</v>
      </c>
      <c r="I46" s="43"/>
      <c r="J46" s="20"/>
    </row>
    <row r="47" spans="1:10" ht="15.75" x14ac:dyDescent="0.25">
      <c r="A47" s="27" t="s">
        <v>66</v>
      </c>
      <c r="B47" s="195" t="s">
        <v>53</v>
      </c>
      <c r="C47" s="32">
        <v>51431336</v>
      </c>
      <c r="D47" s="195" t="s">
        <v>54</v>
      </c>
      <c r="E47" s="195">
        <v>1200</v>
      </c>
      <c r="F47" s="21">
        <v>56.923000000000002</v>
      </c>
      <c r="G47" s="21">
        <v>57.234000000000002</v>
      </c>
      <c r="H47" s="33">
        <f>(G47-F47)*E47</f>
        <v>373.19999999999993</v>
      </c>
      <c r="I47" s="43"/>
      <c r="J47" s="20"/>
    </row>
    <row r="48" spans="1:10" ht="15.75" x14ac:dyDescent="0.25">
      <c r="A48" s="15" t="s">
        <v>67</v>
      </c>
      <c r="B48" s="195" t="s">
        <v>68</v>
      </c>
      <c r="C48" s="195">
        <v>49174</v>
      </c>
      <c r="D48" s="196" t="s">
        <v>54</v>
      </c>
      <c r="E48" s="195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69</v>
      </c>
      <c r="B49" s="45"/>
      <c r="C49" s="45"/>
      <c r="D49" s="45"/>
      <c r="E49" s="45"/>
      <c r="F49" s="49"/>
      <c r="G49" s="49"/>
      <c r="H49" s="50">
        <f>H43+H44+H45+H46+H47+H48</f>
        <v>17465.600000000191</v>
      </c>
      <c r="I49" s="51"/>
      <c r="J49" s="52"/>
    </row>
    <row r="50" spans="1:10" ht="15.75" x14ac:dyDescent="0.25">
      <c r="A50" s="53" t="s">
        <v>70</v>
      </c>
      <c r="B50" s="201" t="s">
        <v>71</v>
      </c>
      <c r="C50" s="201"/>
      <c r="D50" s="201"/>
      <c r="E50" s="201"/>
      <c r="F50" s="54"/>
      <c r="G50" s="54"/>
      <c r="H50" s="55"/>
      <c r="I50" s="56"/>
      <c r="J50" s="57"/>
    </row>
    <row r="51" spans="1:10" ht="15.75" x14ac:dyDescent="0.25">
      <c r="A51" s="27" t="s">
        <v>72</v>
      </c>
      <c r="B51" s="195" t="s">
        <v>53</v>
      </c>
      <c r="C51" s="195">
        <v>51097603</v>
      </c>
      <c r="D51" s="196" t="s">
        <v>54</v>
      </c>
      <c r="E51" s="195">
        <v>7000</v>
      </c>
      <c r="F51" s="17">
        <v>1926.538</v>
      </c>
      <c r="G51" s="17">
        <v>1933.5</v>
      </c>
      <c r="H51" s="18">
        <f>(G51-F51)*E51</f>
        <v>48733.999999999927</v>
      </c>
      <c r="I51" s="43"/>
      <c r="J51" s="20"/>
    </row>
    <row r="52" spans="1:10" ht="15.75" x14ac:dyDescent="0.25">
      <c r="A52" s="27" t="s">
        <v>73</v>
      </c>
      <c r="B52" s="195" t="s">
        <v>53</v>
      </c>
      <c r="C52" s="195">
        <v>51097590</v>
      </c>
      <c r="D52" s="196" t="s">
        <v>54</v>
      </c>
      <c r="E52" s="195">
        <v>7000</v>
      </c>
      <c r="F52" s="21">
        <v>12.526</v>
      </c>
      <c r="G52" s="21">
        <v>12.599</v>
      </c>
      <c r="H52" s="18">
        <f>(G52-F52)*E52</f>
        <v>511.00000000000279</v>
      </c>
      <c r="I52" s="43"/>
      <c r="J52" s="20"/>
    </row>
    <row r="53" spans="1:10" ht="15.75" x14ac:dyDescent="0.25">
      <c r="A53" s="15" t="s">
        <v>67</v>
      </c>
      <c r="B53" s="195" t="s">
        <v>68</v>
      </c>
      <c r="C53" s="195">
        <v>49174</v>
      </c>
      <c r="D53" s="196" t="s">
        <v>54</v>
      </c>
      <c r="E53" s="195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74</v>
      </c>
      <c r="B54" s="40"/>
      <c r="C54" s="195"/>
      <c r="D54" s="196"/>
      <c r="E54" s="195"/>
      <c r="F54" s="21"/>
      <c r="G54" s="21"/>
      <c r="H54" s="48">
        <f>H51+H52+H53</f>
        <v>49344.999999999927</v>
      </c>
      <c r="I54" s="47"/>
      <c r="J54" s="59"/>
    </row>
    <row r="55" spans="1:10" ht="15.75" x14ac:dyDescent="0.25">
      <c r="A55" s="27" t="s">
        <v>75</v>
      </c>
      <c r="B55" s="195" t="s">
        <v>53</v>
      </c>
      <c r="C55" s="195">
        <v>51100980</v>
      </c>
      <c r="D55" s="195" t="s">
        <v>76</v>
      </c>
      <c r="E55" s="195">
        <v>12000</v>
      </c>
      <c r="F55" s="21">
        <v>1133.5650000000001</v>
      </c>
      <c r="G55" s="21">
        <v>1137.674</v>
      </c>
      <c r="H55" s="18">
        <f>(G55-F55)*E55</f>
        <v>49307.999999999083</v>
      </c>
      <c r="I55" s="47"/>
      <c r="J55" s="58"/>
    </row>
    <row r="56" spans="1:10" ht="15.75" x14ac:dyDescent="0.25">
      <c r="A56" s="27" t="s">
        <v>77</v>
      </c>
      <c r="B56" s="195" t="s">
        <v>53</v>
      </c>
      <c r="C56" s="195">
        <v>51097623</v>
      </c>
      <c r="D56" s="195" t="s">
        <v>76</v>
      </c>
      <c r="E56" s="195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78</v>
      </c>
      <c r="B57" s="195"/>
      <c r="C57" s="195"/>
      <c r="D57" s="195"/>
      <c r="E57" s="195"/>
      <c r="F57" s="21"/>
      <c r="G57" s="21"/>
      <c r="H57" s="48">
        <f>H55+H56</f>
        <v>49307.999999999083</v>
      </c>
      <c r="I57" s="61">
        <f>H54-H64-H53</f>
        <v>-127.79999999959546</v>
      </c>
      <c r="J57" s="25">
        <f>I57/H57</f>
        <v>-2.5918715015737373E-3</v>
      </c>
    </row>
    <row r="58" spans="1:10" ht="15.75" x14ac:dyDescent="0.25">
      <c r="A58" s="27" t="s">
        <v>79</v>
      </c>
      <c r="B58" s="195" t="s">
        <v>53</v>
      </c>
      <c r="C58" s="195">
        <v>51097675</v>
      </c>
      <c r="D58" s="195" t="s">
        <v>35</v>
      </c>
      <c r="E58" s="195">
        <v>4800</v>
      </c>
      <c r="F58" s="21">
        <v>503.73</v>
      </c>
      <c r="G58" s="21">
        <v>507.10500000000002</v>
      </c>
      <c r="H58" s="18">
        <f t="shared" ref="H58:H63" si="2">(G58-F58)*E58</f>
        <v>16200</v>
      </c>
      <c r="I58" s="62"/>
      <c r="J58" s="59"/>
    </row>
    <row r="59" spans="1:10" ht="15.75" x14ac:dyDescent="0.25">
      <c r="A59" s="27" t="s">
        <v>80</v>
      </c>
      <c r="B59" s="195" t="s">
        <v>53</v>
      </c>
      <c r="C59" s="195">
        <v>51100997</v>
      </c>
      <c r="D59" s="195" t="s">
        <v>22</v>
      </c>
      <c r="E59" s="195">
        <v>3600</v>
      </c>
      <c r="F59" s="21">
        <v>1372.846</v>
      </c>
      <c r="G59" s="21">
        <v>1375.6759999999999</v>
      </c>
      <c r="H59" s="18">
        <f t="shared" si="2"/>
        <v>10187.999999999738</v>
      </c>
      <c r="I59" s="62"/>
      <c r="J59" s="59"/>
    </row>
    <row r="60" spans="1:10" ht="15.75" x14ac:dyDescent="0.25">
      <c r="A60" s="27" t="s">
        <v>81</v>
      </c>
      <c r="B60" s="195" t="s">
        <v>53</v>
      </c>
      <c r="C60" s="195">
        <v>51555218</v>
      </c>
      <c r="D60" s="195">
        <f>400/5</f>
        <v>80</v>
      </c>
      <c r="E60" s="195">
        <v>4800</v>
      </c>
      <c r="F60" s="21">
        <v>63.350999999999999</v>
      </c>
      <c r="G60" s="21">
        <v>63.932000000000002</v>
      </c>
      <c r="H60" s="18">
        <f t="shared" si="2"/>
        <v>2788.8000000000147</v>
      </c>
      <c r="I60" s="62"/>
      <c r="J60" s="59"/>
    </row>
    <row r="61" spans="1:10" ht="15.75" x14ac:dyDescent="0.25">
      <c r="A61" s="27" t="s">
        <v>82</v>
      </c>
      <c r="B61" s="195" t="s">
        <v>53</v>
      </c>
      <c r="C61" s="195">
        <v>51555151</v>
      </c>
      <c r="D61" s="195">
        <f>400/5</f>
        <v>80</v>
      </c>
      <c r="E61" s="195">
        <v>4800</v>
      </c>
      <c r="F61" s="63">
        <v>0.30599999999999999</v>
      </c>
      <c r="G61" s="63">
        <v>0.30599999999999999</v>
      </c>
      <c r="H61" s="18">
        <f t="shared" si="2"/>
        <v>0</v>
      </c>
      <c r="I61" s="62"/>
      <c r="J61" s="59"/>
    </row>
    <row r="62" spans="1:10" ht="15.75" x14ac:dyDescent="0.25">
      <c r="A62" s="27" t="s">
        <v>83</v>
      </c>
      <c r="B62" s="195" t="s">
        <v>53</v>
      </c>
      <c r="C62" s="195">
        <v>51097599</v>
      </c>
      <c r="D62" s="195" t="s">
        <v>22</v>
      </c>
      <c r="E62" s="195">
        <v>3600</v>
      </c>
      <c r="F62" s="21">
        <v>958.88800000000003</v>
      </c>
      <c r="G62" s="21">
        <v>961.19399999999996</v>
      </c>
      <c r="H62" s="18">
        <f t="shared" si="2"/>
        <v>8301.5999999997348</v>
      </c>
      <c r="I62" s="62"/>
      <c r="J62" s="59"/>
    </row>
    <row r="63" spans="1:10" ht="15.75" x14ac:dyDescent="0.25">
      <c r="A63" s="27" t="s">
        <v>84</v>
      </c>
      <c r="B63" s="195" t="s">
        <v>53</v>
      </c>
      <c r="C63" s="195">
        <v>51097620</v>
      </c>
      <c r="D63" s="195" t="s">
        <v>35</v>
      </c>
      <c r="E63" s="195">
        <v>4800</v>
      </c>
      <c r="F63" s="21">
        <v>507.53100000000001</v>
      </c>
      <c r="G63" s="21">
        <v>510.00900000000001</v>
      </c>
      <c r="H63" s="18">
        <f t="shared" si="2"/>
        <v>11894.400000000041</v>
      </c>
      <c r="I63" s="62"/>
      <c r="J63" s="64"/>
    </row>
    <row r="64" spans="1:10" ht="16.5" thickBot="1" x14ac:dyDescent="0.3">
      <c r="A64" s="44" t="s">
        <v>50</v>
      </c>
      <c r="B64" s="45"/>
      <c r="C64" s="45"/>
      <c r="D64" s="45"/>
      <c r="E64" s="45"/>
      <c r="F64" s="21"/>
      <c r="G64" s="21"/>
      <c r="H64" s="50">
        <f>+H59+H60+H61+H62+ H63+H58</f>
        <v>49372.799999999523</v>
      </c>
      <c r="I64" s="65"/>
      <c r="J64" s="59"/>
    </row>
    <row r="65" spans="1:10" ht="16.5" thickBot="1" x14ac:dyDescent="0.3">
      <c r="A65" s="66"/>
      <c r="B65" s="67" t="s">
        <v>85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86</v>
      </c>
      <c r="B66" s="195" t="s">
        <v>53</v>
      </c>
      <c r="C66" s="9">
        <v>51259238</v>
      </c>
      <c r="D66" s="74" t="s">
        <v>54</v>
      </c>
      <c r="E66" s="74">
        <v>7000</v>
      </c>
      <c r="F66" s="75">
        <v>550.52300000000002</v>
      </c>
      <c r="G66" s="75">
        <v>553.37300000000005</v>
      </c>
      <c r="H66" s="76">
        <f>(G66-F66)*E66</f>
        <v>19950.00000000016</v>
      </c>
      <c r="I66" s="77"/>
      <c r="J66" s="78"/>
    </row>
    <row r="67" spans="1:10" ht="15.75" x14ac:dyDescent="0.25">
      <c r="A67" s="27" t="s">
        <v>87</v>
      </c>
      <c r="B67" s="195" t="s">
        <v>53</v>
      </c>
      <c r="C67" s="195">
        <v>51259324</v>
      </c>
      <c r="D67" s="196" t="s">
        <v>54</v>
      </c>
      <c r="E67" s="196">
        <v>7000</v>
      </c>
      <c r="F67" s="21">
        <v>428.88299999999998</v>
      </c>
      <c r="G67" s="21">
        <v>431.04199999999997</v>
      </c>
      <c r="H67" s="18">
        <f>(G67-F67)*E67</f>
        <v>15112.999999999942</v>
      </c>
      <c r="I67" s="51"/>
      <c r="J67" s="58"/>
    </row>
    <row r="68" spans="1:10" ht="15.75" x14ac:dyDescent="0.25">
      <c r="A68" s="27" t="s">
        <v>88</v>
      </c>
      <c r="B68" s="79" t="s">
        <v>89</v>
      </c>
      <c r="C68" s="195">
        <v>51491618</v>
      </c>
      <c r="D68" s="196" t="s">
        <v>64</v>
      </c>
      <c r="E68" s="195">
        <v>40</v>
      </c>
      <c r="F68" s="28">
        <v>1228.269</v>
      </c>
      <c r="G68" s="28">
        <v>1239.173</v>
      </c>
      <c r="H68" s="18">
        <f>(G68-F68)*E68</f>
        <v>436.15999999999985</v>
      </c>
      <c r="I68" s="51"/>
      <c r="J68" s="58"/>
    </row>
    <row r="69" spans="1:10" ht="15.75" x14ac:dyDescent="0.25">
      <c r="A69" s="27" t="s">
        <v>90</v>
      </c>
      <c r="B69" s="79" t="s">
        <v>89</v>
      </c>
      <c r="C69" s="195">
        <v>51491624</v>
      </c>
      <c r="D69" s="196" t="s">
        <v>64</v>
      </c>
      <c r="E69" s="195">
        <v>40</v>
      </c>
      <c r="F69" s="28">
        <v>170.72399999999999</v>
      </c>
      <c r="G69" s="28">
        <v>171.52099999999999</v>
      </c>
      <c r="H69" s="18">
        <f>(G69-F69)*E69</f>
        <v>31.879999999999882</v>
      </c>
      <c r="I69" s="51"/>
      <c r="J69" s="58"/>
    </row>
    <row r="70" spans="1:10" ht="15.75" x14ac:dyDescent="0.25">
      <c r="A70" s="80" t="s">
        <v>91</v>
      </c>
      <c r="B70" s="81"/>
      <c r="C70" s="32" t="s">
        <v>28</v>
      </c>
      <c r="D70" s="82"/>
      <c r="E70" s="82"/>
      <c r="F70" s="83"/>
      <c r="G70" s="83"/>
      <c r="H70" s="84">
        <f>H66+H67</f>
        <v>35063.000000000102</v>
      </c>
      <c r="I70" s="85">
        <f>H70-H73-H68-H69</f>
        <v>178.96000000084427</v>
      </c>
      <c r="J70" s="25">
        <f>I70/H70</f>
        <v>5.1039557368406513E-3</v>
      </c>
    </row>
    <row r="71" spans="1:10" ht="15.75" x14ac:dyDescent="0.25">
      <c r="A71" s="27" t="s">
        <v>92</v>
      </c>
      <c r="B71" s="195" t="s">
        <v>53</v>
      </c>
      <c r="C71" s="86">
        <v>51097588</v>
      </c>
      <c r="D71" s="196" t="s">
        <v>76</v>
      </c>
      <c r="E71" s="195">
        <v>12000</v>
      </c>
      <c r="F71" s="21">
        <v>330.20600000000002</v>
      </c>
      <c r="G71" s="21">
        <v>331.82799999999997</v>
      </c>
      <c r="H71" s="18">
        <f>(G71-F71)*E71</f>
        <v>19463.999999999487</v>
      </c>
      <c r="I71" s="51"/>
      <c r="J71" s="58"/>
    </row>
    <row r="72" spans="1:10" ht="15.75" x14ac:dyDescent="0.25">
      <c r="A72" s="27" t="s">
        <v>93</v>
      </c>
      <c r="B72" s="195" t="s">
        <v>53</v>
      </c>
      <c r="C72" s="86">
        <v>51431335</v>
      </c>
      <c r="D72" s="196" t="s">
        <v>76</v>
      </c>
      <c r="E72" s="195">
        <v>12000</v>
      </c>
      <c r="F72" s="21">
        <v>262.15100000000001</v>
      </c>
      <c r="G72" s="21">
        <v>263.39699999999999</v>
      </c>
      <c r="H72" s="18">
        <f>(G72-F72)*E72</f>
        <v>14951.999999999771</v>
      </c>
      <c r="I72" s="51"/>
      <c r="J72" s="58"/>
    </row>
    <row r="73" spans="1:10" ht="15.75" x14ac:dyDescent="0.25">
      <c r="A73" s="87" t="s">
        <v>94</v>
      </c>
      <c r="B73" s="195" t="s">
        <v>28</v>
      </c>
      <c r="C73" s="195"/>
      <c r="D73" s="196"/>
      <c r="E73" s="195"/>
      <c r="F73" s="21"/>
      <c r="G73" s="21"/>
      <c r="H73" s="48">
        <f>H71+ H72</f>
        <v>34415.999999999258</v>
      </c>
      <c r="I73" s="85">
        <f>H73-H81</f>
        <v>-79.200000000448199</v>
      </c>
      <c r="J73" s="25">
        <f>I73/H73</f>
        <v>-2.3012552301385956E-3</v>
      </c>
    </row>
    <row r="74" spans="1:10" ht="15.75" x14ac:dyDescent="0.25">
      <c r="A74" s="27" t="s">
        <v>95</v>
      </c>
      <c r="B74" s="195" t="s">
        <v>53</v>
      </c>
      <c r="C74" s="86">
        <v>51097676</v>
      </c>
      <c r="D74" s="88" t="s">
        <v>64</v>
      </c>
      <c r="E74" s="195">
        <v>2400</v>
      </c>
      <c r="F74" s="21">
        <v>692.05</v>
      </c>
      <c r="G74" s="21">
        <v>695.66800000000001</v>
      </c>
      <c r="H74" s="18">
        <f>(G74-F74)*E74</f>
        <v>8683.2000000001244</v>
      </c>
      <c r="I74" s="51"/>
      <c r="J74" s="58"/>
    </row>
    <row r="75" spans="1:10" ht="15.75" x14ac:dyDescent="0.25">
      <c r="A75" s="27" t="s">
        <v>96</v>
      </c>
      <c r="B75" s="195" t="s">
        <v>53</v>
      </c>
      <c r="C75" s="86">
        <v>51431355</v>
      </c>
      <c r="D75" s="196" t="s">
        <v>22</v>
      </c>
      <c r="E75" s="196">
        <v>3600</v>
      </c>
      <c r="F75" s="21">
        <v>362.87900000000002</v>
      </c>
      <c r="G75" s="21">
        <v>364.23399999999998</v>
      </c>
      <c r="H75" s="18">
        <f>(G75-F75)*E75</f>
        <v>4877.9999999998608</v>
      </c>
      <c r="I75" s="51"/>
      <c r="J75" s="52"/>
    </row>
    <row r="76" spans="1:10" ht="15.75" x14ac:dyDescent="0.25">
      <c r="A76" s="27" t="s">
        <v>97</v>
      </c>
      <c r="B76" s="195" t="s">
        <v>53</v>
      </c>
      <c r="C76" s="86">
        <v>51259331</v>
      </c>
      <c r="D76" s="88" t="s">
        <v>38</v>
      </c>
      <c r="E76" s="195">
        <v>600</v>
      </c>
      <c r="F76" s="21">
        <v>162.922</v>
      </c>
      <c r="G76" s="21">
        <v>163.98400000000001</v>
      </c>
      <c r="H76" s="18">
        <f>(G76-F76)*E76</f>
        <v>637.20000000000709</v>
      </c>
      <c r="I76" s="51"/>
      <c r="J76" s="52"/>
    </row>
    <row r="77" spans="1:10" ht="15.75" x14ac:dyDescent="0.25">
      <c r="A77" s="27" t="s">
        <v>98</v>
      </c>
      <c r="B77" s="195" t="s">
        <v>53</v>
      </c>
      <c r="C77" s="86">
        <v>51259326</v>
      </c>
      <c r="D77" s="88" t="s">
        <v>15</v>
      </c>
      <c r="E77" s="195">
        <v>7200</v>
      </c>
      <c r="F77" s="21">
        <v>328.27300000000002</v>
      </c>
      <c r="G77" s="21">
        <v>329.78</v>
      </c>
      <c r="H77" s="18">
        <f>(G77-F77)*E77</f>
        <v>10850.399999999627</v>
      </c>
      <c r="I77" s="51"/>
      <c r="J77" s="52"/>
    </row>
    <row r="78" spans="1:10" ht="15.75" x14ac:dyDescent="0.25">
      <c r="A78" s="27" t="s">
        <v>99</v>
      </c>
      <c r="B78" s="195" t="s">
        <v>53</v>
      </c>
      <c r="C78" s="86">
        <v>51431351</v>
      </c>
      <c r="D78" s="88" t="s">
        <v>15</v>
      </c>
      <c r="E78" s="195">
        <v>7200</v>
      </c>
      <c r="F78" s="21">
        <v>235.154</v>
      </c>
      <c r="G78" s="21">
        <v>236.46600000000001</v>
      </c>
      <c r="H78" s="18">
        <f>(G78-F78)*E78</f>
        <v>9446.4000000000851</v>
      </c>
      <c r="I78" s="51"/>
      <c r="J78" s="52"/>
    </row>
    <row r="79" spans="1:10" ht="15.75" x14ac:dyDescent="0.25">
      <c r="A79" s="89" t="s">
        <v>100</v>
      </c>
      <c r="B79" s="195" t="s">
        <v>53</v>
      </c>
      <c r="C79" s="90">
        <v>51097666</v>
      </c>
      <c r="D79" s="88" t="s">
        <v>64</v>
      </c>
      <c r="E79" s="195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101</v>
      </c>
      <c r="B80" s="195" t="s">
        <v>53</v>
      </c>
      <c r="C80" s="90">
        <v>51259323</v>
      </c>
      <c r="D80" s="88" t="s">
        <v>64</v>
      </c>
      <c r="E80" s="195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102</v>
      </c>
      <c r="B81" s="32"/>
      <c r="C81" s="32"/>
      <c r="D81" s="94"/>
      <c r="E81" s="32"/>
      <c r="F81" s="95"/>
      <c r="G81" s="95"/>
      <c r="H81" s="84">
        <f>H74+H75+H76+H77+H78+H79+H80</f>
        <v>34495.199999999706</v>
      </c>
      <c r="I81" s="91"/>
      <c r="J81" s="96"/>
    </row>
    <row r="82" spans="1:10" ht="15.75" x14ac:dyDescent="0.25">
      <c r="A82" s="97"/>
      <c r="B82" s="98"/>
      <c r="C82" s="99" t="s">
        <v>103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86</v>
      </c>
      <c r="B83" s="195" t="s">
        <v>53</v>
      </c>
      <c r="C83" s="106">
        <v>51431297</v>
      </c>
      <c r="D83" s="196" t="s">
        <v>54</v>
      </c>
      <c r="E83" s="100">
        <v>7000</v>
      </c>
      <c r="F83" s="17">
        <v>273.01400000000001</v>
      </c>
      <c r="G83" s="17">
        <v>275.61099999999999</v>
      </c>
      <c r="H83" s="18">
        <f>(G83-F83)*E83</f>
        <v>18178.999999999862</v>
      </c>
      <c r="I83" s="107"/>
      <c r="J83" s="108"/>
    </row>
    <row r="84" spans="1:10" ht="15.75" x14ac:dyDescent="0.25">
      <c r="A84" s="105" t="s">
        <v>87</v>
      </c>
      <c r="B84" s="195" t="s">
        <v>53</v>
      </c>
      <c r="C84" s="106">
        <v>51431332</v>
      </c>
      <c r="D84" s="196" t="s">
        <v>54</v>
      </c>
      <c r="E84" s="100">
        <v>7000</v>
      </c>
      <c r="F84" s="21">
        <v>357.221</v>
      </c>
      <c r="G84" s="21">
        <v>357.36700000000002</v>
      </c>
      <c r="H84" s="18">
        <f>(G84-F84)*E84</f>
        <v>1022.000000000105</v>
      </c>
      <c r="I84" s="195"/>
      <c r="J84" s="58"/>
    </row>
    <row r="85" spans="1:10" ht="15.75" x14ac:dyDescent="0.25">
      <c r="A85" s="27" t="s">
        <v>88</v>
      </c>
      <c r="B85" s="195" t="s">
        <v>104</v>
      </c>
      <c r="C85" s="109">
        <v>150773</v>
      </c>
      <c r="D85" s="196" t="s">
        <v>54</v>
      </c>
      <c r="E85" s="109">
        <v>20</v>
      </c>
      <c r="F85" s="17">
        <v>15653.8</v>
      </c>
      <c r="G85" s="17">
        <v>15661.8</v>
      </c>
      <c r="H85" s="18">
        <f>(G85-F85)*E85</f>
        <v>160</v>
      </c>
      <c r="I85" s="51"/>
      <c r="J85" s="58"/>
    </row>
    <row r="86" spans="1:10" ht="15.75" x14ac:dyDescent="0.25">
      <c r="A86" s="27" t="s">
        <v>90</v>
      </c>
      <c r="B86" s="195" t="s">
        <v>104</v>
      </c>
      <c r="C86" s="109">
        <v>150791</v>
      </c>
      <c r="D86" s="196" t="s">
        <v>54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91</v>
      </c>
      <c r="B87" s="197"/>
      <c r="C87" s="32"/>
      <c r="D87" s="82"/>
      <c r="E87" s="82"/>
      <c r="F87" s="21"/>
      <c r="G87" s="21"/>
      <c r="H87" s="48">
        <f>H83+H84</f>
        <v>19200.999999999967</v>
      </c>
      <c r="I87" s="85">
        <f>H87-H90-H85-H86</f>
        <v>393.00000000001091</v>
      </c>
      <c r="J87" s="25">
        <f>I87/H87</f>
        <v>2.0467683974793583E-2</v>
      </c>
    </row>
    <row r="88" spans="1:10" ht="15.75" x14ac:dyDescent="0.25">
      <c r="A88" s="27" t="s">
        <v>105</v>
      </c>
      <c r="B88" s="195" t="s">
        <v>53</v>
      </c>
      <c r="C88" s="106">
        <v>51431342</v>
      </c>
      <c r="D88" s="88" t="s">
        <v>35</v>
      </c>
      <c r="E88" s="195">
        <v>4800</v>
      </c>
      <c r="F88" s="21">
        <v>387.46699999999998</v>
      </c>
      <c r="G88" s="21">
        <v>391.214</v>
      </c>
      <c r="H88" s="18">
        <f>(G88-F88)*E88</f>
        <v>17985.600000000068</v>
      </c>
      <c r="I88" s="51"/>
      <c r="J88" s="52"/>
    </row>
    <row r="89" spans="1:10" ht="15.75" x14ac:dyDescent="0.25">
      <c r="A89" s="27" t="s">
        <v>106</v>
      </c>
      <c r="B89" s="195" t="s">
        <v>53</v>
      </c>
      <c r="C89" s="106">
        <v>51431343</v>
      </c>
      <c r="D89" s="88" t="s">
        <v>35</v>
      </c>
      <c r="E89" s="195">
        <v>4800</v>
      </c>
      <c r="F89" s="21">
        <v>504.80500000000001</v>
      </c>
      <c r="G89" s="21">
        <v>504.94299999999998</v>
      </c>
      <c r="H89" s="18">
        <f>(G89-F89)*E89</f>
        <v>662.39999999988868</v>
      </c>
      <c r="I89" s="51"/>
      <c r="J89" s="52"/>
    </row>
    <row r="90" spans="1:10" ht="15.75" x14ac:dyDescent="0.25">
      <c r="A90" s="44" t="s">
        <v>107</v>
      </c>
      <c r="B90" s="79"/>
      <c r="C90" s="109"/>
      <c r="D90" s="112"/>
      <c r="E90" s="109"/>
      <c r="F90" s="21"/>
      <c r="G90" s="21"/>
      <c r="H90" s="48">
        <f>H88+H89</f>
        <v>18647.999999999956</v>
      </c>
      <c r="I90" s="85">
        <f>H90-H98</f>
        <v>-119.7999999999447</v>
      </c>
      <c r="J90" s="25">
        <f>I90/H90</f>
        <v>-6.4242814242784739E-3</v>
      </c>
    </row>
    <row r="91" spans="1:10" ht="15.75" x14ac:dyDescent="0.25">
      <c r="A91" s="27" t="s">
        <v>108</v>
      </c>
      <c r="B91" s="195" t="s">
        <v>53</v>
      </c>
      <c r="C91" s="106">
        <v>51431347</v>
      </c>
      <c r="D91" s="196" t="s">
        <v>54</v>
      </c>
      <c r="E91" s="195">
        <v>1200</v>
      </c>
      <c r="F91" s="21">
        <v>1202.1469999999999</v>
      </c>
      <c r="G91" s="21">
        <v>1202.1469999999999</v>
      </c>
      <c r="H91" s="18">
        <f>(G91-F91)*E91</f>
        <v>0</v>
      </c>
      <c r="I91" s="51"/>
      <c r="J91" s="52"/>
    </row>
    <row r="92" spans="1:10" ht="15.75" x14ac:dyDescent="0.25">
      <c r="A92" s="27" t="s">
        <v>109</v>
      </c>
      <c r="B92" s="195" t="s">
        <v>53</v>
      </c>
      <c r="C92" s="106">
        <v>51431339</v>
      </c>
      <c r="D92" s="196" t="s">
        <v>54</v>
      </c>
      <c r="E92" s="195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110</v>
      </c>
      <c r="B93" s="195" t="s">
        <v>53</v>
      </c>
      <c r="C93" s="106">
        <v>51217244</v>
      </c>
      <c r="D93" s="195" t="s">
        <v>38</v>
      </c>
      <c r="E93" s="195">
        <v>600</v>
      </c>
      <c r="F93" s="30">
        <v>330.44600000000003</v>
      </c>
      <c r="G93" s="30">
        <v>331.43700000000001</v>
      </c>
      <c r="H93" s="18">
        <f t="shared" si="4"/>
        <v>594.59999999999127</v>
      </c>
      <c r="I93" s="51"/>
      <c r="J93" s="52"/>
    </row>
    <row r="94" spans="1:10" ht="15.75" x14ac:dyDescent="0.25">
      <c r="A94" s="27" t="s">
        <v>111</v>
      </c>
      <c r="B94" s="195" t="s">
        <v>53</v>
      </c>
      <c r="C94" s="106">
        <v>51217267</v>
      </c>
      <c r="D94" s="88" t="s">
        <v>64</v>
      </c>
      <c r="E94" s="195">
        <v>2400</v>
      </c>
      <c r="F94" s="30">
        <v>20.202000000000002</v>
      </c>
      <c r="G94" s="30">
        <v>20.233000000000001</v>
      </c>
      <c r="H94" s="18">
        <f t="shared" si="4"/>
        <v>74.399999999997135</v>
      </c>
      <c r="I94" s="51"/>
      <c r="J94" s="52"/>
    </row>
    <row r="95" spans="1:10" ht="15.75" x14ac:dyDescent="0.25">
      <c r="A95" s="27" t="s">
        <v>112</v>
      </c>
      <c r="B95" s="195" t="s">
        <v>53</v>
      </c>
      <c r="C95" s="195">
        <v>51555165</v>
      </c>
      <c r="D95" s="196" t="s">
        <v>54</v>
      </c>
      <c r="E95" s="195">
        <v>1200</v>
      </c>
      <c r="F95" s="30">
        <v>822.50300000000004</v>
      </c>
      <c r="G95" s="30">
        <v>831.15300000000002</v>
      </c>
      <c r="H95" s="18">
        <f t="shared" si="4"/>
        <v>10379.999999999973</v>
      </c>
      <c r="I95" s="51" t="s">
        <v>28</v>
      </c>
      <c r="J95" s="52"/>
    </row>
    <row r="96" spans="1:10" ht="15.75" x14ac:dyDescent="0.25">
      <c r="A96" s="113" t="s">
        <v>113</v>
      </c>
      <c r="B96" s="195" t="s">
        <v>53</v>
      </c>
      <c r="C96" s="106">
        <v>51431346</v>
      </c>
      <c r="D96" s="114" t="s">
        <v>38</v>
      </c>
      <c r="E96" s="114">
        <v>600</v>
      </c>
      <c r="F96" s="30">
        <v>346.01</v>
      </c>
      <c r="G96" s="30">
        <v>348.06</v>
      </c>
      <c r="H96" s="115">
        <f t="shared" si="4"/>
        <v>1230.0000000000068</v>
      </c>
      <c r="I96" s="116"/>
      <c r="J96" s="117"/>
    </row>
    <row r="97" spans="1:10" ht="15.75" x14ac:dyDescent="0.25">
      <c r="A97" s="27" t="s">
        <v>114</v>
      </c>
      <c r="B97" s="195" t="s">
        <v>53</v>
      </c>
      <c r="C97" s="106">
        <v>51431352</v>
      </c>
      <c r="D97" s="88" t="s">
        <v>22</v>
      </c>
      <c r="E97" s="195">
        <v>3600</v>
      </c>
      <c r="F97" s="21">
        <v>225.22800000000001</v>
      </c>
      <c r="G97" s="21">
        <v>226.98599999999999</v>
      </c>
      <c r="H97" s="18">
        <f t="shared" si="4"/>
        <v>6328.7999999999329</v>
      </c>
      <c r="I97" s="51"/>
      <c r="J97" s="52"/>
    </row>
    <row r="98" spans="1:10" ht="15.75" x14ac:dyDescent="0.25">
      <c r="A98" s="44" t="s">
        <v>107</v>
      </c>
      <c r="B98" s="51"/>
      <c r="C98" s="51"/>
      <c r="D98" s="51"/>
      <c r="E98" s="51"/>
      <c r="F98" s="118"/>
      <c r="G98" s="118"/>
      <c r="H98" s="119">
        <f>H91+H92+H93+H94+H95+H96+H97+H85+H86</f>
        <v>18767.799999999901</v>
      </c>
      <c r="I98" s="51"/>
      <c r="J98" s="52"/>
    </row>
    <row r="99" spans="1:10" ht="15.75" x14ac:dyDescent="0.25">
      <c r="A99" s="45" t="s">
        <v>115</v>
      </c>
      <c r="B99" s="195" t="s">
        <v>53</v>
      </c>
      <c r="C99" s="120">
        <v>51431357</v>
      </c>
      <c r="D99" s="196" t="s">
        <v>64</v>
      </c>
      <c r="E99" s="196">
        <v>14000</v>
      </c>
      <c r="F99" s="28">
        <v>829.41399999999999</v>
      </c>
      <c r="G99" s="28">
        <v>832.14800000000002</v>
      </c>
      <c r="H99" s="121">
        <f t="shared" si="4"/>
        <v>38276.000000000524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abSelected="1" workbookViewId="0">
      <selection sqref="A1:A2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03" t="s">
        <v>1</v>
      </c>
      <c r="B1" s="203" t="s">
        <v>2</v>
      </c>
      <c r="C1" s="203" t="s">
        <v>3</v>
      </c>
      <c r="D1" s="204" t="s">
        <v>4</v>
      </c>
      <c r="E1" s="203" t="s">
        <v>5</v>
      </c>
      <c r="F1" s="205" t="s">
        <v>6</v>
      </c>
      <c r="G1" s="206"/>
      <c r="H1" s="1" t="s">
        <v>7</v>
      </c>
      <c r="I1" s="2" t="s">
        <v>8</v>
      </c>
      <c r="J1" s="3" t="s">
        <v>8</v>
      </c>
    </row>
    <row r="2" spans="1:10" ht="16.5" thickBot="1" x14ac:dyDescent="0.3">
      <c r="A2" s="203"/>
      <c r="B2" s="203"/>
      <c r="C2" s="203"/>
      <c r="D2" s="204"/>
      <c r="E2" s="203"/>
      <c r="F2" s="4" t="s">
        <v>142</v>
      </c>
      <c r="G2" s="4" t="s">
        <v>143</v>
      </c>
      <c r="H2" s="5" t="s">
        <v>10</v>
      </c>
      <c r="I2" s="6" t="s">
        <v>10</v>
      </c>
      <c r="J2" s="7" t="s">
        <v>11</v>
      </c>
    </row>
    <row r="3" spans="1:10" ht="15.75" x14ac:dyDescent="0.25">
      <c r="A3" s="8"/>
      <c r="B3" s="9"/>
      <c r="C3" s="9"/>
      <c r="D3" s="10" t="s">
        <v>12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13</v>
      </c>
      <c r="B4" s="198" t="s">
        <v>14</v>
      </c>
      <c r="C4" s="198">
        <v>51555166</v>
      </c>
      <c r="D4" s="198" t="s">
        <v>15</v>
      </c>
      <c r="E4" s="198">
        <v>132000</v>
      </c>
      <c r="F4" s="17">
        <v>3.5630000000000002</v>
      </c>
      <c r="G4" s="17">
        <v>3.5710000000000002</v>
      </c>
      <c r="H4" s="18">
        <f>(G4-F4)*E4</f>
        <v>1056.0000000000009</v>
      </c>
      <c r="I4" s="19"/>
      <c r="J4" s="20"/>
    </row>
    <row r="5" spans="1:10" ht="15.75" x14ac:dyDescent="0.25">
      <c r="A5" s="15" t="s">
        <v>16</v>
      </c>
      <c r="B5" s="198" t="s">
        <v>14</v>
      </c>
      <c r="C5" s="198">
        <v>51555191</v>
      </c>
      <c r="D5" s="198" t="s">
        <v>15</v>
      </c>
      <c r="E5" s="198">
        <v>132000</v>
      </c>
      <c r="F5" s="21">
        <v>368.14699999999999</v>
      </c>
      <c r="G5" s="21">
        <v>370.23399999999998</v>
      </c>
      <c r="H5" s="18">
        <f>(G5-F5)*E5</f>
        <v>275483.99999999854</v>
      </c>
      <c r="I5" s="19"/>
      <c r="J5" s="20"/>
    </row>
    <row r="6" spans="1:10" ht="15.75" x14ac:dyDescent="0.25">
      <c r="A6" s="207" t="s">
        <v>17</v>
      </c>
      <c r="B6" s="208"/>
      <c r="C6" s="198"/>
      <c r="D6" s="199"/>
      <c r="E6" s="198"/>
      <c r="H6" s="23">
        <f>H4+H5</f>
        <v>276539.99999999854</v>
      </c>
      <c r="I6" s="24">
        <f>H6-H9-H19</f>
        <v>2087.9999999937427</v>
      </c>
      <c r="J6" s="25">
        <f>I6/H6</f>
        <v>7.550444781925774E-3</v>
      </c>
    </row>
    <row r="7" spans="1:10" ht="15.75" x14ac:dyDescent="0.25">
      <c r="A7" s="26" t="s">
        <v>18</v>
      </c>
      <c r="B7" s="198" t="s">
        <v>14</v>
      </c>
      <c r="C7" s="198">
        <v>51097629</v>
      </c>
      <c r="D7" s="199" t="s">
        <v>15</v>
      </c>
      <c r="E7" s="198">
        <v>42000</v>
      </c>
      <c r="F7" s="21">
        <v>1096.5519999999999</v>
      </c>
      <c r="G7" s="21">
        <v>1101.2760000000001</v>
      </c>
      <c r="H7" s="18">
        <f>(G7-F7)*E7</f>
        <v>198408.00000000672</v>
      </c>
      <c r="I7" s="19"/>
      <c r="J7" s="20"/>
    </row>
    <row r="8" spans="1:10" ht="15.75" x14ac:dyDescent="0.25">
      <c r="A8" s="26" t="s">
        <v>19</v>
      </c>
      <c r="B8" s="198" t="s">
        <v>14</v>
      </c>
      <c r="C8" s="198">
        <v>51616820</v>
      </c>
      <c r="D8" s="199" t="s">
        <v>15</v>
      </c>
      <c r="E8" s="198">
        <v>42000</v>
      </c>
      <c r="F8" s="21">
        <v>6.2949999999999999</v>
      </c>
      <c r="G8" s="21">
        <v>6.3090000000000002</v>
      </c>
      <c r="H8" s="18">
        <f>(G8-F8)*E8</f>
        <v>588.00000000000989</v>
      </c>
      <c r="I8" s="19"/>
      <c r="J8" s="20"/>
    </row>
    <row r="9" spans="1:10" ht="15.75" x14ac:dyDescent="0.25">
      <c r="A9" s="207" t="s">
        <v>20</v>
      </c>
      <c r="B9" s="208"/>
      <c r="C9" s="198"/>
      <c r="D9" s="199"/>
      <c r="E9" s="198"/>
      <c r="F9" s="21"/>
      <c r="G9" s="21"/>
      <c r="H9" s="23">
        <f>H7+H8</f>
        <v>198996.00000000672</v>
      </c>
      <c r="I9" s="24">
        <f>H9-H16</f>
        <v>42.000000005762558</v>
      </c>
      <c r="J9" s="25">
        <f>I9/H9</f>
        <v>2.1105951881324821E-4</v>
      </c>
    </row>
    <row r="10" spans="1:10" ht="15.75" x14ac:dyDescent="0.25">
      <c r="A10" s="27" t="s">
        <v>21</v>
      </c>
      <c r="B10" s="198" t="s">
        <v>14</v>
      </c>
      <c r="C10" s="198">
        <v>51217286</v>
      </c>
      <c r="D10" s="199" t="s">
        <v>22</v>
      </c>
      <c r="E10" s="198">
        <v>21000</v>
      </c>
      <c r="F10" s="21">
        <v>864.79200000000003</v>
      </c>
      <c r="G10" s="21">
        <v>867.97400000000005</v>
      </c>
      <c r="H10" s="18">
        <f t="shared" ref="H10:H15" si="0">(G10-F10)*E10</f>
        <v>66822.000000000349</v>
      </c>
      <c r="I10" s="19"/>
      <c r="J10" s="20"/>
    </row>
    <row r="11" spans="1:10" ht="15.75" x14ac:dyDescent="0.25">
      <c r="A11" s="27" t="s">
        <v>23</v>
      </c>
      <c r="B11" s="198" t="s">
        <v>14</v>
      </c>
      <c r="C11" s="198">
        <v>51217292</v>
      </c>
      <c r="D11" s="199" t="s">
        <v>22</v>
      </c>
      <c r="E11" s="198">
        <v>21000</v>
      </c>
      <c r="F11" s="28">
        <v>3.8660000000000001</v>
      </c>
      <c r="G11" s="28">
        <v>3.8780000000000001</v>
      </c>
      <c r="H11" s="18">
        <f>(G11-F11)*E11</f>
        <v>252.00000000000023</v>
      </c>
      <c r="I11" s="19"/>
      <c r="J11" s="20"/>
    </row>
    <row r="12" spans="1:10" ht="15.75" x14ac:dyDescent="0.25">
      <c r="A12" s="27" t="s">
        <v>24</v>
      </c>
      <c r="B12" s="198" t="s">
        <v>14</v>
      </c>
      <c r="C12" s="198">
        <v>51217271</v>
      </c>
      <c r="D12" s="199" t="s">
        <v>22</v>
      </c>
      <c r="E12" s="198">
        <v>21000</v>
      </c>
      <c r="F12" s="21">
        <v>639.69399999999996</v>
      </c>
      <c r="G12" s="21">
        <v>642.98199999999997</v>
      </c>
      <c r="H12" s="18">
        <f t="shared" si="0"/>
        <v>69048.000000000233</v>
      </c>
      <c r="I12" s="19"/>
      <c r="J12" s="20"/>
    </row>
    <row r="13" spans="1:10" ht="15.75" x14ac:dyDescent="0.25">
      <c r="A13" s="27" t="s">
        <v>25</v>
      </c>
      <c r="B13" s="198" t="s">
        <v>14</v>
      </c>
      <c r="C13" s="198">
        <v>51217276</v>
      </c>
      <c r="D13" s="199" t="s">
        <v>22</v>
      </c>
      <c r="E13" s="198">
        <v>21000</v>
      </c>
      <c r="F13" s="28">
        <v>0.56499999999999995</v>
      </c>
      <c r="G13" s="28">
        <v>0.56499999999999995</v>
      </c>
      <c r="H13" s="18">
        <f>(G13-F13)*E13</f>
        <v>0</v>
      </c>
      <c r="I13" s="19"/>
      <c r="J13" s="20"/>
    </row>
    <row r="14" spans="1:10" ht="15.75" x14ac:dyDescent="0.25">
      <c r="A14" s="27" t="s">
        <v>26</v>
      </c>
      <c r="B14" s="198" t="s">
        <v>14</v>
      </c>
      <c r="C14" s="198">
        <v>51100990</v>
      </c>
      <c r="D14" s="199" t="s">
        <v>22</v>
      </c>
      <c r="E14" s="198">
        <v>21000</v>
      </c>
      <c r="F14" s="29">
        <v>695.649</v>
      </c>
      <c r="G14" s="29">
        <v>698.62900000000002</v>
      </c>
      <c r="H14" s="18">
        <f t="shared" si="0"/>
        <v>62580.000000000378</v>
      </c>
      <c r="I14" s="19"/>
      <c r="J14" s="20"/>
    </row>
    <row r="15" spans="1:10" ht="15.75" x14ac:dyDescent="0.25">
      <c r="A15" s="27" t="s">
        <v>27</v>
      </c>
      <c r="B15" s="198" t="s">
        <v>14</v>
      </c>
      <c r="C15" s="198">
        <v>51097622</v>
      </c>
      <c r="D15" s="199" t="s">
        <v>22</v>
      </c>
      <c r="E15" s="198">
        <v>21000</v>
      </c>
      <c r="F15" s="21">
        <v>3.6629999999999998</v>
      </c>
      <c r="G15" s="21">
        <v>3.6749999999999998</v>
      </c>
      <c r="H15" s="18">
        <f t="shared" si="0"/>
        <v>252.00000000000023</v>
      </c>
      <c r="I15" s="19" t="s">
        <v>28</v>
      </c>
      <c r="J15" s="20"/>
    </row>
    <row r="16" spans="1:10" ht="15.75" x14ac:dyDescent="0.25">
      <c r="A16" s="207" t="s">
        <v>29</v>
      </c>
      <c r="B16" s="208"/>
      <c r="C16" s="198"/>
      <c r="D16" s="199"/>
      <c r="E16" s="198"/>
      <c r="F16" s="21"/>
      <c r="G16" s="21"/>
      <c r="H16" s="23">
        <f>H10+H11+H12+H13+H14+H15</f>
        <v>198954.00000000096</v>
      </c>
      <c r="I16" s="19"/>
      <c r="J16" s="20"/>
    </row>
    <row r="17" spans="1:10" ht="15.75" x14ac:dyDescent="0.25">
      <c r="A17" s="26" t="s">
        <v>30</v>
      </c>
      <c r="B17" s="198" t="s">
        <v>14</v>
      </c>
      <c r="C17" s="198">
        <v>51097617</v>
      </c>
      <c r="D17" s="199" t="s">
        <v>31</v>
      </c>
      <c r="E17" s="198">
        <v>18000</v>
      </c>
      <c r="F17" s="30">
        <v>844.71400000000006</v>
      </c>
      <c r="G17" s="30">
        <v>848.90599999999995</v>
      </c>
      <c r="H17" s="18">
        <f>(G17-F17)*E17</f>
        <v>75455.999999998079</v>
      </c>
      <c r="I17" s="19"/>
      <c r="J17" s="20"/>
    </row>
    <row r="18" spans="1:10" ht="15.75" x14ac:dyDescent="0.25">
      <c r="A18" s="26" t="s">
        <v>32</v>
      </c>
      <c r="B18" s="198" t="s">
        <v>14</v>
      </c>
      <c r="C18" s="198">
        <v>51097655</v>
      </c>
      <c r="D18" s="199" t="s">
        <v>31</v>
      </c>
      <c r="E18" s="198">
        <v>18000</v>
      </c>
      <c r="F18" s="30">
        <v>8.2070000000000007</v>
      </c>
      <c r="G18" s="30">
        <v>8.2070000000000007</v>
      </c>
      <c r="H18" s="18">
        <f>(G18-F18)*E18</f>
        <v>0</v>
      </c>
      <c r="I18" s="19"/>
      <c r="J18" s="20"/>
    </row>
    <row r="19" spans="1:10" ht="15.75" x14ac:dyDescent="0.25">
      <c r="A19" s="207" t="s">
        <v>33</v>
      </c>
      <c r="B19" s="208"/>
      <c r="C19" s="198"/>
      <c r="D19" s="199"/>
      <c r="E19" s="198"/>
      <c r="F19" s="30"/>
      <c r="G19" s="30"/>
      <c r="H19" s="23">
        <f>H17+H18</f>
        <v>75455.999999998079</v>
      </c>
      <c r="I19" s="24">
        <f>H19-H34</f>
        <v>1741.1999999990658</v>
      </c>
      <c r="J19" s="25">
        <f>I19/H19</f>
        <v>2.3075699745535281E-2</v>
      </c>
    </row>
    <row r="20" spans="1:10" ht="15.75" x14ac:dyDescent="0.25">
      <c r="A20" s="15" t="s">
        <v>34</v>
      </c>
      <c r="B20" s="198" t="s">
        <v>14</v>
      </c>
      <c r="C20" s="198">
        <v>51217282</v>
      </c>
      <c r="D20" s="199" t="s">
        <v>35</v>
      </c>
      <c r="E20" s="198">
        <v>4800</v>
      </c>
      <c r="F20" s="21">
        <v>381.94400000000002</v>
      </c>
      <c r="G20" s="21">
        <v>382.24200000000002</v>
      </c>
      <c r="H20" s="18">
        <f t="shared" ref="H20:H33" si="1">(G20-F20)*E20</f>
        <v>1430.4000000000087</v>
      </c>
      <c r="I20" s="19" t="s">
        <v>28</v>
      </c>
      <c r="J20" s="20"/>
    </row>
    <row r="21" spans="1:10" ht="15.75" x14ac:dyDescent="0.25">
      <c r="A21" s="15" t="s">
        <v>36</v>
      </c>
      <c r="B21" s="198" t="s">
        <v>14</v>
      </c>
      <c r="C21" s="198">
        <v>51217274</v>
      </c>
      <c r="D21" s="199" t="s">
        <v>35</v>
      </c>
      <c r="E21" s="198">
        <v>4800</v>
      </c>
      <c r="F21" s="21">
        <v>1321.4780000000001</v>
      </c>
      <c r="G21" s="21">
        <v>1327.1369999999999</v>
      </c>
      <c r="H21" s="18">
        <f t="shared" si="1"/>
        <v>27163.199999999415</v>
      </c>
      <c r="I21" s="19"/>
      <c r="J21" s="20"/>
    </row>
    <row r="22" spans="1:10" ht="15.75" x14ac:dyDescent="0.25">
      <c r="A22" s="15" t="s">
        <v>37</v>
      </c>
      <c r="B22" s="198" t="s">
        <v>14</v>
      </c>
      <c r="C22" s="198">
        <v>51097664</v>
      </c>
      <c r="D22" s="199" t="s">
        <v>38</v>
      </c>
      <c r="E22" s="198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39</v>
      </c>
      <c r="B23" s="198" t="s">
        <v>14</v>
      </c>
      <c r="C23" s="198">
        <v>51097615</v>
      </c>
      <c r="D23" s="199" t="s">
        <v>38</v>
      </c>
      <c r="E23" s="198">
        <v>600</v>
      </c>
      <c r="F23" s="21">
        <v>42.9</v>
      </c>
      <c r="G23" s="21">
        <v>43.192</v>
      </c>
      <c r="H23" s="18">
        <f t="shared" si="1"/>
        <v>175.20000000000095</v>
      </c>
      <c r="I23" s="19"/>
      <c r="J23" s="20"/>
    </row>
    <row r="24" spans="1:10" ht="15.75" x14ac:dyDescent="0.25">
      <c r="A24" s="15" t="s">
        <v>40</v>
      </c>
      <c r="B24" s="198" t="s">
        <v>14</v>
      </c>
      <c r="C24" s="198">
        <v>51217264</v>
      </c>
      <c r="D24" s="199" t="s">
        <v>38</v>
      </c>
      <c r="E24" s="198">
        <v>600</v>
      </c>
      <c r="F24" s="21">
        <v>100.938</v>
      </c>
      <c r="G24" s="21">
        <v>101.654</v>
      </c>
      <c r="H24" s="18">
        <f t="shared" si="1"/>
        <v>429.59999999999638</v>
      </c>
      <c r="I24" s="19"/>
      <c r="J24" s="20"/>
    </row>
    <row r="25" spans="1:10" ht="15.75" x14ac:dyDescent="0.25">
      <c r="A25" s="15" t="s">
        <v>41</v>
      </c>
      <c r="B25" s="198" t="s">
        <v>14</v>
      </c>
      <c r="C25" s="198">
        <v>51217288</v>
      </c>
      <c r="D25" s="199" t="s">
        <v>38</v>
      </c>
      <c r="E25" s="198">
        <v>600</v>
      </c>
      <c r="F25" s="21">
        <v>20.329999999999998</v>
      </c>
      <c r="G25" s="21">
        <v>20.36</v>
      </c>
      <c r="H25" s="18">
        <f t="shared" si="1"/>
        <v>18.000000000000682</v>
      </c>
      <c r="I25" s="19" t="s">
        <v>28</v>
      </c>
      <c r="J25" s="20"/>
    </row>
    <row r="26" spans="1:10" ht="15.75" x14ac:dyDescent="0.25">
      <c r="A26" s="15" t="s">
        <v>42</v>
      </c>
      <c r="B26" s="198" t="s">
        <v>14</v>
      </c>
      <c r="C26" s="198">
        <v>51217279</v>
      </c>
      <c r="D26" s="199" t="s">
        <v>38</v>
      </c>
      <c r="E26" s="198">
        <v>600</v>
      </c>
      <c r="F26" s="21">
        <v>15.048999999999999</v>
      </c>
      <c r="G26" s="21">
        <v>15.102</v>
      </c>
      <c r="H26" s="18">
        <f t="shared" si="1"/>
        <v>31.800000000000495</v>
      </c>
      <c r="I26" s="19" t="s">
        <v>28</v>
      </c>
      <c r="J26" s="20"/>
    </row>
    <row r="27" spans="1:10" ht="15.75" x14ac:dyDescent="0.25">
      <c r="A27" s="15" t="s">
        <v>43</v>
      </c>
      <c r="B27" s="198" t="s">
        <v>14</v>
      </c>
      <c r="C27" s="198">
        <v>51217272</v>
      </c>
      <c r="D27" s="199" t="s">
        <v>38</v>
      </c>
      <c r="E27" s="198">
        <v>600</v>
      </c>
      <c r="F27" s="31">
        <v>14.76</v>
      </c>
      <c r="G27" s="31">
        <v>14.813000000000001</v>
      </c>
      <c r="H27" s="18">
        <f t="shared" si="1"/>
        <v>31.800000000000495</v>
      </c>
      <c r="I27" s="19"/>
      <c r="J27" s="20"/>
    </row>
    <row r="28" spans="1:10" ht="15.75" x14ac:dyDescent="0.25">
      <c r="A28" s="15" t="s">
        <v>44</v>
      </c>
      <c r="B28" s="198" t="s">
        <v>14</v>
      </c>
      <c r="C28" s="198">
        <v>51616744</v>
      </c>
      <c r="D28" s="199">
        <f>300/5</f>
        <v>60</v>
      </c>
      <c r="E28" s="198">
        <v>3600</v>
      </c>
      <c r="F28" s="31">
        <v>109.78400000000001</v>
      </c>
      <c r="G28" s="31">
        <v>109.78400000000001</v>
      </c>
      <c r="H28" s="18">
        <f t="shared" si="1"/>
        <v>0</v>
      </c>
      <c r="I28" s="19"/>
      <c r="J28" s="20"/>
    </row>
    <row r="29" spans="1:10" ht="15.75" x14ac:dyDescent="0.25">
      <c r="A29" s="15" t="s">
        <v>45</v>
      </c>
      <c r="B29" s="198" t="s">
        <v>14</v>
      </c>
      <c r="C29" s="198">
        <v>51555226</v>
      </c>
      <c r="D29" s="199">
        <f>300/5</f>
        <v>60</v>
      </c>
      <c r="E29" s="198">
        <v>3600</v>
      </c>
      <c r="F29" s="31">
        <v>500.90699999999998</v>
      </c>
      <c r="G29" s="31">
        <v>505.12599999999998</v>
      </c>
      <c r="H29" s="18">
        <f>(G29-F29)*E29</f>
        <v>15188.39999999998</v>
      </c>
      <c r="I29" s="19"/>
      <c r="J29" s="20"/>
    </row>
    <row r="30" spans="1:10" ht="15.75" x14ac:dyDescent="0.25">
      <c r="A30" s="15" t="s">
        <v>46</v>
      </c>
      <c r="B30" s="198" t="s">
        <v>14</v>
      </c>
      <c r="C30" s="198">
        <v>51097658</v>
      </c>
      <c r="D30" s="199" t="s">
        <v>35</v>
      </c>
      <c r="E30" s="198">
        <v>4800</v>
      </c>
      <c r="F30" s="31">
        <v>654.11800000000005</v>
      </c>
      <c r="G30" s="31">
        <v>657.82399999999996</v>
      </c>
      <c r="H30" s="18">
        <f t="shared" si="1"/>
        <v>17788.799999999537</v>
      </c>
      <c r="I30" s="19"/>
      <c r="J30" s="20"/>
    </row>
    <row r="31" spans="1:10" ht="15.75" x14ac:dyDescent="0.25">
      <c r="A31" s="15" t="s">
        <v>47</v>
      </c>
      <c r="B31" s="198" t="s">
        <v>14</v>
      </c>
      <c r="C31" s="198">
        <v>51097635</v>
      </c>
      <c r="D31" s="199" t="s">
        <v>35</v>
      </c>
      <c r="E31" s="198">
        <v>4800</v>
      </c>
      <c r="F31" s="31">
        <v>48.463000000000001</v>
      </c>
      <c r="G31" s="31">
        <v>48.463000000000001</v>
      </c>
      <c r="H31" s="18">
        <f t="shared" si="1"/>
        <v>0</v>
      </c>
      <c r="I31" s="19"/>
      <c r="J31" s="20"/>
    </row>
    <row r="32" spans="1:10" ht="15.75" x14ac:dyDescent="0.25">
      <c r="A32" s="15" t="s">
        <v>48</v>
      </c>
      <c r="B32" s="198" t="s">
        <v>14</v>
      </c>
      <c r="C32" s="32">
        <v>51097633</v>
      </c>
      <c r="D32" s="199" t="s">
        <v>35</v>
      </c>
      <c r="E32" s="198">
        <v>4800</v>
      </c>
      <c r="F32" s="31">
        <v>172.26499999999999</v>
      </c>
      <c r="G32" s="31">
        <v>174.608</v>
      </c>
      <c r="H32" s="33">
        <f t="shared" si="1"/>
        <v>11246.400000000085</v>
      </c>
      <c r="I32" s="34"/>
      <c r="J32" s="35"/>
    </row>
    <row r="33" spans="1:10" ht="15.75" x14ac:dyDescent="0.25">
      <c r="A33" s="15" t="s">
        <v>49</v>
      </c>
      <c r="B33" s="198" t="s">
        <v>14</v>
      </c>
      <c r="C33" s="32">
        <v>51097662</v>
      </c>
      <c r="D33" s="199" t="s">
        <v>35</v>
      </c>
      <c r="E33" s="198">
        <v>4800</v>
      </c>
      <c r="F33" s="31">
        <v>3.5640000000000001</v>
      </c>
      <c r="G33" s="31">
        <v>3.6080000000000001</v>
      </c>
      <c r="H33" s="33">
        <f t="shared" si="1"/>
        <v>211.20000000000019</v>
      </c>
      <c r="I33" s="34"/>
      <c r="J33" s="35"/>
    </row>
    <row r="34" spans="1:10" ht="15.75" x14ac:dyDescent="0.25">
      <c r="A34" s="207" t="s">
        <v>50</v>
      </c>
      <c r="B34" s="208"/>
      <c r="C34" s="198"/>
      <c r="D34" s="199"/>
      <c r="E34" s="198"/>
      <c r="F34" s="36"/>
      <c r="G34" s="36"/>
      <c r="H34" s="23">
        <f>H20+H21+H22+H23+H24+H25+H26+H27+H28+H29+H30+H31+H32+H33</f>
        <v>73714.799999999013</v>
      </c>
      <c r="I34" s="19"/>
      <c r="J34" s="20"/>
    </row>
    <row r="35" spans="1:10" ht="15.75" x14ac:dyDescent="0.25">
      <c r="A35" s="37"/>
      <c r="B35" s="37"/>
      <c r="C35" s="37"/>
      <c r="D35" s="38" t="s">
        <v>51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52</v>
      </c>
      <c r="B36" s="198" t="s">
        <v>53</v>
      </c>
      <c r="C36" s="198">
        <v>51555209</v>
      </c>
      <c r="D36" s="199" t="s">
        <v>54</v>
      </c>
      <c r="E36" s="198">
        <v>7000</v>
      </c>
      <c r="F36" s="17">
        <v>5.7880000000000003</v>
      </c>
      <c r="G36" s="17">
        <v>5.8330000000000002</v>
      </c>
      <c r="H36" s="41">
        <f>(G36-F36)*E36</f>
        <v>314.99999999999949</v>
      </c>
      <c r="I36" s="42"/>
      <c r="J36" s="14"/>
    </row>
    <row r="37" spans="1:10" ht="15.75" x14ac:dyDescent="0.25">
      <c r="A37" s="15" t="s">
        <v>55</v>
      </c>
      <c r="B37" s="198" t="s">
        <v>53</v>
      </c>
      <c r="C37" s="198">
        <v>51555209</v>
      </c>
      <c r="D37" s="199" t="s">
        <v>54</v>
      </c>
      <c r="E37" s="198">
        <v>7000</v>
      </c>
      <c r="F37" s="21">
        <v>10.210000000000001</v>
      </c>
      <c r="G37" s="21">
        <v>10.247999999999999</v>
      </c>
      <c r="H37" s="18">
        <f>(G37-F37)*E37</f>
        <v>265.99999999998937</v>
      </c>
      <c r="I37" s="43"/>
      <c r="J37" s="20"/>
    </row>
    <row r="38" spans="1:10" ht="15.75" x14ac:dyDescent="0.25">
      <c r="A38" s="44" t="s">
        <v>56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57</v>
      </c>
      <c r="B39" s="198" t="s">
        <v>53</v>
      </c>
      <c r="C39" s="198">
        <v>51097674</v>
      </c>
      <c r="D39" s="198" t="s">
        <v>15</v>
      </c>
      <c r="E39" s="198">
        <v>7200</v>
      </c>
      <c r="F39" s="21">
        <v>589.99099999999999</v>
      </c>
      <c r="G39" s="21">
        <v>592.38599999999997</v>
      </c>
      <c r="H39" s="18">
        <f>(G39-F39)*E39</f>
        <v>17243.999999999869</v>
      </c>
      <c r="I39" s="47"/>
      <c r="J39" s="20"/>
    </row>
    <row r="40" spans="1:10" ht="15.75" x14ac:dyDescent="0.25">
      <c r="A40" s="27" t="s">
        <v>58</v>
      </c>
      <c r="B40" s="198" t="s">
        <v>53</v>
      </c>
      <c r="C40" s="198">
        <v>51259257</v>
      </c>
      <c r="D40" s="198" t="s">
        <v>15</v>
      </c>
      <c r="E40" s="198">
        <v>7200</v>
      </c>
      <c r="F40" s="21">
        <v>1.0549999999999999</v>
      </c>
      <c r="G40" s="21">
        <v>1.0549999999999999</v>
      </c>
      <c r="H40" s="18">
        <f>(G40-F40)*E40</f>
        <v>0</v>
      </c>
      <c r="I40" s="43"/>
      <c r="J40" s="20"/>
    </row>
    <row r="41" spans="1:10" ht="15.75" x14ac:dyDescent="0.25">
      <c r="A41" s="44" t="s">
        <v>59</v>
      </c>
      <c r="B41" s="198"/>
      <c r="C41" s="198"/>
      <c r="D41" s="198"/>
      <c r="E41" s="198"/>
      <c r="F41" s="21"/>
      <c r="G41" s="21"/>
      <c r="H41" s="48">
        <f>H39+H40</f>
        <v>17243.999999999869</v>
      </c>
      <c r="I41" s="24">
        <f>H41-H49</f>
        <v>-118.39999999982319</v>
      </c>
      <c r="J41" s="25">
        <f>I41/H41</f>
        <v>-6.8661563442254754E-3</v>
      </c>
    </row>
    <row r="42" spans="1:10" ht="15.75" x14ac:dyDescent="0.25">
      <c r="A42" s="15" t="s">
        <v>60</v>
      </c>
      <c r="B42" s="198"/>
      <c r="C42" s="198"/>
      <c r="D42" s="199"/>
      <c r="E42" s="198"/>
      <c r="H42" s="18"/>
      <c r="I42" s="43"/>
      <c r="J42" s="20"/>
    </row>
    <row r="43" spans="1:10" ht="15.75" x14ac:dyDescent="0.25">
      <c r="A43" s="27" t="s">
        <v>61</v>
      </c>
      <c r="B43" s="198" t="s">
        <v>53</v>
      </c>
      <c r="C43" s="32">
        <v>51097648</v>
      </c>
      <c r="D43" s="198" t="s">
        <v>54</v>
      </c>
      <c r="E43" s="198">
        <v>1200</v>
      </c>
      <c r="F43" s="21">
        <v>482.91300000000001</v>
      </c>
      <c r="G43" s="21">
        <v>484.93900000000002</v>
      </c>
      <c r="H43" s="33">
        <f>(G43-F43)*E43</f>
        <v>2431.2000000000126</v>
      </c>
      <c r="I43" s="43"/>
      <c r="J43" s="20"/>
    </row>
    <row r="44" spans="1:10" ht="15.75" x14ac:dyDescent="0.25">
      <c r="A44" s="27" t="s">
        <v>62</v>
      </c>
      <c r="B44" s="198" t="s">
        <v>53</v>
      </c>
      <c r="C44" s="32">
        <v>50555043</v>
      </c>
      <c r="D44" s="198" t="s">
        <v>54</v>
      </c>
      <c r="E44" s="198">
        <v>1200</v>
      </c>
      <c r="F44" s="21">
        <v>2021.1010000000001</v>
      </c>
      <c r="G44" s="21">
        <v>2029.1579999999999</v>
      </c>
      <c r="H44" s="33">
        <f>(G44-F44)*E44</f>
        <v>9668.3999999997468</v>
      </c>
      <c r="I44" s="43"/>
      <c r="J44" s="20"/>
    </row>
    <row r="45" spans="1:10" ht="15.75" x14ac:dyDescent="0.25">
      <c r="A45" s="27" t="s">
        <v>63</v>
      </c>
      <c r="B45" s="198" t="s">
        <v>53</v>
      </c>
      <c r="C45" s="32">
        <v>51259336</v>
      </c>
      <c r="D45" s="198" t="s">
        <v>64</v>
      </c>
      <c r="E45" s="198">
        <v>2400</v>
      </c>
      <c r="F45" s="21">
        <v>4.1059999999999999</v>
      </c>
      <c r="G45" s="21">
        <v>4.12</v>
      </c>
      <c r="H45" s="33">
        <f>(G45-F45)*E45</f>
        <v>33.600000000000563</v>
      </c>
      <c r="I45" s="43"/>
      <c r="J45" s="20"/>
    </row>
    <row r="46" spans="1:10" ht="15.75" x14ac:dyDescent="0.25">
      <c r="A46" s="27" t="s">
        <v>65</v>
      </c>
      <c r="B46" s="198" t="s">
        <v>53</v>
      </c>
      <c r="C46" s="32">
        <v>51259266</v>
      </c>
      <c r="D46" s="198" t="s">
        <v>54</v>
      </c>
      <c r="E46" s="198">
        <v>1200</v>
      </c>
      <c r="F46" s="21">
        <v>980.72400000000005</v>
      </c>
      <c r="G46" s="21">
        <v>984.73099999999999</v>
      </c>
      <c r="H46" s="33">
        <f>(G46-F46)*E46</f>
        <v>4808.3999999999378</v>
      </c>
      <c r="I46" s="43"/>
      <c r="J46" s="20"/>
    </row>
    <row r="47" spans="1:10" ht="15.75" x14ac:dyDescent="0.25">
      <c r="A47" s="27" t="s">
        <v>66</v>
      </c>
      <c r="B47" s="198" t="s">
        <v>53</v>
      </c>
      <c r="C47" s="32">
        <v>51431336</v>
      </c>
      <c r="D47" s="198" t="s">
        <v>54</v>
      </c>
      <c r="E47" s="198">
        <v>1200</v>
      </c>
      <c r="F47" s="21">
        <v>57.234000000000002</v>
      </c>
      <c r="G47" s="21">
        <v>57.542999999999999</v>
      </c>
      <c r="H47" s="33">
        <f>(G47-F47)*E47</f>
        <v>370.799999999997</v>
      </c>
      <c r="I47" s="43"/>
      <c r="J47" s="20"/>
    </row>
    <row r="48" spans="1:10" ht="15.75" x14ac:dyDescent="0.25">
      <c r="A48" s="15" t="s">
        <v>67</v>
      </c>
      <c r="B48" s="198" t="s">
        <v>68</v>
      </c>
      <c r="C48" s="198">
        <v>49174</v>
      </c>
      <c r="D48" s="199" t="s">
        <v>54</v>
      </c>
      <c r="E48" s="198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69</v>
      </c>
      <c r="B49" s="45"/>
      <c r="C49" s="45"/>
      <c r="D49" s="45"/>
      <c r="E49" s="45"/>
      <c r="F49" s="49"/>
      <c r="G49" s="49"/>
      <c r="H49" s="50">
        <f>H43+H44+H45+H46+H47+H48</f>
        <v>17362.399999999692</v>
      </c>
      <c r="I49" s="51"/>
      <c r="J49" s="52"/>
    </row>
    <row r="50" spans="1:10" ht="15.75" x14ac:dyDescent="0.25">
      <c r="A50" s="53" t="s">
        <v>70</v>
      </c>
      <c r="B50" s="201" t="s">
        <v>71</v>
      </c>
      <c r="C50" s="201"/>
      <c r="D50" s="201"/>
      <c r="E50" s="201"/>
      <c r="F50" s="54"/>
      <c r="G50" s="54"/>
      <c r="H50" s="55"/>
      <c r="I50" s="56"/>
      <c r="J50" s="57"/>
    </row>
    <row r="51" spans="1:10" ht="15.75" x14ac:dyDescent="0.25">
      <c r="A51" s="27" t="s">
        <v>72</v>
      </c>
      <c r="B51" s="198" t="s">
        <v>53</v>
      </c>
      <c r="C51" s="198">
        <v>51097603</v>
      </c>
      <c r="D51" s="199" t="s">
        <v>54</v>
      </c>
      <c r="E51" s="198">
        <v>7000</v>
      </c>
      <c r="F51" s="17">
        <v>1933.5</v>
      </c>
      <c r="G51" s="17">
        <v>1940.383</v>
      </c>
      <c r="H51" s="18">
        <f>(G51-F51)*E51</f>
        <v>48181.000000000269</v>
      </c>
      <c r="I51" s="43"/>
      <c r="J51" s="20"/>
    </row>
    <row r="52" spans="1:10" ht="15.75" x14ac:dyDescent="0.25">
      <c r="A52" s="27" t="s">
        <v>73</v>
      </c>
      <c r="B52" s="198" t="s">
        <v>53</v>
      </c>
      <c r="C52" s="198">
        <v>51097590</v>
      </c>
      <c r="D52" s="199" t="s">
        <v>54</v>
      </c>
      <c r="E52" s="198">
        <v>7000</v>
      </c>
      <c r="F52" s="21">
        <v>12.599</v>
      </c>
      <c r="G52" s="21">
        <v>12.641999999999999</v>
      </c>
      <c r="H52" s="18">
        <f>(G52-F52)*E52</f>
        <v>300.99999999999483</v>
      </c>
      <c r="I52" s="43"/>
      <c r="J52" s="20"/>
    </row>
    <row r="53" spans="1:10" ht="15.75" x14ac:dyDescent="0.25">
      <c r="A53" s="15" t="s">
        <v>67</v>
      </c>
      <c r="B53" s="198" t="s">
        <v>68</v>
      </c>
      <c r="C53" s="198">
        <v>49174</v>
      </c>
      <c r="D53" s="199" t="s">
        <v>54</v>
      </c>
      <c r="E53" s="198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74</v>
      </c>
      <c r="B54" s="40"/>
      <c r="C54" s="198"/>
      <c r="D54" s="199"/>
      <c r="E54" s="198"/>
      <c r="F54" s="21"/>
      <c r="G54" s="21"/>
      <c r="H54" s="48">
        <f>H51+H52+H53</f>
        <v>48582.000000000262</v>
      </c>
      <c r="I54" s="47"/>
      <c r="J54" s="59"/>
    </row>
    <row r="55" spans="1:10" ht="15.75" x14ac:dyDescent="0.25">
      <c r="A55" s="27" t="s">
        <v>75</v>
      </c>
      <c r="B55" s="198" t="s">
        <v>53</v>
      </c>
      <c r="C55" s="198">
        <v>51100980</v>
      </c>
      <c r="D55" s="198" t="s">
        <v>76</v>
      </c>
      <c r="E55" s="198">
        <v>12000</v>
      </c>
      <c r="F55" s="21">
        <v>1137.674</v>
      </c>
      <c r="G55" s="21">
        <v>1141.7149999999999</v>
      </c>
      <c r="H55" s="18">
        <f>(G55-F55)*E55</f>
        <v>48491.99999999928</v>
      </c>
      <c r="I55" s="47"/>
      <c r="J55" s="58"/>
    </row>
    <row r="56" spans="1:10" ht="15.75" x14ac:dyDescent="0.25">
      <c r="A56" s="27" t="s">
        <v>77</v>
      </c>
      <c r="B56" s="198" t="s">
        <v>53</v>
      </c>
      <c r="C56" s="198">
        <v>51097623</v>
      </c>
      <c r="D56" s="198" t="s">
        <v>76</v>
      </c>
      <c r="E56" s="198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78</v>
      </c>
      <c r="B57" s="198"/>
      <c r="C57" s="198"/>
      <c r="D57" s="198"/>
      <c r="E57" s="198"/>
      <c r="F57" s="21"/>
      <c r="G57" s="21"/>
      <c r="H57" s="48">
        <f>H55+H56</f>
        <v>48491.99999999928</v>
      </c>
      <c r="I57" s="61">
        <f>H54-H64-H53</f>
        <v>-100.00000000023283</v>
      </c>
      <c r="J57" s="25">
        <f>I57/H57</f>
        <v>-2.0621958261204799E-3</v>
      </c>
    </row>
    <row r="58" spans="1:10" ht="15.75" x14ac:dyDescent="0.25">
      <c r="A58" s="27" t="s">
        <v>79</v>
      </c>
      <c r="B58" s="198" t="s">
        <v>53</v>
      </c>
      <c r="C58" s="198">
        <v>51097675</v>
      </c>
      <c r="D58" s="198" t="s">
        <v>35</v>
      </c>
      <c r="E58" s="198">
        <v>4800</v>
      </c>
      <c r="F58" s="21">
        <v>507.10500000000002</v>
      </c>
      <c r="G58" s="21">
        <v>510.33699999999999</v>
      </c>
      <c r="H58" s="18">
        <f t="shared" ref="H58:H63" si="2">(G58-F58)*E58</f>
        <v>15513.59999999986</v>
      </c>
      <c r="I58" s="62"/>
      <c r="J58" s="59"/>
    </row>
    <row r="59" spans="1:10" ht="15.75" x14ac:dyDescent="0.25">
      <c r="A59" s="27" t="s">
        <v>80</v>
      </c>
      <c r="B59" s="198" t="s">
        <v>53</v>
      </c>
      <c r="C59" s="198">
        <v>51100997</v>
      </c>
      <c r="D59" s="198" t="s">
        <v>22</v>
      </c>
      <c r="E59" s="198">
        <v>3600</v>
      </c>
      <c r="F59" s="21">
        <v>1375.6759999999999</v>
      </c>
      <c r="G59" s="21">
        <v>1378.509</v>
      </c>
      <c r="H59" s="18">
        <f t="shared" si="2"/>
        <v>10198.800000000301</v>
      </c>
      <c r="I59" s="62"/>
      <c r="J59" s="59"/>
    </row>
    <row r="60" spans="1:10" ht="15.75" x14ac:dyDescent="0.25">
      <c r="A60" s="27" t="s">
        <v>81</v>
      </c>
      <c r="B60" s="198" t="s">
        <v>53</v>
      </c>
      <c r="C60" s="198">
        <v>51555218</v>
      </c>
      <c r="D60" s="198">
        <f>400/5</f>
        <v>80</v>
      </c>
      <c r="E60" s="198">
        <v>4800</v>
      </c>
      <c r="F60" s="21">
        <v>63.932000000000002</v>
      </c>
      <c r="G60" s="21">
        <v>64.47</v>
      </c>
      <c r="H60" s="18">
        <f t="shared" si="2"/>
        <v>2582.3999999999842</v>
      </c>
      <c r="I60" s="62"/>
      <c r="J60" s="59"/>
    </row>
    <row r="61" spans="1:10" ht="15.75" x14ac:dyDescent="0.25">
      <c r="A61" s="27" t="s">
        <v>82</v>
      </c>
      <c r="B61" s="198" t="s">
        <v>53</v>
      </c>
      <c r="C61" s="198">
        <v>51555151</v>
      </c>
      <c r="D61" s="198">
        <f>400/5</f>
        <v>80</v>
      </c>
      <c r="E61" s="198">
        <v>4800</v>
      </c>
      <c r="F61" s="63">
        <v>0.30599999999999999</v>
      </c>
      <c r="G61" s="63">
        <v>0.30599999999999999</v>
      </c>
      <c r="H61" s="18">
        <f t="shared" si="2"/>
        <v>0</v>
      </c>
      <c r="I61" s="62"/>
      <c r="J61" s="59"/>
    </row>
    <row r="62" spans="1:10" ht="15.75" x14ac:dyDescent="0.25">
      <c r="A62" s="27" t="s">
        <v>83</v>
      </c>
      <c r="B62" s="198" t="s">
        <v>53</v>
      </c>
      <c r="C62" s="198">
        <v>51097599</v>
      </c>
      <c r="D62" s="198" t="s">
        <v>22</v>
      </c>
      <c r="E62" s="198">
        <v>3600</v>
      </c>
      <c r="F62" s="21">
        <v>961.19399999999996</v>
      </c>
      <c r="G62" s="21">
        <v>963.58</v>
      </c>
      <c r="H62" s="18">
        <f t="shared" si="2"/>
        <v>8589.6000000002914</v>
      </c>
      <c r="I62" s="62"/>
      <c r="J62" s="59"/>
    </row>
    <row r="63" spans="1:10" ht="15.75" x14ac:dyDescent="0.25">
      <c r="A63" s="27" t="s">
        <v>84</v>
      </c>
      <c r="B63" s="198" t="s">
        <v>53</v>
      </c>
      <c r="C63" s="198">
        <v>51097620</v>
      </c>
      <c r="D63" s="198" t="s">
        <v>35</v>
      </c>
      <c r="E63" s="198">
        <v>4800</v>
      </c>
      <c r="F63" s="21">
        <v>510.00900000000001</v>
      </c>
      <c r="G63" s="21">
        <v>512.44600000000003</v>
      </c>
      <c r="H63" s="18">
        <f t="shared" si="2"/>
        <v>11697.600000000057</v>
      </c>
      <c r="I63" s="62"/>
      <c r="J63" s="64"/>
    </row>
    <row r="64" spans="1:10" ht="16.5" thickBot="1" x14ac:dyDescent="0.3">
      <c r="A64" s="44" t="s">
        <v>50</v>
      </c>
      <c r="B64" s="45"/>
      <c r="C64" s="45"/>
      <c r="D64" s="45"/>
      <c r="E64" s="45"/>
      <c r="F64" s="21"/>
      <c r="G64" s="21"/>
      <c r="H64" s="50">
        <f>+H59+H60+H61+H62+ H63+H58</f>
        <v>48582.000000000495</v>
      </c>
      <c r="I64" s="65"/>
      <c r="J64" s="59"/>
    </row>
    <row r="65" spans="1:10" ht="16.5" thickBot="1" x14ac:dyDescent="0.3">
      <c r="A65" s="66"/>
      <c r="B65" s="67" t="s">
        <v>85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86</v>
      </c>
      <c r="B66" s="198" t="s">
        <v>53</v>
      </c>
      <c r="C66" s="9">
        <v>51259238</v>
      </c>
      <c r="D66" s="74" t="s">
        <v>54</v>
      </c>
      <c r="E66" s="74">
        <v>7000</v>
      </c>
      <c r="F66" s="75">
        <v>553.37300000000005</v>
      </c>
      <c r="G66" s="75">
        <v>556.14599999999996</v>
      </c>
      <c r="H66" s="76">
        <f>(G66-F66)*E66</f>
        <v>19410.999999999374</v>
      </c>
      <c r="I66" s="77"/>
      <c r="J66" s="78"/>
    </row>
    <row r="67" spans="1:10" ht="15.75" x14ac:dyDescent="0.25">
      <c r="A67" s="27" t="s">
        <v>87</v>
      </c>
      <c r="B67" s="198" t="s">
        <v>53</v>
      </c>
      <c r="C67" s="198">
        <v>51259324</v>
      </c>
      <c r="D67" s="199" t="s">
        <v>54</v>
      </c>
      <c r="E67" s="199">
        <v>7000</v>
      </c>
      <c r="F67" s="21">
        <v>431.04199999999997</v>
      </c>
      <c r="G67" s="21">
        <v>433.21100000000001</v>
      </c>
      <c r="H67" s="18">
        <f>(G67-F67)*E67</f>
        <v>15183.000000000276</v>
      </c>
      <c r="I67" s="51"/>
      <c r="J67" s="58"/>
    </row>
    <row r="68" spans="1:10" ht="15.75" x14ac:dyDescent="0.25">
      <c r="A68" s="27" t="s">
        <v>88</v>
      </c>
      <c r="B68" s="79" t="s">
        <v>89</v>
      </c>
      <c r="C68" s="198">
        <v>51491618</v>
      </c>
      <c r="D68" s="199" t="s">
        <v>64</v>
      </c>
      <c r="E68" s="198">
        <v>40</v>
      </c>
      <c r="F68" s="28">
        <v>1239.173</v>
      </c>
      <c r="G68" s="28">
        <v>1249.769</v>
      </c>
      <c r="H68" s="18">
        <f>(G68-F68)*E68</f>
        <v>423.84000000000015</v>
      </c>
      <c r="I68" s="51"/>
      <c r="J68" s="58"/>
    </row>
    <row r="69" spans="1:10" ht="15.75" x14ac:dyDescent="0.25">
      <c r="A69" s="27" t="s">
        <v>90</v>
      </c>
      <c r="B69" s="79" t="s">
        <v>89</v>
      </c>
      <c r="C69" s="198">
        <v>51491624</v>
      </c>
      <c r="D69" s="199" t="s">
        <v>64</v>
      </c>
      <c r="E69" s="198">
        <v>40</v>
      </c>
      <c r="F69" s="28">
        <v>171.52099999999999</v>
      </c>
      <c r="G69" s="28">
        <v>172.30600000000001</v>
      </c>
      <c r="H69" s="18">
        <f>(G69-F69)*E69</f>
        <v>31.400000000001</v>
      </c>
      <c r="I69" s="51"/>
      <c r="J69" s="58"/>
    </row>
    <row r="70" spans="1:10" ht="15.75" x14ac:dyDescent="0.25">
      <c r="A70" s="80" t="s">
        <v>91</v>
      </c>
      <c r="B70" s="81"/>
      <c r="C70" s="32" t="s">
        <v>28</v>
      </c>
      <c r="D70" s="82"/>
      <c r="E70" s="82"/>
      <c r="F70" s="83"/>
      <c r="G70" s="83"/>
      <c r="H70" s="84">
        <f>H66+H67</f>
        <v>34593.999999999651</v>
      </c>
      <c r="I70" s="85">
        <f>H70-H73-H68-H69</f>
        <v>-133.24000000028491</v>
      </c>
      <c r="J70" s="25">
        <f>I70/H70</f>
        <v>-3.8515349482651979E-3</v>
      </c>
    </row>
    <row r="71" spans="1:10" ht="15.75" x14ac:dyDescent="0.25">
      <c r="A71" s="27" t="s">
        <v>92</v>
      </c>
      <c r="B71" s="198" t="s">
        <v>53</v>
      </c>
      <c r="C71" s="86">
        <v>51097588</v>
      </c>
      <c r="D71" s="199" t="s">
        <v>76</v>
      </c>
      <c r="E71" s="198">
        <v>12000</v>
      </c>
      <c r="F71" s="21">
        <v>331.82799999999997</v>
      </c>
      <c r="G71" s="21">
        <v>333.43099999999998</v>
      </c>
      <c r="H71" s="18">
        <f>(G71-F71)*E71</f>
        <v>19236.000000000102</v>
      </c>
      <c r="I71" s="51"/>
      <c r="J71" s="58"/>
    </row>
    <row r="72" spans="1:10" ht="15.75" x14ac:dyDescent="0.25">
      <c r="A72" s="27" t="s">
        <v>93</v>
      </c>
      <c r="B72" s="198" t="s">
        <v>53</v>
      </c>
      <c r="C72" s="86">
        <v>51431335</v>
      </c>
      <c r="D72" s="199" t="s">
        <v>76</v>
      </c>
      <c r="E72" s="198">
        <v>12000</v>
      </c>
      <c r="F72" s="21">
        <v>263.39699999999999</v>
      </c>
      <c r="G72" s="21">
        <v>264.64999999999998</v>
      </c>
      <c r="H72" s="18">
        <f>(G72-F72)*E72</f>
        <v>15035.999999999831</v>
      </c>
      <c r="I72" s="51"/>
      <c r="J72" s="58"/>
    </row>
    <row r="73" spans="1:10" ht="15.75" x14ac:dyDescent="0.25">
      <c r="A73" s="87" t="s">
        <v>94</v>
      </c>
      <c r="B73" s="198" t="s">
        <v>28</v>
      </c>
      <c r="C73" s="198"/>
      <c r="D73" s="199"/>
      <c r="E73" s="198"/>
      <c r="F73" s="21"/>
      <c r="G73" s="21"/>
      <c r="H73" s="48">
        <f>H71+ H72</f>
        <v>34271.999999999935</v>
      </c>
      <c r="I73" s="85">
        <f>H73-H81</f>
        <v>-63.600000000442378</v>
      </c>
      <c r="J73" s="25">
        <f>I73/H73</f>
        <v>-1.855742296931679E-3</v>
      </c>
    </row>
    <row r="74" spans="1:10" ht="15.75" x14ac:dyDescent="0.25">
      <c r="A74" s="27" t="s">
        <v>95</v>
      </c>
      <c r="B74" s="198" t="s">
        <v>53</v>
      </c>
      <c r="C74" s="86">
        <v>51097676</v>
      </c>
      <c r="D74" s="88" t="s">
        <v>64</v>
      </c>
      <c r="E74" s="198">
        <v>2400</v>
      </c>
      <c r="F74" s="21">
        <v>695.66800000000001</v>
      </c>
      <c r="G74" s="21">
        <v>699.24099999999999</v>
      </c>
      <c r="H74" s="18">
        <f>(G74-F74)*E74</f>
        <v>8575.1999999999498</v>
      </c>
      <c r="I74" s="51"/>
      <c r="J74" s="58"/>
    </row>
    <row r="75" spans="1:10" ht="15.75" x14ac:dyDescent="0.25">
      <c r="A75" s="27" t="s">
        <v>96</v>
      </c>
      <c r="B75" s="198" t="s">
        <v>53</v>
      </c>
      <c r="C75" s="86">
        <v>51431355</v>
      </c>
      <c r="D75" s="199" t="s">
        <v>22</v>
      </c>
      <c r="E75" s="199">
        <v>3600</v>
      </c>
      <c r="F75" s="21">
        <v>364.23399999999998</v>
      </c>
      <c r="G75" s="21">
        <v>365.60300000000001</v>
      </c>
      <c r="H75" s="18">
        <f>(G75-F75)*E75</f>
        <v>4928.4000000001015</v>
      </c>
      <c r="I75" s="51"/>
      <c r="J75" s="52"/>
    </row>
    <row r="76" spans="1:10" ht="15.75" x14ac:dyDescent="0.25">
      <c r="A76" s="27" t="s">
        <v>97</v>
      </c>
      <c r="B76" s="198" t="s">
        <v>53</v>
      </c>
      <c r="C76" s="86">
        <v>51259331</v>
      </c>
      <c r="D76" s="88" t="s">
        <v>38</v>
      </c>
      <c r="E76" s="198">
        <v>600</v>
      </c>
      <c r="F76" s="21">
        <v>163.98400000000001</v>
      </c>
      <c r="G76" s="21">
        <v>165.02</v>
      </c>
      <c r="H76" s="18">
        <f>(G76-F76)*E76</f>
        <v>621.60000000000082</v>
      </c>
      <c r="I76" s="51"/>
      <c r="J76" s="52"/>
    </row>
    <row r="77" spans="1:10" ht="15.75" x14ac:dyDescent="0.25">
      <c r="A77" s="27" t="s">
        <v>98</v>
      </c>
      <c r="B77" s="198" t="s">
        <v>53</v>
      </c>
      <c r="C77" s="86">
        <v>51259326</v>
      </c>
      <c r="D77" s="88" t="s">
        <v>15</v>
      </c>
      <c r="E77" s="198">
        <v>7200</v>
      </c>
      <c r="F77" s="21">
        <v>329.78</v>
      </c>
      <c r="G77" s="21">
        <v>331.27100000000002</v>
      </c>
      <c r="H77" s="18">
        <f>(G77-F77)*E77</f>
        <v>10735.200000000304</v>
      </c>
      <c r="I77" s="51"/>
      <c r="J77" s="52"/>
    </row>
    <row r="78" spans="1:10" ht="15.75" x14ac:dyDescent="0.25">
      <c r="A78" s="27" t="s">
        <v>99</v>
      </c>
      <c r="B78" s="198" t="s">
        <v>53</v>
      </c>
      <c r="C78" s="86">
        <v>51431351</v>
      </c>
      <c r="D78" s="88" t="s">
        <v>15</v>
      </c>
      <c r="E78" s="198">
        <v>7200</v>
      </c>
      <c r="F78" s="21">
        <v>236.46600000000001</v>
      </c>
      <c r="G78" s="21">
        <v>237.78200000000001</v>
      </c>
      <c r="H78" s="18">
        <f>(G78-F78)*E78</f>
        <v>9475.2000000000189</v>
      </c>
      <c r="I78" s="51"/>
      <c r="J78" s="52"/>
    </row>
    <row r="79" spans="1:10" ht="15.75" x14ac:dyDescent="0.25">
      <c r="A79" s="89" t="s">
        <v>100</v>
      </c>
      <c r="B79" s="198" t="s">
        <v>53</v>
      </c>
      <c r="C79" s="90">
        <v>51097666</v>
      </c>
      <c r="D79" s="88" t="s">
        <v>64</v>
      </c>
      <c r="E79" s="198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101</v>
      </c>
      <c r="B80" s="198" t="s">
        <v>53</v>
      </c>
      <c r="C80" s="90">
        <v>51259323</v>
      </c>
      <c r="D80" s="88" t="s">
        <v>64</v>
      </c>
      <c r="E80" s="198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102</v>
      </c>
      <c r="B81" s="32"/>
      <c r="C81" s="32"/>
      <c r="D81" s="94"/>
      <c r="E81" s="32"/>
      <c r="F81" s="95"/>
      <c r="G81" s="95"/>
      <c r="H81" s="84">
        <f>H74+H75+H76+H77+H78+H79+H80</f>
        <v>34335.600000000377</v>
      </c>
      <c r="I81" s="91"/>
      <c r="J81" s="96"/>
    </row>
    <row r="82" spans="1:10" ht="15.75" x14ac:dyDescent="0.25">
      <c r="A82" s="97"/>
      <c r="B82" s="98"/>
      <c r="C82" s="99" t="s">
        <v>103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86</v>
      </c>
      <c r="B83" s="198" t="s">
        <v>53</v>
      </c>
      <c r="C83" s="106">
        <v>51431297</v>
      </c>
      <c r="D83" s="199" t="s">
        <v>54</v>
      </c>
      <c r="E83" s="100">
        <v>7000</v>
      </c>
      <c r="F83" s="17">
        <v>275.61099999999999</v>
      </c>
      <c r="G83" s="17">
        <v>278.21300000000002</v>
      </c>
      <c r="H83" s="18">
        <f>(G83-F83)*E83</f>
        <v>18214.000000000226</v>
      </c>
      <c r="I83" s="107"/>
      <c r="J83" s="108"/>
    </row>
    <row r="84" spans="1:10" ht="15.75" x14ac:dyDescent="0.25">
      <c r="A84" s="105" t="s">
        <v>87</v>
      </c>
      <c r="B84" s="198" t="s">
        <v>53</v>
      </c>
      <c r="C84" s="106">
        <v>51431332</v>
      </c>
      <c r="D84" s="199" t="s">
        <v>54</v>
      </c>
      <c r="E84" s="100">
        <v>7000</v>
      </c>
      <c r="F84" s="21">
        <v>357.36700000000002</v>
      </c>
      <c r="G84" s="21">
        <v>357.51</v>
      </c>
      <c r="H84" s="18">
        <f>(G84-F84)*E84</f>
        <v>1000.9999999998058</v>
      </c>
      <c r="I84" s="198"/>
      <c r="J84" s="58"/>
    </row>
    <row r="85" spans="1:10" ht="15.75" x14ac:dyDescent="0.25">
      <c r="A85" s="27" t="s">
        <v>88</v>
      </c>
      <c r="B85" s="198" t="s">
        <v>104</v>
      </c>
      <c r="C85" s="109">
        <v>150773</v>
      </c>
      <c r="D85" s="199" t="s">
        <v>54</v>
      </c>
      <c r="E85" s="109">
        <v>20</v>
      </c>
      <c r="F85" s="17">
        <v>15661.8</v>
      </c>
      <c r="G85" s="17">
        <v>15669.9</v>
      </c>
      <c r="H85" s="18">
        <f>(G85-F85)*E85</f>
        <v>162.00000000000728</v>
      </c>
      <c r="I85" s="51"/>
      <c r="J85" s="58"/>
    </row>
    <row r="86" spans="1:10" ht="15.75" x14ac:dyDescent="0.25">
      <c r="A86" s="27" t="s">
        <v>90</v>
      </c>
      <c r="B86" s="198" t="s">
        <v>104</v>
      </c>
      <c r="C86" s="109">
        <v>150791</v>
      </c>
      <c r="D86" s="199" t="s">
        <v>54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91</v>
      </c>
      <c r="B87" s="200"/>
      <c r="C87" s="32"/>
      <c r="D87" s="82"/>
      <c r="E87" s="82"/>
      <c r="F87" s="21"/>
      <c r="G87" s="21"/>
      <c r="H87" s="48">
        <f>H83+H84</f>
        <v>19215.000000000033</v>
      </c>
      <c r="I87" s="85">
        <f>H87-H90-H85-H86</f>
        <v>390.59999999986394</v>
      </c>
      <c r="J87" s="25">
        <f>I87/H87</f>
        <v>2.03278688524519E-2</v>
      </c>
    </row>
    <row r="88" spans="1:10" ht="15.75" x14ac:dyDescent="0.25">
      <c r="A88" s="27" t="s">
        <v>105</v>
      </c>
      <c r="B88" s="198" t="s">
        <v>53</v>
      </c>
      <c r="C88" s="106">
        <v>51431342</v>
      </c>
      <c r="D88" s="88" t="s">
        <v>35</v>
      </c>
      <c r="E88" s="198">
        <v>4800</v>
      </c>
      <c r="F88" s="21">
        <v>391.214</v>
      </c>
      <c r="G88" s="21">
        <v>394.96800000000002</v>
      </c>
      <c r="H88" s="18">
        <f>(G88-F88)*E88</f>
        <v>18019.200000000092</v>
      </c>
      <c r="I88" s="51"/>
      <c r="J88" s="52"/>
    </row>
    <row r="89" spans="1:10" ht="15.75" x14ac:dyDescent="0.25">
      <c r="A89" s="27" t="s">
        <v>106</v>
      </c>
      <c r="B89" s="198" t="s">
        <v>53</v>
      </c>
      <c r="C89" s="106">
        <v>51431343</v>
      </c>
      <c r="D89" s="88" t="s">
        <v>35</v>
      </c>
      <c r="E89" s="198">
        <v>4800</v>
      </c>
      <c r="F89" s="21">
        <v>504.94299999999998</v>
      </c>
      <c r="G89" s="21">
        <v>505.077</v>
      </c>
      <c r="H89" s="18">
        <f>(G89-F89)*E89</f>
        <v>643.20000000006985</v>
      </c>
      <c r="I89" s="51"/>
      <c r="J89" s="52"/>
    </row>
    <row r="90" spans="1:10" ht="15.75" x14ac:dyDescent="0.25">
      <c r="A90" s="44" t="s">
        <v>107</v>
      </c>
      <c r="B90" s="79"/>
      <c r="C90" s="109"/>
      <c r="D90" s="112"/>
      <c r="E90" s="109"/>
      <c r="F90" s="21"/>
      <c r="G90" s="21"/>
      <c r="H90" s="48">
        <f>H88+H89</f>
        <v>18662.400000000162</v>
      </c>
      <c r="I90" s="85">
        <f>H90-H98</f>
        <v>-122.39999999975043</v>
      </c>
      <c r="J90" s="25">
        <f>I90/H90</f>
        <v>-6.5586419752952122E-3</v>
      </c>
    </row>
    <row r="91" spans="1:10" ht="15.75" x14ac:dyDescent="0.25">
      <c r="A91" s="27" t="s">
        <v>108</v>
      </c>
      <c r="B91" s="198" t="s">
        <v>53</v>
      </c>
      <c r="C91" s="106">
        <v>51431347</v>
      </c>
      <c r="D91" s="199" t="s">
        <v>54</v>
      </c>
      <c r="E91" s="198">
        <v>1200</v>
      </c>
      <c r="F91" s="21">
        <v>1202.1469999999999</v>
      </c>
      <c r="G91" s="21">
        <v>1202.1469999999999</v>
      </c>
      <c r="H91" s="18">
        <f>(G91-F91)*E91</f>
        <v>0</v>
      </c>
      <c r="I91" s="51"/>
      <c r="J91" s="52"/>
    </row>
    <row r="92" spans="1:10" ht="15.75" x14ac:dyDescent="0.25">
      <c r="A92" s="27" t="s">
        <v>109</v>
      </c>
      <c r="B92" s="198" t="s">
        <v>53</v>
      </c>
      <c r="C92" s="106">
        <v>51431339</v>
      </c>
      <c r="D92" s="199" t="s">
        <v>54</v>
      </c>
      <c r="E92" s="198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110</v>
      </c>
      <c r="B93" s="198" t="s">
        <v>53</v>
      </c>
      <c r="C93" s="106">
        <v>51217244</v>
      </c>
      <c r="D93" s="198" t="s">
        <v>38</v>
      </c>
      <c r="E93" s="198">
        <v>600</v>
      </c>
      <c r="F93" s="30">
        <v>331.43700000000001</v>
      </c>
      <c r="G93" s="30">
        <v>332.404</v>
      </c>
      <c r="H93" s="18">
        <f t="shared" si="4"/>
        <v>580.19999999999072</v>
      </c>
      <c r="I93" s="51"/>
      <c r="J93" s="52"/>
    </row>
    <row r="94" spans="1:10" ht="15.75" x14ac:dyDescent="0.25">
      <c r="A94" s="27" t="s">
        <v>111</v>
      </c>
      <c r="B94" s="198" t="s">
        <v>53</v>
      </c>
      <c r="C94" s="106">
        <v>51217267</v>
      </c>
      <c r="D94" s="88" t="s">
        <v>64</v>
      </c>
      <c r="E94" s="198">
        <v>2400</v>
      </c>
      <c r="F94" s="30">
        <v>20.233000000000001</v>
      </c>
      <c r="G94" s="30">
        <v>20.263000000000002</v>
      </c>
      <c r="H94" s="18">
        <f t="shared" si="4"/>
        <v>72.000000000002728</v>
      </c>
      <c r="I94" s="51"/>
      <c r="J94" s="52"/>
    </row>
    <row r="95" spans="1:10" ht="15.75" x14ac:dyDescent="0.25">
      <c r="A95" s="27" t="s">
        <v>112</v>
      </c>
      <c r="B95" s="198" t="s">
        <v>53</v>
      </c>
      <c r="C95" s="198">
        <v>51555165</v>
      </c>
      <c r="D95" s="199" t="s">
        <v>54</v>
      </c>
      <c r="E95" s="198">
        <v>1200</v>
      </c>
      <c r="F95" s="30">
        <v>831.15300000000002</v>
      </c>
      <c r="G95" s="30">
        <v>839.80899999999997</v>
      </c>
      <c r="H95" s="18">
        <f t="shared" si="4"/>
        <v>10387.199999999939</v>
      </c>
      <c r="I95" s="51" t="s">
        <v>28</v>
      </c>
      <c r="J95" s="52"/>
    </row>
    <row r="96" spans="1:10" ht="15.75" x14ac:dyDescent="0.25">
      <c r="A96" s="113" t="s">
        <v>113</v>
      </c>
      <c r="B96" s="198" t="s">
        <v>53</v>
      </c>
      <c r="C96" s="106">
        <v>51431346</v>
      </c>
      <c r="D96" s="114" t="s">
        <v>38</v>
      </c>
      <c r="E96" s="114">
        <v>600</v>
      </c>
      <c r="F96" s="30">
        <v>348.06</v>
      </c>
      <c r="G96" s="30">
        <v>350.09699999999998</v>
      </c>
      <c r="H96" s="115">
        <f t="shared" si="4"/>
        <v>1222.1999999999866</v>
      </c>
      <c r="I96" s="116"/>
      <c r="J96" s="117"/>
    </row>
    <row r="97" spans="1:10" ht="15.75" x14ac:dyDescent="0.25">
      <c r="A97" s="27" t="s">
        <v>114</v>
      </c>
      <c r="B97" s="198" t="s">
        <v>53</v>
      </c>
      <c r="C97" s="106">
        <v>51431352</v>
      </c>
      <c r="D97" s="88" t="s">
        <v>22</v>
      </c>
      <c r="E97" s="198">
        <v>3600</v>
      </c>
      <c r="F97" s="21">
        <v>226.98599999999999</v>
      </c>
      <c r="G97" s="21">
        <v>228.75299999999999</v>
      </c>
      <c r="H97" s="18">
        <f t="shared" si="4"/>
        <v>6361.1999999999853</v>
      </c>
      <c r="I97" s="51"/>
      <c r="J97" s="52"/>
    </row>
    <row r="98" spans="1:10" ht="15.75" x14ac:dyDescent="0.25">
      <c r="A98" s="44" t="s">
        <v>107</v>
      </c>
      <c r="B98" s="51"/>
      <c r="C98" s="51"/>
      <c r="D98" s="51"/>
      <c r="E98" s="51"/>
      <c r="F98" s="118"/>
      <c r="G98" s="118"/>
      <c r="H98" s="119">
        <f>H91+H92+H93+H94+H95+H96+H97+H85+H86</f>
        <v>18784.799999999912</v>
      </c>
      <c r="I98" s="51"/>
      <c r="J98" s="52"/>
    </row>
    <row r="99" spans="1:10" ht="15.75" x14ac:dyDescent="0.25">
      <c r="A99" s="45" t="s">
        <v>115</v>
      </c>
      <c r="B99" s="198" t="s">
        <v>53</v>
      </c>
      <c r="C99" s="120">
        <v>51431357</v>
      </c>
      <c r="D99" s="199" t="s">
        <v>64</v>
      </c>
      <c r="E99" s="199">
        <v>14000</v>
      </c>
      <c r="F99" s="28">
        <v>832.14800000000002</v>
      </c>
      <c r="G99" s="28">
        <v>834.88499999999999</v>
      </c>
      <c r="H99" s="121">
        <f t="shared" si="4"/>
        <v>38317.999999999527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28</vt:i4>
      </vt:variant>
    </vt:vector>
  </HeadingPairs>
  <TitlesOfParts>
    <vt:vector size="28" baseType="lpstr">
      <vt:lpstr>01.02</vt:lpstr>
      <vt:lpstr>02.02</vt:lpstr>
      <vt:lpstr>03.02</vt:lpstr>
      <vt:lpstr>04.02</vt:lpstr>
      <vt:lpstr>05.02</vt:lpstr>
      <vt:lpstr>06.02</vt:lpstr>
      <vt:lpstr>07.02</vt:lpstr>
      <vt:lpstr>08.02</vt:lpstr>
      <vt:lpstr>09.02</vt:lpstr>
      <vt:lpstr>10.02</vt:lpstr>
      <vt:lpstr>11.02</vt:lpstr>
      <vt:lpstr>12.02</vt:lpstr>
      <vt:lpstr>13.02</vt:lpstr>
      <vt:lpstr>14.02</vt:lpstr>
      <vt:lpstr>15.02</vt:lpstr>
      <vt:lpstr>16.02</vt:lpstr>
      <vt:lpstr>17.02</vt:lpstr>
      <vt:lpstr>18.02</vt:lpstr>
      <vt:lpstr>19.02</vt:lpstr>
      <vt:lpstr>20.02</vt:lpstr>
      <vt:lpstr>21.02</vt:lpstr>
      <vt:lpstr>22.02</vt:lpstr>
      <vt:lpstr>23.02</vt:lpstr>
      <vt:lpstr>24.02</vt:lpstr>
      <vt:lpstr>25.02</vt:lpstr>
      <vt:lpstr>26.02</vt:lpstr>
      <vt:lpstr>27.02</vt:lpstr>
      <vt:lpstr>28.02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2026-02-28T03:00:08Z</dcterms:modified>
</cp:coreProperties>
</file>