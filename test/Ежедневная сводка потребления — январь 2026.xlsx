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4" activeTab="30"/>
  </bookViews>
  <sheets>
    <sheet name="01.01" sheetId="1" r:id="rId1"/>
    <sheet name="02.01" sheetId="2" r:id="rId2"/>
    <sheet name="03.01" sheetId="3" r:id="rId3"/>
    <sheet name="04.01" sheetId="4" r:id="rId4"/>
    <sheet name="05.01" sheetId="5" r:id="rId5"/>
    <sheet name="06.01" sheetId="6" r:id="rId6"/>
    <sheet name="07.01" sheetId="7" r:id="rId7"/>
    <sheet name="08.01" sheetId="8" r:id="rId8"/>
    <sheet name="09.01" sheetId="9" r:id="rId9"/>
    <sheet name="10.01" sheetId="10" r:id="rId10"/>
    <sheet name="11.01" sheetId="11" r:id="rId11"/>
    <sheet name="12.01" sheetId="12" r:id="rId12"/>
    <sheet name="13.01" sheetId="13" r:id="rId13"/>
    <sheet name="14.01" sheetId="14" r:id="rId14"/>
    <sheet name="15.01" sheetId="15" r:id="rId15"/>
    <sheet name="16.01" sheetId="16" r:id="rId16"/>
    <sheet name="17.01" sheetId="17" r:id="rId17"/>
    <sheet name="18.01" sheetId="18" r:id="rId18"/>
    <sheet name="19.01" sheetId="19" r:id="rId19"/>
    <sheet name="20.01" sheetId="20" r:id="rId20"/>
    <sheet name="21.01" sheetId="21" r:id="rId21"/>
    <sheet name="22.01" sheetId="22" r:id="rId22"/>
    <sheet name="23.01" sheetId="23" r:id="rId23"/>
    <sheet name="24.01" sheetId="24" r:id="rId24"/>
    <sheet name="25.01" sheetId="25" r:id="rId25"/>
    <sheet name="26.01" sheetId="26" r:id="rId26"/>
    <sheet name="27.01" sheetId="27" r:id="rId27"/>
    <sheet name="28.01" sheetId="28" r:id="rId28"/>
    <sheet name="29.01" sheetId="29" r:id="rId29"/>
    <sheet name="30.01" sheetId="30" r:id="rId30"/>
    <sheet name="31.01" sheetId="31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0" i="31" l="1"/>
  <c r="H98" i="31"/>
  <c r="H97" i="31"/>
  <c r="H96" i="31"/>
  <c r="H95" i="31"/>
  <c r="H94" i="31"/>
  <c r="H93" i="31"/>
  <c r="H92" i="31"/>
  <c r="H90" i="31"/>
  <c r="H89" i="31"/>
  <c r="H87" i="31"/>
  <c r="H86" i="31"/>
  <c r="H85" i="31"/>
  <c r="H84" i="31"/>
  <c r="H81" i="31"/>
  <c r="H80" i="31"/>
  <c r="H79" i="31"/>
  <c r="H78" i="31"/>
  <c r="H77" i="31"/>
  <c r="H76" i="31"/>
  <c r="H75" i="31"/>
  <c r="H73" i="31"/>
  <c r="H72" i="31"/>
  <c r="H74" i="31" s="1"/>
  <c r="H70" i="31"/>
  <c r="H69" i="31"/>
  <c r="H68" i="31"/>
  <c r="H67" i="31"/>
  <c r="H64" i="31"/>
  <c r="H63" i="31"/>
  <c r="H62" i="31"/>
  <c r="D62" i="31"/>
  <c r="H61" i="31"/>
  <c r="D61" i="31"/>
  <c r="H60" i="31"/>
  <c r="H59" i="31"/>
  <c r="H57" i="31"/>
  <c r="H56" i="31"/>
  <c r="H53" i="31"/>
  <c r="H52" i="31"/>
  <c r="H48" i="31"/>
  <c r="H47" i="31"/>
  <c r="H46" i="31"/>
  <c r="H45" i="31"/>
  <c r="H44" i="31"/>
  <c r="H41" i="31"/>
  <c r="H40" i="31"/>
  <c r="H38" i="31"/>
  <c r="H37" i="31"/>
  <c r="H34" i="31"/>
  <c r="H33" i="31"/>
  <c r="H32" i="31"/>
  <c r="H31" i="31"/>
  <c r="H30" i="31"/>
  <c r="D30" i="31"/>
  <c r="H29" i="31"/>
  <c r="D29" i="31"/>
  <c r="H28" i="31"/>
  <c r="H27" i="31"/>
  <c r="H26" i="31"/>
  <c r="H25" i="31"/>
  <c r="H24" i="31"/>
  <c r="H23" i="31"/>
  <c r="H22" i="31"/>
  <c r="H21" i="31"/>
  <c r="H19" i="31"/>
  <c r="H18" i="31"/>
  <c r="H16" i="31"/>
  <c r="H15" i="31"/>
  <c r="H14" i="31"/>
  <c r="H13" i="31"/>
  <c r="H12" i="31"/>
  <c r="H11" i="31"/>
  <c r="H9" i="31"/>
  <c r="H8" i="31"/>
  <c r="H6" i="31"/>
  <c r="H5" i="31"/>
  <c r="H7" i="31" l="1"/>
  <c r="H55" i="31"/>
  <c r="H65" i="31"/>
  <c r="H91" i="31"/>
  <c r="H10" i="31"/>
  <c r="H20" i="31"/>
  <c r="H42" i="31"/>
  <c r="H17" i="31"/>
  <c r="H35" i="31"/>
  <c r="H50" i="31"/>
  <c r="H58" i="31"/>
  <c r="H88" i="31"/>
  <c r="H99" i="31"/>
  <c r="H71" i="31"/>
  <c r="I71" i="31" s="1"/>
  <c r="J71" i="31" s="1"/>
  <c r="H82" i="31"/>
  <c r="I74" i="31" s="1"/>
  <c r="J74" i="31" s="1"/>
  <c r="H100" i="30"/>
  <c r="H98" i="30"/>
  <c r="H97" i="30"/>
  <c r="H96" i="30"/>
  <c r="H95" i="30"/>
  <c r="H94" i="30"/>
  <c r="H93" i="30"/>
  <c r="H92" i="30"/>
  <c r="H90" i="30"/>
  <c r="H89" i="30"/>
  <c r="H91" i="30" s="1"/>
  <c r="H87" i="30"/>
  <c r="H86" i="30"/>
  <c r="H85" i="30"/>
  <c r="H84" i="30"/>
  <c r="H88" i="30" s="1"/>
  <c r="H81" i="30"/>
  <c r="H80" i="30"/>
  <c r="H79" i="30"/>
  <c r="H78" i="30"/>
  <c r="H77" i="30"/>
  <c r="H76" i="30"/>
  <c r="H75" i="30"/>
  <c r="H73" i="30"/>
  <c r="H72" i="30"/>
  <c r="H70" i="30"/>
  <c r="H69" i="30"/>
  <c r="H68" i="30"/>
  <c r="H67" i="30"/>
  <c r="H64" i="30"/>
  <c r="H63" i="30"/>
  <c r="H62" i="30"/>
  <c r="D62" i="30"/>
  <c r="H61" i="30"/>
  <c r="D61" i="30"/>
  <c r="H60" i="30"/>
  <c r="H59" i="30"/>
  <c r="H57" i="30"/>
  <c r="H56" i="30"/>
  <c r="H53" i="30"/>
  <c r="H52" i="30"/>
  <c r="H48" i="30"/>
  <c r="H47" i="30"/>
  <c r="H46" i="30"/>
  <c r="H45" i="30"/>
  <c r="H44" i="30"/>
  <c r="H41" i="30"/>
  <c r="H40" i="30"/>
  <c r="H38" i="30"/>
  <c r="H37" i="30"/>
  <c r="H34" i="30"/>
  <c r="H33" i="30"/>
  <c r="H32" i="30"/>
  <c r="H31" i="30"/>
  <c r="H30" i="30"/>
  <c r="D30" i="30"/>
  <c r="H29" i="30"/>
  <c r="D29" i="30"/>
  <c r="H28" i="30"/>
  <c r="H27" i="30"/>
  <c r="H26" i="30"/>
  <c r="H25" i="30"/>
  <c r="H24" i="30"/>
  <c r="H23" i="30"/>
  <c r="H22" i="30"/>
  <c r="H21" i="30"/>
  <c r="H19" i="30"/>
  <c r="H18" i="30"/>
  <c r="H16" i="30"/>
  <c r="H15" i="30"/>
  <c r="H14" i="30"/>
  <c r="H13" i="30"/>
  <c r="H12" i="30"/>
  <c r="H11" i="30"/>
  <c r="H9" i="30"/>
  <c r="H8" i="30"/>
  <c r="H6" i="30"/>
  <c r="H5" i="30"/>
  <c r="I88" i="31" l="1"/>
  <c r="J88" i="31" s="1"/>
  <c r="I91" i="31"/>
  <c r="J91" i="31" s="1"/>
  <c r="I7" i="31"/>
  <c r="J7" i="31" s="1"/>
  <c r="I58" i="31"/>
  <c r="J58" i="31"/>
  <c r="I20" i="31"/>
  <c r="J20" i="31" s="1"/>
  <c r="I10" i="31"/>
  <c r="J10" i="31" s="1"/>
  <c r="I42" i="31"/>
  <c r="J42" i="31" s="1"/>
  <c r="H74" i="30"/>
  <c r="H55" i="30"/>
  <c r="H7" i="30"/>
  <c r="H58" i="30"/>
  <c r="H17" i="30"/>
  <c r="I10" i="30" s="1"/>
  <c r="J10" i="30" s="1"/>
  <c r="H35" i="30"/>
  <c r="H50" i="30"/>
  <c r="H65" i="30"/>
  <c r="I88" i="30"/>
  <c r="J88" i="30" s="1"/>
  <c r="H99" i="30"/>
  <c r="I91" i="30" s="1"/>
  <c r="J91" i="30" s="1"/>
  <c r="H10" i="30"/>
  <c r="H20" i="30"/>
  <c r="I7" i="30" s="1"/>
  <c r="J7" i="30" s="1"/>
  <c r="H42" i="30"/>
  <c r="H71" i="30"/>
  <c r="H82" i="30"/>
  <c r="H100" i="29"/>
  <c r="H98" i="29"/>
  <c r="H97" i="29"/>
  <c r="H96" i="29"/>
  <c r="H95" i="29"/>
  <c r="H94" i="29"/>
  <c r="H93" i="29"/>
  <c r="H92" i="29"/>
  <c r="H90" i="29"/>
  <c r="H89" i="29"/>
  <c r="H87" i="29"/>
  <c r="H86" i="29"/>
  <c r="H85" i="29"/>
  <c r="H84" i="29"/>
  <c r="H81" i="29"/>
  <c r="H80" i="29"/>
  <c r="H79" i="29"/>
  <c r="H78" i="29"/>
  <c r="H77" i="29"/>
  <c r="H76" i="29"/>
  <c r="H75" i="29"/>
  <c r="H73" i="29"/>
  <c r="H72" i="29"/>
  <c r="H70" i="29"/>
  <c r="H69" i="29"/>
  <c r="H68" i="29"/>
  <c r="H67" i="29"/>
  <c r="H64" i="29"/>
  <c r="H63" i="29"/>
  <c r="H62" i="29"/>
  <c r="D62" i="29"/>
  <c r="H61" i="29"/>
  <c r="D61" i="29"/>
  <c r="H60" i="29"/>
  <c r="H59" i="29"/>
  <c r="H57" i="29"/>
  <c r="H56" i="29"/>
  <c r="H53" i="29"/>
  <c r="H52" i="29"/>
  <c r="H48" i="29"/>
  <c r="H47" i="29"/>
  <c r="H46" i="29"/>
  <c r="H45" i="29"/>
  <c r="H44" i="29"/>
  <c r="H41" i="29"/>
  <c r="H40" i="29"/>
  <c r="H42" i="29" s="1"/>
  <c r="H38" i="29"/>
  <c r="H37" i="29"/>
  <c r="H34" i="29"/>
  <c r="H33" i="29"/>
  <c r="H32" i="29"/>
  <c r="H31" i="29"/>
  <c r="H30" i="29"/>
  <c r="D30" i="29"/>
  <c r="H29" i="29"/>
  <c r="D29" i="29"/>
  <c r="H28" i="29"/>
  <c r="H27" i="29"/>
  <c r="H26" i="29"/>
  <c r="H25" i="29"/>
  <c r="H24" i="29"/>
  <c r="H23" i="29"/>
  <c r="H22" i="29"/>
  <c r="H21" i="29"/>
  <c r="H19" i="29"/>
  <c r="H18" i="29"/>
  <c r="H20" i="29" s="1"/>
  <c r="H16" i="29"/>
  <c r="H15" i="29"/>
  <c r="H14" i="29"/>
  <c r="H13" i="29"/>
  <c r="H12" i="29"/>
  <c r="H11" i="29"/>
  <c r="H9" i="29"/>
  <c r="H8" i="29"/>
  <c r="H10" i="29" s="1"/>
  <c r="H6" i="29"/>
  <c r="H5" i="29"/>
  <c r="H7" i="29" s="1"/>
  <c r="I74" i="30" l="1"/>
  <c r="J74" i="30" s="1"/>
  <c r="I71" i="30"/>
  <c r="J71" i="30" s="1"/>
  <c r="I58" i="30"/>
  <c r="J58" i="30" s="1"/>
  <c r="I42" i="30"/>
  <c r="J42" i="30" s="1"/>
  <c r="I20" i="30"/>
  <c r="J20" i="30" s="1"/>
  <c r="H71" i="29"/>
  <c r="H74" i="29"/>
  <c r="H55" i="29"/>
  <c r="H99" i="29"/>
  <c r="I7" i="29"/>
  <c r="J7" i="29" s="1"/>
  <c r="H50" i="29"/>
  <c r="I42" i="29" s="1"/>
  <c r="J42" i="29" s="1"/>
  <c r="H17" i="29"/>
  <c r="I10" i="29" s="1"/>
  <c r="J10" i="29" s="1"/>
  <c r="H65" i="29"/>
  <c r="H88" i="29"/>
  <c r="H91" i="29"/>
  <c r="H35" i="29"/>
  <c r="I20" i="29" s="1"/>
  <c r="J20" i="29" s="1"/>
  <c r="H58" i="29"/>
  <c r="H82" i="29"/>
  <c r="I74" i="29" s="1"/>
  <c r="J74" i="29" s="1"/>
  <c r="H100" i="28"/>
  <c r="H98" i="28"/>
  <c r="H97" i="28"/>
  <c r="H96" i="28"/>
  <c r="H95" i="28"/>
  <c r="H94" i="28"/>
  <c r="H93" i="28"/>
  <c r="H92" i="28"/>
  <c r="H90" i="28"/>
  <c r="H89" i="28"/>
  <c r="H87" i="28"/>
  <c r="H86" i="28"/>
  <c r="H85" i="28"/>
  <c r="H84" i="28"/>
  <c r="H81" i="28"/>
  <c r="H80" i="28"/>
  <c r="H79" i="28"/>
  <c r="H78" i="28"/>
  <c r="H77" i="28"/>
  <c r="H76" i="28"/>
  <c r="H75" i="28"/>
  <c r="H73" i="28"/>
  <c r="H72" i="28"/>
  <c r="H74" i="28" s="1"/>
  <c r="H70" i="28"/>
  <c r="H69" i="28"/>
  <c r="H68" i="28"/>
  <c r="H67" i="28"/>
  <c r="H64" i="28"/>
  <c r="H63" i="28"/>
  <c r="H62" i="28"/>
  <c r="D62" i="28"/>
  <c r="H61" i="28"/>
  <c r="D61" i="28"/>
  <c r="H60" i="28"/>
  <c r="H59" i="28"/>
  <c r="H57" i="28"/>
  <c r="H56" i="28"/>
  <c r="H53" i="28"/>
  <c r="H52" i="28"/>
  <c r="H48" i="28"/>
  <c r="H47" i="28"/>
  <c r="H46" i="28"/>
  <c r="H45" i="28"/>
  <c r="H44" i="28"/>
  <c r="H41" i="28"/>
  <c r="H40" i="28"/>
  <c r="H38" i="28"/>
  <c r="H37" i="28"/>
  <c r="H34" i="28"/>
  <c r="H33" i="28"/>
  <c r="H32" i="28"/>
  <c r="H31" i="28"/>
  <c r="H30" i="28"/>
  <c r="D30" i="28"/>
  <c r="H29" i="28"/>
  <c r="D29" i="28"/>
  <c r="H28" i="28"/>
  <c r="H27" i="28"/>
  <c r="H26" i="28"/>
  <c r="H25" i="28"/>
  <c r="H24" i="28"/>
  <c r="H23" i="28"/>
  <c r="H22" i="28"/>
  <c r="H21" i="28"/>
  <c r="H19" i="28"/>
  <c r="H18" i="28"/>
  <c r="H16" i="28"/>
  <c r="H15" i="28"/>
  <c r="H14" i="28"/>
  <c r="H13" i="28"/>
  <c r="H12" i="28"/>
  <c r="H11" i="28"/>
  <c r="H9" i="28"/>
  <c r="H8" i="28"/>
  <c r="H6" i="28"/>
  <c r="H5" i="28"/>
  <c r="H7" i="28" s="1"/>
  <c r="I88" i="29" l="1"/>
  <c r="J88" i="29" s="1"/>
  <c r="I71" i="29"/>
  <c r="J71" i="29" s="1"/>
  <c r="I58" i="29"/>
  <c r="J58" i="29" s="1"/>
  <c r="I91" i="29"/>
  <c r="J91" i="29" s="1"/>
  <c r="H91" i="28"/>
  <c r="H55" i="28"/>
  <c r="H42" i="28"/>
  <c r="H82" i="28"/>
  <c r="I74" i="28" s="1"/>
  <c r="J74" i="28" s="1"/>
  <c r="H65" i="28"/>
  <c r="H99" i="28"/>
  <c r="H17" i="28"/>
  <c r="H35" i="28"/>
  <c r="H50" i="28"/>
  <c r="H58" i="28"/>
  <c r="H88" i="28"/>
  <c r="H10" i="28"/>
  <c r="I7" i="28" s="1"/>
  <c r="J7" i="28" s="1"/>
  <c r="H20" i="28"/>
  <c r="H71" i="28"/>
  <c r="I71" i="28" s="1"/>
  <c r="J71" i="28" s="1"/>
  <c r="H100" i="27"/>
  <c r="H98" i="27"/>
  <c r="H97" i="27"/>
  <c r="H96" i="27"/>
  <c r="H95" i="27"/>
  <c r="H94" i="27"/>
  <c r="H93" i="27"/>
  <c r="H92" i="27"/>
  <c r="H90" i="27"/>
  <c r="H89" i="27"/>
  <c r="H87" i="27"/>
  <c r="H86" i="27"/>
  <c r="H85" i="27"/>
  <c r="H84" i="27"/>
  <c r="H81" i="27"/>
  <c r="H80" i="27"/>
  <c r="H79" i="27"/>
  <c r="H78" i="27"/>
  <c r="H77" i="27"/>
  <c r="H76" i="27"/>
  <c r="H75" i="27"/>
  <c r="H73" i="27"/>
  <c r="H72" i="27"/>
  <c r="H70" i="27"/>
  <c r="H69" i="27"/>
  <c r="H68" i="27"/>
  <c r="H67" i="27"/>
  <c r="H64" i="27"/>
  <c r="H63" i="27"/>
  <c r="H62" i="27"/>
  <c r="D62" i="27"/>
  <c r="H61" i="27"/>
  <c r="D61" i="27"/>
  <c r="H60" i="27"/>
  <c r="H59" i="27"/>
  <c r="H57" i="27"/>
  <c r="H56" i="27"/>
  <c r="H53" i="27"/>
  <c r="H55" i="27" s="1"/>
  <c r="H52" i="27"/>
  <c r="H48" i="27"/>
  <c r="H47" i="27"/>
  <c r="H46" i="27"/>
  <c r="H45" i="27"/>
  <c r="H44" i="27"/>
  <c r="H41" i="27"/>
  <c r="H40" i="27"/>
  <c r="H42" i="27" s="1"/>
  <c r="H38" i="27"/>
  <c r="H37" i="27"/>
  <c r="H34" i="27"/>
  <c r="H33" i="27"/>
  <c r="H32" i="27"/>
  <c r="H31" i="27"/>
  <c r="H30" i="27"/>
  <c r="D30" i="27"/>
  <c r="H29" i="27"/>
  <c r="D29" i="27"/>
  <c r="H28" i="27"/>
  <c r="H27" i="27"/>
  <c r="H26" i="27"/>
  <c r="H25" i="27"/>
  <c r="H24" i="27"/>
  <c r="H23" i="27"/>
  <c r="H22" i="27"/>
  <c r="H21" i="27"/>
  <c r="H19" i="27"/>
  <c r="H18" i="27"/>
  <c r="H16" i="27"/>
  <c r="H15" i="27"/>
  <c r="H14" i="27"/>
  <c r="H13" i="27"/>
  <c r="H12" i="27"/>
  <c r="H11" i="27"/>
  <c r="H9" i="27"/>
  <c r="H8" i="27"/>
  <c r="H10" i="27" s="1"/>
  <c r="H6" i="27"/>
  <c r="H5" i="27"/>
  <c r="I88" i="28" l="1"/>
  <c r="J88" i="28" s="1"/>
  <c r="I91" i="28"/>
  <c r="J91" i="28" s="1"/>
  <c r="I10" i="28"/>
  <c r="J10" i="28" s="1"/>
  <c r="I58" i="28"/>
  <c r="J58" i="28" s="1"/>
  <c r="I42" i="28"/>
  <c r="J42" i="28" s="1"/>
  <c r="I20" i="28"/>
  <c r="J20" i="28" s="1"/>
  <c r="H74" i="27"/>
  <c r="H20" i="27"/>
  <c r="H88" i="27"/>
  <c r="H99" i="27"/>
  <c r="H7" i="27"/>
  <c r="I7" i="27" s="1"/>
  <c r="J7" i="27" s="1"/>
  <c r="H50" i="27"/>
  <c r="I42" i="27" s="1"/>
  <c r="J42" i="27" s="1"/>
  <c r="H71" i="27"/>
  <c r="H17" i="27"/>
  <c r="I10" i="27" s="1"/>
  <c r="J10" i="27" s="1"/>
  <c r="H65" i="27"/>
  <c r="I58" i="27" s="1"/>
  <c r="J58" i="27" s="1"/>
  <c r="H35" i="27"/>
  <c r="I20" i="27" s="1"/>
  <c r="J20" i="27" s="1"/>
  <c r="H58" i="27"/>
  <c r="H82" i="27"/>
  <c r="H91" i="27"/>
  <c r="H100" i="26"/>
  <c r="H98" i="26"/>
  <c r="H97" i="26"/>
  <c r="H96" i="26"/>
  <c r="H95" i="26"/>
  <c r="H94" i="26"/>
  <c r="H93" i="26"/>
  <c r="H92" i="26"/>
  <c r="H90" i="26"/>
  <c r="H89" i="26"/>
  <c r="H91" i="26" s="1"/>
  <c r="H87" i="26"/>
  <c r="H86" i="26"/>
  <c r="H85" i="26"/>
  <c r="H84" i="26"/>
  <c r="H81" i="26"/>
  <c r="H80" i="26"/>
  <c r="H79" i="26"/>
  <c r="H78" i="26"/>
  <c r="H77" i="26"/>
  <c r="H76" i="26"/>
  <c r="H75" i="26"/>
  <c r="H73" i="26"/>
  <c r="H72" i="26"/>
  <c r="H70" i="26"/>
  <c r="H69" i="26"/>
  <c r="H68" i="26"/>
  <c r="H67" i="26"/>
  <c r="H64" i="26"/>
  <c r="H63" i="26"/>
  <c r="H62" i="26"/>
  <c r="D62" i="26"/>
  <c r="H61" i="26"/>
  <c r="D61" i="26"/>
  <c r="H60" i="26"/>
  <c r="H59" i="26"/>
  <c r="H57" i="26"/>
  <c r="H56" i="26"/>
  <c r="H53" i="26"/>
  <c r="H52" i="26"/>
  <c r="H48" i="26"/>
  <c r="H47" i="26"/>
  <c r="H46" i="26"/>
  <c r="H45" i="26"/>
  <c r="H44" i="26"/>
  <c r="H41" i="26"/>
  <c r="H40" i="26"/>
  <c r="H38" i="26"/>
  <c r="H37" i="26"/>
  <c r="H34" i="26"/>
  <c r="H33" i="26"/>
  <c r="H32" i="26"/>
  <c r="H31" i="26"/>
  <c r="H30" i="26"/>
  <c r="D30" i="26"/>
  <c r="H29" i="26"/>
  <c r="D29" i="26"/>
  <c r="H28" i="26"/>
  <c r="H27" i="26"/>
  <c r="H26" i="26"/>
  <c r="H25" i="26"/>
  <c r="H24" i="26"/>
  <c r="H23" i="26"/>
  <c r="H22" i="26"/>
  <c r="H21" i="26"/>
  <c r="H19" i="26"/>
  <c r="H18" i="26"/>
  <c r="H16" i="26"/>
  <c r="H15" i="26"/>
  <c r="H14" i="26"/>
  <c r="H13" i="26"/>
  <c r="H12" i="26"/>
  <c r="H11" i="26"/>
  <c r="H9" i="26"/>
  <c r="H10" i="26" s="1"/>
  <c r="H8" i="26"/>
  <c r="H6" i="26"/>
  <c r="H5" i="26"/>
  <c r="I88" i="27" l="1"/>
  <c r="J88" i="27" s="1"/>
  <c r="I91" i="27"/>
  <c r="J91" i="27" s="1"/>
  <c r="I74" i="27"/>
  <c r="J74" i="27" s="1"/>
  <c r="I71" i="27"/>
  <c r="J71" i="27" s="1"/>
  <c r="H88" i="26"/>
  <c r="H99" i="26"/>
  <c r="I91" i="26" s="1"/>
  <c r="J91" i="26" s="1"/>
  <c r="H20" i="26"/>
  <c r="H55" i="26"/>
  <c r="H42" i="26"/>
  <c r="H74" i="26"/>
  <c r="H7" i="26"/>
  <c r="I7" i="26" s="1"/>
  <c r="J7" i="26" s="1"/>
  <c r="H58" i="26"/>
  <c r="H17" i="26"/>
  <c r="I10" i="26" s="1"/>
  <c r="J10" i="26" s="1"/>
  <c r="H65" i="26"/>
  <c r="H35" i="26"/>
  <c r="I20" i="26" s="1"/>
  <c r="J20" i="26" s="1"/>
  <c r="H50" i="26"/>
  <c r="I88" i="26"/>
  <c r="J88" i="26" s="1"/>
  <c r="H71" i="26"/>
  <c r="H82" i="26"/>
  <c r="H100" i="25"/>
  <c r="H98" i="25"/>
  <c r="H97" i="25"/>
  <c r="H96" i="25"/>
  <c r="H95" i="25"/>
  <c r="H94" i="25"/>
  <c r="H93" i="25"/>
  <c r="H92" i="25"/>
  <c r="H90" i="25"/>
  <c r="H89" i="25"/>
  <c r="H87" i="25"/>
  <c r="H86" i="25"/>
  <c r="H85" i="25"/>
  <c r="H84" i="25"/>
  <c r="H81" i="25"/>
  <c r="H80" i="25"/>
  <c r="H79" i="25"/>
  <c r="H78" i="25"/>
  <c r="H77" i="25"/>
  <c r="H76" i="25"/>
  <c r="H75" i="25"/>
  <c r="H73" i="25"/>
  <c r="H72" i="25"/>
  <c r="H70" i="25"/>
  <c r="H69" i="25"/>
  <c r="H68" i="25"/>
  <c r="H67" i="25"/>
  <c r="H64" i="25"/>
  <c r="H63" i="25"/>
  <c r="H62" i="25"/>
  <c r="D62" i="25"/>
  <c r="H61" i="25"/>
  <c r="D61" i="25"/>
  <c r="H60" i="25"/>
  <c r="H59" i="25"/>
  <c r="H57" i="25"/>
  <c r="H56" i="25"/>
  <c r="H53" i="25"/>
  <c r="H52" i="25"/>
  <c r="H48" i="25"/>
  <c r="H47" i="25"/>
  <c r="H46" i="25"/>
  <c r="H45" i="25"/>
  <c r="H44" i="25"/>
  <c r="H41" i="25"/>
  <c r="H40" i="25"/>
  <c r="H38" i="25"/>
  <c r="H37" i="25"/>
  <c r="H34" i="25"/>
  <c r="H33" i="25"/>
  <c r="H32" i="25"/>
  <c r="H31" i="25"/>
  <c r="H30" i="25"/>
  <c r="D30" i="25"/>
  <c r="H29" i="25"/>
  <c r="D29" i="25"/>
  <c r="H28" i="25"/>
  <c r="H27" i="25"/>
  <c r="H26" i="25"/>
  <c r="H25" i="25"/>
  <c r="H24" i="25"/>
  <c r="H23" i="25"/>
  <c r="H22" i="25"/>
  <c r="H21" i="25"/>
  <c r="H19" i="25"/>
  <c r="H18" i="25"/>
  <c r="H16" i="25"/>
  <c r="H15" i="25"/>
  <c r="H14" i="25"/>
  <c r="H13" i="25"/>
  <c r="H12" i="25"/>
  <c r="H11" i="25"/>
  <c r="H9" i="25"/>
  <c r="H8" i="25"/>
  <c r="H6" i="25"/>
  <c r="H5" i="25"/>
  <c r="I71" i="26" l="1"/>
  <c r="J71" i="26" s="1"/>
  <c r="I74" i="26"/>
  <c r="J74" i="26" s="1"/>
  <c r="I58" i="26"/>
  <c r="J58" i="26" s="1"/>
  <c r="I42" i="26"/>
  <c r="J42" i="26" s="1"/>
  <c r="H88" i="25"/>
  <c r="H91" i="25"/>
  <c r="H71" i="25"/>
  <c r="H74" i="25"/>
  <c r="I71" i="25" s="1"/>
  <c r="J71" i="25" s="1"/>
  <c r="H55" i="25"/>
  <c r="H58" i="25"/>
  <c r="H7" i="25"/>
  <c r="H42" i="25"/>
  <c r="I42" i="25" s="1"/>
  <c r="J42" i="25" s="1"/>
  <c r="H99" i="25"/>
  <c r="I91" i="25" s="1"/>
  <c r="J91" i="25" s="1"/>
  <c r="H17" i="25"/>
  <c r="H50" i="25"/>
  <c r="I88" i="25"/>
  <c r="J88" i="25" s="1"/>
  <c r="H10" i="25"/>
  <c r="H20" i="25"/>
  <c r="H65" i="25"/>
  <c r="H35" i="25"/>
  <c r="H82" i="25"/>
  <c r="H100" i="24"/>
  <c r="H98" i="24"/>
  <c r="H97" i="24"/>
  <c r="H96" i="24"/>
  <c r="H95" i="24"/>
  <c r="H94" i="24"/>
  <c r="H93" i="24"/>
  <c r="H92" i="24"/>
  <c r="H90" i="24"/>
  <c r="H89" i="24"/>
  <c r="H91" i="24" s="1"/>
  <c r="H87" i="24"/>
  <c r="H86" i="24"/>
  <c r="H85" i="24"/>
  <c r="H84" i="24"/>
  <c r="H88" i="24" s="1"/>
  <c r="H81" i="24"/>
  <c r="H80" i="24"/>
  <c r="H79" i="24"/>
  <c r="H78" i="24"/>
  <c r="H77" i="24"/>
  <c r="H76" i="24"/>
  <c r="H75" i="24"/>
  <c r="H73" i="24"/>
  <c r="H72" i="24"/>
  <c r="H70" i="24"/>
  <c r="H69" i="24"/>
  <c r="H68" i="24"/>
  <c r="H67" i="24"/>
  <c r="H64" i="24"/>
  <c r="H63" i="24"/>
  <c r="H62" i="24"/>
  <c r="D62" i="24"/>
  <c r="H61" i="24"/>
  <c r="D61" i="24"/>
  <c r="H60" i="24"/>
  <c r="H59" i="24"/>
  <c r="H57" i="24"/>
  <c r="H56" i="24"/>
  <c r="H53" i="24"/>
  <c r="H52" i="24"/>
  <c r="H55" i="24" s="1"/>
  <c r="H48" i="24"/>
  <c r="H47" i="24"/>
  <c r="H46" i="24"/>
  <c r="H45" i="24"/>
  <c r="H44" i="24"/>
  <c r="H41" i="24"/>
  <c r="H40" i="24"/>
  <c r="H38" i="24"/>
  <c r="H37" i="24"/>
  <c r="H34" i="24"/>
  <c r="H33" i="24"/>
  <c r="H32" i="24"/>
  <c r="H31" i="24"/>
  <c r="H30" i="24"/>
  <c r="D30" i="24"/>
  <c r="H29" i="24"/>
  <c r="D29" i="24"/>
  <c r="H28" i="24"/>
  <c r="H27" i="24"/>
  <c r="H26" i="24"/>
  <c r="H25" i="24"/>
  <c r="H24" i="24"/>
  <c r="H23" i="24"/>
  <c r="H22" i="24"/>
  <c r="H21" i="24"/>
  <c r="H19" i="24"/>
  <c r="H18" i="24"/>
  <c r="H16" i="24"/>
  <c r="H15" i="24"/>
  <c r="H14" i="24"/>
  <c r="H13" i="24"/>
  <c r="H12" i="24"/>
  <c r="H11" i="24"/>
  <c r="H9" i="24"/>
  <c r="H8" i="24"/>
  <c r="H6" i="24"/>
  <c r="H5" i="24"/>
  <c r="I74" i="25" l="1"/>
  <c r="J74" i="25" s="1"/>
  <c r="I58" i="25"/>
  <c r="J58" i="25" s="1"/>
  <c r="I10" i="25"/>
  <c r="J10" i="25" s="1"/>
  <c r="I7" i="25"/>
  <c r="J7" i="25" s="1"/>
  <c r="I20" i="25"/>
  <c r="J20" i="25" s="1"/>
  <c r="H74" i="24"/>
  <c r="H42" i="24"/>
  <c r="H65" i="24"/>
  <c r="I58" i="24" s="1"/>
  <c r="H7" i="24"/>
  <c r="H99" i="24"/>
  <c r="I91" i="24" s="1"/>
  <c r="J91" i="24" s="1"/>
  <c r="H17" i="24"/>
  <c r="H35" i="24"/>
  <c r="H50" i="24"/>
  <c r="H58" i="24"/>
  <c r="I88" i="24"/>
  <c r="J88" i="24" s="1"/>
  <c r="H82" i="24"/>
  <c r="H10" i="24"/>
  <c r="H20" i="24"/>
  <c r="H71" i="24"/>
  <c r="H100" i="23"/>
  <c r="H98" i="23"/>
  <c r="H97" i="23"/>
  <c r="H96" i="23"/>
  <c r="H95" i="23"/>
  <c r="H94" i="23"/>
  <c r="H93" i="23"/>
  <c r="H92" i="23"/>
  <c r="H90" i="23"/>
  <c r="H89" i="23"/>
  <c r="H91" i="23" s="1"/>
  <c r="H87" i="23"/>
  <c r="H86" i="23"/>
  <c r="H85" i="23"/>
  <c r="H84" i="23"/>
  <c r="H88" i="23" s="1"/>
  <c r="H81" i="23"/>
  <c r="H80" i="23"/>
  <c r="H79" i="23"/>
  <c r="H78" i="23"/>
  <c r="H77" i="23"/>
  <c r="H76" i="23"/>
  <c r="H75" i="23"/>
  <c r="H73" i="23"/>
  <c r="H72" i="23"/>
  <c r="H70" i="23"/>
  <c r="H69" i="23"/>
  <c r="H68" i="23"/>
  <c r="H67" i="23"/>
  <c r="H64" i="23"/>
  <c r="H63" i="23"/>
  <c r="H62" i="23"/>
  <c r="D62" i="23"/>
  <c r="H61" i="23"/>
  <c r="D61" i="23"/>
  <c r="H60" i="23"/>
  <c r="H59" i="23"/>
  <c r="H57" i="23"/>
  <c r="H56" i="23"/>
  <c r="H53" i="23"/>
  <c r="H52" i="23"/>
  <c r="H48" i="23"/>
  <c r="H47" i="23"/>
  <c r="H46" i="23"/>
  <c r="H45" i="23"/>
  <c r="H44" i="23"/>
  <c r="H41" i="23"/>
  <c r="H40" i="23"/>
  <c r="H38" i="23"/>
  <c r="H37" i="23"/>
  <c r="H34" i="23"/>
  <c r="H33" i="23"/>
  <c r="H32" i="23"/>
  <c r="H31" i="23"/>
  <c r="H30" i="23"/>
  <c r="D30" i="23"/>
  <c r="H29" i="23"/>
  <c r="D29" i="23"/>
  <c r="H28" i="23"/>
  <c r="H27" i="23"/>
  <c r="H26" i="23"/>
  <c r="H25" i="23"/>
  <c r="H24" i="23"/>
  <c r="H23" i="23"/>
  <c r="H22" i="23"/>
  <c r="H21" i="23"/>
  <c r="H19" i="23"/>
  <c r="H20" i="23" s="1"/>
  <c r="H18" i="23"/>
  <c r="H16" i="23"/>
  <c r="H15" i="23"/>
  <c r="H14" i="23"/>
  <c r="H13" i="23"/>
  <c r="H12" i="23"/>
  <c r="H11" i="23"/>
  <c r="H9" i="23"/>
  <c r="H8" i="23"/>
  <c r="H6" i="23"/>
  <c r="H5" i="23"/>
  <c r="I20" i="24" l="1"/>
  <c r="J20" i="24" s="1"/>
  <c r="J58" i="24"/>
  <c r="I74" i="24"/>
  <c r="J74" i="24" s="1"/>
  <c r="I71" i="24"/>
  <c r="J71" i="24" s="1"/>
  <c r="I10" i="24"/>
  <c r="J10" i="24" s="1"/>
  <c r="I42" i="24"/>
  <c r="J42" i="24" s="1"/>
  <c r="I7" i="24"/>
  <c r="J7" i="24" s="1"/>
  <c r="H10" i="23"/>
  <c r="H42" i="23"/>
  <c r="H55" i="23"/>
  <c r="I58" i="23" s="1"/>
  <c r="H65" i="23"/>
  <c r="H74" i="23"/>
  <c r="H7" i="23"/>
  <c r="H58" i="23"/>
  <c r="H99" i="23"/>
  <c r="I91" i="23" s="1"/>
  <c r="J91" i="23" s="1"/>
  <c r="H35" i="23"/>
  <c r="I20" i="23" s="1"/>
  <c r="J20" i="23" s="1"/>
  <c r="H50" i="23"/>
  <c r="I88" i="23"/>
  <c r="J88" i="23" s="1"/>
  <c r="H82" i="23"/>
  <c r="H17" i="23"/>
  <c r="I10" i="23" s="1"/>
  <c r="J10" i="23" s="1"/>
  <c r="H71" i="23"/>
  <c r="H100" i="22"/>
  <c r="H98" i="22"/>
  <c r="H97" i="22"/>
  <c r="H96" i="22"/>
  <c r="H95" i="22"/>
  <c r="H94" i="22"/>
  <c r="H93" i="22"/>
  <c r="H92" i="22"/>
  <c r="H90" i="22"/>
  <c r="H89" i="22"/>
  <c r="H87" i="22"/>
  <c r="H86" i="22"/>
  <c r="H85" i="22"/>
  <c r="H84" i="22"/>
  <c r="H81" i="22"/>
  <c r="H80" i="22"/>
  <c r="H79" i="22"/>
  <c r="H78" i="22"/>
  <c r="H77" i="22"/>
  <c r="H76" i="22"/>
  <c r="H75" i="22"/>
  <c r="H73" i="22"/>
  <c r="H72" i="22"/>
  <c r="H70" i="22"/>
  <c r="H69" i="22"/>
  <c r="H68" i="22"/>
  <c r="H67" i="22"/>
  <c r="H64" i="22"/>
  <c r="H63" i="22"/>
  <c r="H62" i="22"/>
  <c r="D62" i="22"/>
  <c r="H61" i="22"/>
  <c r="D61" i="22"/>
  <c r="H60" i="22"/>
  <c r="H59" i="22"/>
  <c r="H57" i="22"/>
  <c r="H56" i="22"/>
  <c r="H53" i="22"/>
  <c r="H52" i="22"/>
  <c r="H48" i="22"/>
  <c r="H47" i="22"/>
  <c r="H46" i="22"/>
  <c r="H45" i="22"/>
  <c r="H44" i="22"/>
  <c r="H41" i="22"/>
  <c r="H40" i="22"/>
  <c r="H38" i="22"/>
  <c r="H37" i="22"/>
  <c r="H34" i="22"/>
  <c r="H33" i="22"/>
  <c r="H32" i="22"/>
  <c r="H31" i="22"/>
  <c r="H30" i="22"/>
  <c r="D30" i="22"/>
  <c r="H29" i="22"/>
  <c r="D29" i="22"/>
  <c r="H28" i="22"/>
  <c r="H27" i="22"/>
  <c r="H26" i="22"/>
  <c r="H25" i="22"/>
  <c r="H24" i="22"/>
  <c r="H23" i="22"/>
  <c r="H22" i="22"/>
  <c r="H21" i="22"/>
  <c r="H19" i="22"/>
  <c r="H18" i="22"/>
  <c r="H16" i="22"/>
  <c r="H15" i="22"/>
  <c r="H14" i="22"/>
  <c r="H13" i="22"/>
  <c r="H12" i="22"/>
  <c r="H11" i="22"/>
  <c r="H9" i="22"/>
  <c r="H8" i="22"/>
  <c r="H6" i="22"/>
  <c r="H5" i="22"/>
  <c r="I7" i="23" l="1"/>
  <c r="J7" i="23" s="1"/>
  <c r="I42" i="23"/>
  <c r="J42" i="23" s="1"/>
  <c r="I74" i="23"/>
  <c r="J74" i="23" s="1"/>
  <c r="J58" i="23"/>
  <c r="I71" i="23"/>
  <c r="J71" i="23" s="1"/>
  <c r="H7" i="22"/>
  <c r="H55" i="22"/>
  <c r="H91" i="22"/>
  <c r="H71" i="22"/>
  <c r="H74" i="22"/>
  <c r="H10" i="22"/>
  <c r="H20" i="22"/>
  <c r="H42" i="22"/>
  <c r="H65" i="22"/>
  <c r="H99" i="22"/>
  <c r="I91" i="22" s="1"/>
  <c r="J91" i="22" s="1"/>
  <c r="H17" i="22"/>
  <c r="H35" i="22"/>
  <c r="H50" i="22"/>
  <c r="H58" i="22"/>
  <c r="H88" i="22"/>
  <c r="I88" i="22" s="1"/>
  <c r="J88" i="22" s="1"/>
  <c r="H82" i="22"/>
  <c r="H100" i="21"/>
  <c r="H98" i="21"/>
  <c r="H97" i="21"/>
  <c r="H96" i="21"/>
  <c r="H95" i="21"/>
  <c r="H94" i="21"/>
  <c r="H93" i="21"/>
  <c r="H92" i="21"/>
  <c r="H90" i="21"/>
  <c r="H89" i="21"/>
  <c r="H91" i="21" s="1"/>
  <c r="H87" i="21"/>
  <c r="H86" i="21"/>
  <c r="H85" i="21"/>
  <c r="H84" i="21"/>
  <c r="H88" i="21" s="1"/>
  <c r="H81" i="21"/>
  <c r="H80" i="21"/>
  <c r="H79" i="21"/>
  <c r="H78" i="21"/>
  <c r="H77" i="21"/>
  <c r="H76" i="21"/>
  <c r="H75" i="21"/>
  <c r="H73" i="21"/>
  <c r="H72" i="21"/>
  <c r="H70" i="21"/>
  <c r="H69" i="21"/>
  <c r="H68" i="21"/>
  <c r="H67" i="21"/>
  <c r="H64" i="21"/>
  <c r="H63" i="21"/>
  <c r="H62" i="21"/>
  <c r="D62" i="21"/>
  <c r="H61" i="21"/>
  <c r="D61" i="21"/>
  <c r="H60" i="21"/>
  <c r="H59" i="21"/>
  <c r="H57" i="21"/>
  <c r="H56" i="21"/>
  <c r="H53" i="21"/>
  <c r="H52" i="21"/>
  <c r="H48" i="21"/>
  <c r="H47" i="21"/>
  <c r="H46" i="21"/>
  <c r="H45" i="21"/>
  <c r="H44" i="21"/>
  <c r="H41" i="21"/>
  <c r="H40" i="21"/>
  <c r="H38" i="21"/>
  <c r="H37" i="21"/>
  <c r="H34" i="21"/>
  <c r="H33" i="21"/>
  <c r="H32" i="21"/>
  <c r="H31" i="21"/>
  <c r="H30" i="21"/>
  <c r="D30" i="21"/>
  <c r="H29" i="21"/>
  <c r="D29" i="21"/>
  <c r="H28" i="21"/>
  <c r="H27" i="21"/>
  <c r="H26" i="21"/>
  <c r="H25" i="21"/>
  <c r="H24" i="21"/>
  <c r="H23" i="21"/>
  <c r="H22" i="21"/>
  <c r="H21" i="21"/>
  <c r="H19" i="21"/>
  <c r="H18" i="21"/>
  <c r="H16" i="21"/>
  <c r="H15" i="21"/>
  <c r="H14" i="21"/>
  <c r="H13" i="21"/>
  <c r="H12" i="21"/>
  <c r="H11" i="21"/>
  <c r="H9" i="21"/>
  <c r="H10" i="21" s="1"/>
  <c r="H8" i="21"/>
  <c r="H6" i="21"/>
  <c r="H5" i="21"/>
  <c r="I58" i="22" l="1"/>
  <c r="J58" i="22" s="1"/>
  <c r="I74" i="22"/>
  <c r="J74" i="22" s="1"/>
  <c r="I71" i="22"/>
  <c r="J71" i="22" s="1"/>
  <c r="I20" i="22"/>
  <c r="J20" i="22" s="1"/>
  <c r="I7" i="22"/>
  <c r="J7" i="22" s="1"/>
  <c r="I10" i="22"/>
  <c r="J10" i="22" s="1"/>
  <c r="I42" i="22"/>
  <c r="J42" i="22" s="1"/>
  <c r="H20" i="21"/>
  <c r="H55" i="21"/>
  <c r="H42" i="21"/>
  <c r="H65" i="21"/>
  <c r="H74" i="21"/>
  <c r="H7" i="21"/>
  <c r="H58" i="21"/>
  <c r="H99" i="21"/>
  <c r="I91" i="21" s="1"/>
  <c r="J91" i="21" s="1"/>
  <c r="H35" i="21"/>
  <c r="I20" i="21" s="1"/>
  <c r="J20" i="21" s="1"/>
  <c r="H50" i="21"/>
  <c r="I88" i="21"/>
  <c r="J88" i="21" s="1"/>
  <c r="H17" i="21"/>
  <c r="I10" i="21" s="1"/>
  <c r="J10" i="21" s="1"/>
  <c r="H82" i="21"/>
  <c r="I74" i="21" s="1"/>
  <c r="J74" i="21" s="1"/>
  <c r="H71" i="21"/>
  <c r="I71" i="21" s="1"/>
  <c r="J71" i="21" s="1"/>
  <c r="H100" i="20"/>
  <c r="H98" i="20"/>
  <c r="H97" i="20"/>
  <c r="H96" i="20"/>
  <c r="H95" i="20"/>
  <c r="H94" i="20"/>
  <c r="H93" i="20"/>
  <c r="H92" i="20"/>
  <c r="H90" i="20"/>
  <c r="H89" i="20"/>
  <c r="H87" i="20"/>
  <c r="H86" i="20"/>
  <c r="H85" i="20"/>
  <c r="H84" i="20"/>
  <c r="H88" i="20" s="1"/>
  <c r="H81" i="20"/>
  <c r="H80" i="20"/>
  <c r="H79" i="20"/>
  <c r="H78" i="20"/>
  <c r="H77" i="20"/>
  <c r="H76" i="20"/>
  <c r="H75" i="20"/>
  <c r="H73" i="20"/>
  <c r="H72" i="20"/>
  <c r="H74" i="20" s="1"/>
  <c r="H70" i="20"/>
  <c r="H69" i="20"/>
  <c r="H68" i="20"/>
  <c r="H67" i="20"/>
  <c r="H71" i="20" s="1"/>
  <c r="H64" i="20"/>
  <c r="H63" i="20"/>
  <c r="H62" i="20"/>
  <c r="D62" i="20"/>
  <c r="H61" i="20"/>
  <c r="D61" i="20"/>
  <c r="H60" i="20"/>
  <c r="H59" i="20"/>
  <c r="H57" i="20"/>
  <c r="H56" i="20"/>
  <c r="H58" i="20" s="1"/>
  <c r="H53" i="20"/>
  <c r="H52" i="20"/>
  <c r="H55" i="20" s="1"/>
  <c r="H48" i="20"/>
  <c r="H47" i="20"/>
  <c r="H46" i="20"/>
  <c r="H45" i="20"/>
  <c r="H44" i="20"/>
  <c r="H41" i="20"/>
  <c r="H40" i="20"/>
  <c r="H42" i="20" s="1"/>
  <c r="H38" i="20"/>
  <c r="H37" i="20"/>
  <c r="H34" i="20"/>
  <c r="H33" i="20"/>
  <c r="H32" i="20"/>
  <c r="H31" i="20"/>
  <c r="H30" i="20"/>
  <c r="D30" i="20"/>
  <c r="H29" i="20"/>
  <c r="D29" i="20"/>
  <c r="H28" i="20"/>
  <c r="H27" i="20"/>
  <c r="H26" i="20"/>
  <c r="H25" i="20"/>
  <c r="H24" i="20"/>
  <c r="H23" i="20"/>
  <c r="H22" i="20"/>
  <c r="H21" i="20"/>
  <c r="H19" i="20"/>
  <c r="H18" i="20"/>
  <c r="H20" i="20" s="1"/>
  <c r="H16" i="20"/>
  <c r="H15" i="20"/>
  <c r="H14" i="20"/>
  <c r="H13" i="20"/>
  <c r="H12" i="20"/>
  <c r="H11" i="20"/>
  <c r="H9" i="20"/>
  <c r="H8" i="20"/>
  <c r="H10" i="20" s="1"/>
  <c r="H6" i="20"/>
  <c r="H5" i="20"/>
  <c r="I7" i="21" l="1"/>
  <c r="J7" i="21" s="1"/>
  <c r="I42" i="21"/>
  <c r="J42" i="21" s="1"/>
  <c r="I58" i="21"/>
  <c r="J58" i="21" s="1"/>
  <c r="H99" i="20"/>
  <c r="H17" i="20"/>
  <c r="I71" i="20"/>
  <c r="J71" i="20" s="1"/>
  <c r="H65" i="20"/>
  <c r="I58" i="20" s="1"/>
  <c r="J58" i="20" s="1"/>
  <c r="H91" i="20"/>
  <c r="I88" i="20" s="1"/>
  <c r="J88" i="20" s="1"/>
  <c r="I10" i="20"/>
  <c r="J10" i="20" s="1"/>
  <c r="H7" i="20"/>
  <c r="H35" i="20"/>
  <c r="I20" i="20" s="1"/>
  <c r="J20" i="20" s="1"/>
  <c r="H50" i="20"/>
  <c r="I42" i="20" s="1"/>
  <c r="J42" i="20" s="1"/>
  <c r="H82" i="20"/>
  <c r="I74" i="20" s="1"/>
  <c r="J74" i="20" s="1"/>
  <c r="I7" i="20"/>
  <c r="J7" i="20" s="1"/>
  <c r="H100" i="19"/>
  <c r="H98" i="19"/>
  <c r="H97" i="19"/>
  <c r="H96" i="19"/>
  <c r="H95" i="19"/>
  <c r="H94" i="19"/>
  <c r="H93" i="19"/>
  <c r="H92" i="19"/>
  <c r="H90" i="19"/>
  <c r="H89" i="19"/>
  <c r="H87" i="19"/>
  <c r="H86" i="19"/>
  <c r="H85" i="19"/>
  <c r="H84" i="19"/>
  <c r="H81" i="19"/>
  <c r="H80" i="19"/>
  <c r="H79" i="19"/>
  <c r="H78" i="19"/>
  <c r="H77" i="19"/>
  <c r="H76" i="19"/>
  <c r="H75" i="19"/>
  <c r="H73" i="19"/>
  <c r="H72" i="19"/>
  <c r="H70" i="19"/>
  <c r="H69" i="19"/>
  <c r="H68" i="19"/>
  <c r="H67" i="19"/>
  <c r="H64" i="19"/>
  <c r="H63" i="19"/>
  <c r="H62" i="19"/>
  <c r="D62" i="19"/>
  <c r="H61" i="19"/>
  <c r="D61" i="19"/>
  <c r="H60" i="19"/>
  <c r="H59" i="19"/>
  <c r="H57" i="19"/>
  <c r="H56" i="19"/>
  <c r="H53" i="19"/>
  <c r="H52" i="19"/>
  <c r="H48" i="19"/>
  <c r="H47" i="19"/>
  <c r="H46" i="19"/>
  <c r="H45" i="19"/>
  <c r="H44" i="19"/>
  <c r="H41" i="19"/>
  <c r="H40" i="19"/>
  <c r="H38" i="19"/>
  <c r="H37" i="19"/>
  <c r="H34" i="19"/>
  <c r="H33" i="19"/>
  <c r="H32" i="19"/>
  <c r="H31" i="19"/>
  <c r="H30" i="19"/>
  <c r="D30" i="19"/>
  <c r="H29" i="19"/>
  <c r="D29" i="19"/>
  <c r="H28" i="19"/>
  <c r="H27" i="19"/>
  <c r="H26" i="19"/>
  <c r="H25" i="19"/>
  <c r="H24" i="19"/>
  <c r="H23" i="19"/>
  <c r="H22" i="19"/>
  <c r="H21" i="19"/>
  <c r="H19" i="19"/>
  <c r="H18" i="19"/>
  <c r="H16" i="19"/>
  <c r="H15" i="19"/>
  <c r="H14" i="19"/>
  <c r="H13" i="19"/>
  <c r="H12" i="19"/>
  <c r="H11" i="19"/>
  <c r="H9" i="19"/>
  <c r="H8" i="19"/>
  <c r="H6" i="19"/>
  <c r="H5" i="19"/>
  <c r="H7" i="19" s="1"/>
  <c r="I91" i="20" l="1"/>
  <c r="J91" i="20" s="1"/>
  <c r="H10" i="19"/>
  <c r="H55" i="19"/>
  <c r="H74" i="19"/>
  <c r="I74" i="19" s="1"/>
  <c r="J74" i="19" s="1"/>
  <c r="H20" i="19"/>
  <c r="H42" i="19"/>
  <c r="H82" i="19"/>
  <c r="H91" i="19"/>
  <c r="H65" i="19"/>
  <c r="H99" i="19"/>
  <c r="H17" i="19"/>
  <c r="I10" i="19" s="1"/>
  <c r="J10" i="19" s="1"/>
  <c r="H35" i="19"/>
  <c r="H50" i="19"/>
  <c r="H58" i="19"/>
  <c r="H88" i="19"/>
  <c r="H71" i="19"/>
  <c r="I71" i="19" s="1"/>
  <c r="J71" i="19" s="1"/>
  <c r="I7" i="19"/>
  <c r="J7" i="19" s="1"/>
  <c r="H100" i="18"/>
  <c r="H98" i="18"/>
  <c r="H97" i="18"/>
  <c r="H96" i="18"/>
  <c r="H95" i="18"/>
  <c r="H94" i="18"/>
  <c r="H93" i="18"/>
  <c r="H92" i="18"/>
  <c r="H90" i="18"/>
  <c r="H89" i="18"/>
  <c r="H87" i="18"/>
  <c r="H86" i="18"/>
  <c r="H85" i="18"/>
  <c r="H84" i="18"/>
  <c r="H81" i="18"/>
  <c r="H80" i="18"/>
  <c r="H79" i="18"/>
  <c r="H78" i="18"/>
  <c r="H77" i="18"/>
  <c r="H76" i="18"/>
  <c r="H75" i="18"/>
  <c r="H73" i="18"/>
  <c r="H72" i="18"/>
  <c r="H70" i="18"/>
  <c r="H69" i="18"/>
  <c r="H68" i="18"/>
  <c r="H67" i="18"/>
  <c r="H64" i="18"/>
  <c r="H63" i="18"/>
  <c r="H62" i="18"/>
  <c r="D62" i="18"/>
  <c r="H61" i="18"/>
  <c r="D61" i="18"/>
  <c r="H60" i="18"/>
  <c r="H59" i="18"/>
  <c r="H57" i="18"/>
  <c r="H56" i="18"/>
  <c r="H58" i="18" s="1"/>
  <c r="H53" i="18"/>
  <c r="H52" i="18"/>
  <c r="H48" i="18"/>
  <c r="H47" i="18"/>
  <c r="H46" i="18"/>
  <c r="H45" i="18"/>
  <c r="H44" i="18"/>
  <c r="H41" i="18"/>
  <c r="H40" i="18"/>
  <c r="H38" i="18"/>
  <c r="H37" i="18"/>
  <c r="H34" i="18"/>
  <c r="H33" i="18"/>
  <c r="H32" i="18"/>
  <c r="H31" i="18"/>
  <c r="H30" i="18"/>
  <c r="D30" i="18"/>
  <c r="H29" i="18"/>
  <c r="D29" i="18"/>
  <c r="H28" i="18"/>
  <c r="H27" i="18"/>
  <c r="H26" i="18"/>
  <c r="H25" i="18"/>
  <c r="H24" i="18"/>
  <c r="H23" i="18"/>
  <c r="H22" i="18"/>
  <c r="H21" i="18"/>
  <c r="H19" i="18"/>
  <c r="H18" i="18"/>
  <c r="H16" i="18"/>
  <c r="H15" i="18"/>
  <c r="H14" i="18"/>
  <c r="H13" i="18"/>
  <c r="H12" i="18"/>
  <c r="H11" i="18"/>
  <c r="H9" i="18"/>
  <c r="H8" i="18"/>
  <c r="H6" i="18"/>
  <c r="H5" i="18"/>
  <c r="H7" i="18" s="1"/>
  <c r="I42" i="19" l="1"/>
  <c r="J42" i="19" s="1"/>
  <c r="I58" i="19"/>
  <c r="J58" i="19"/>
  <c r="I91" i="19"/>
  <c r="J91" i="19" s="1"/>
  <c r="I20" i="19"/>
  <c r="J20" i="19" s="1"/>
  <c r="I88" i="19"/>
  <c r="J88" i="19" s="1"/>
  <c r="H10" i="18"/>
  <c r="I7" i="18" s="1"/>
  <c r="J7" i="18" s="1"/>
  <c r="H20" i="18"/>
  <c r="H42" i="18"/>
  <c r="H55" i="18"/>
  <c r="H99" i="18"/>
  <c r="H65" i="18"/>
  <c r="H74" i="18"/>
  <c r="H88" i="18"/>
  <c r="H91" i="18"/>
  <c r="H50" i="18"/>
  <c r="I42" i="18" s="1"/>
  <c r="J42" i="18" s="1"/>
  <c r="H35" i="18"/>
  <c r="I20" i="18" s="1"/>
  <c r="J20" i="18" s="1"/>
  <c r="H82" i="18"/>
  <c r="H17" i="18"/>
  <c r="I10" i="18" s="1"/>
  <c r="J10" i="18" s="1"/>
  <c r="H71" i="18"/>
  <c r="H100" i="17"/>
  <c r="H98" i="17"/>
  <c r="H97" i="17"/>
  <c r="H96" i="17"/>
  <c r="H95" i="17"/>
  <c r="H94" i="17"/>
  <c r="H93" i="17"/>
  <c r="H92" i="17"/>
  <c r="H90" i="17"/>
  <c r="H89" i="17"/>
  <c r="H87" i="17"/>
  <c r="H86" i="17"/>
  <c r="H85" i="17"/>
  <c r="H84" i="17"/>
  <c r="H81" i="17"/>
  <c r="H80" i="17"/>
  <c r="H79" i="17"/>
  <c r="H78" i="17"/>
  <c r="H77" i="17"/>
  <c r="H76" i="17"/>
  <c r="H75" i="17"/>
  <c r="H73" i="17"/>
  <c r="H72" i="17"/>
  <c r="H74" i="17" s="1"/>
  <c r="H70" i="17"/>
  <c r="H69" i="17"/>
  <c r="H68" i="17"/>
  <c r="H67" i="17"/>
  <c r="H64" i="17"/>
  <c r="H63" i="17"/>
  <c r="H62" i="17"/>
  <c r="D62" i="17"/>
  <c r="H61" i="17"/>
  <c r="D61" i="17"/>
  <c r="H60" i="17"/>
  <c r="H59" i="17"/>
  <c r="H57" i="17"/>
  <c r="H56" i="17"/>
  <c r="H53" i="17"/>
  <c r="H52" i="17"/>
  <c r="H48" i="17"/>
  <c r="H47" i="17"/>
  <c r="H46" i="17"/>
  <c r="H45" i="17"/>
  <c r="H44" i="17"/>
  <c r="H41" i="17"/>
  <c r="H40" i="17"/>
  <c r="H38" i="17"/>
  <c r="H37" i="17"/>
  <c r="H34" i="17"/>
  <c r="H33" i="17"/>
  <c r="H32" i="17"/>
  <c r="H31" i="17"/>
  <c r="H30" i="17"/>
  <c r="D30" i="17"/>
  <c r="H29" i="17"/>
  <c r="D29" i="17"/>
  <c r="H28" i="17"/>
  <c r="H27" i="17"/>
  <c r="H26" i="17"/>
  <c r="H25" i="17"/>
  <c r="H24" i="17"/>
  <c r="H23" i="17"/>
  <c r="H22" i="17"/>
  <c r="H21" i="17"/>
  <c r="H19" i="17"/>
  <c r="H18" i="17"/>
  <c r="H16" i="17"/>
  <c r="H15" i="17"/>
  <c r="H14" i="17"/>
  <c r="H13" i="17"/>
  <c r="H12" i="17"/>
  <c r="H11" i="17"/>
  <c r="H9" i="17"/>
  <c r="H8" i="17"/>
  <c r="H6" i="17"/>
  <c r="H5" i="17"/>
  <c r="H7" i="17" s="1"/>
  <c r="I58" i="18" l="1"/>
  <c r="J58" i="18" s="1"/>
  <c r="I91" i="18"/>
  <c r="J91" i="18" s="1"/>
  <c r="I88" i="18"/>
  <c r="J88" i="18" s="1"/>
  <c r="I71" i="18"/>
  <c r="J71" i="18" s="1"/>
  <c r="I74" i="18"/>
  <c r="J74" i="18" s="1"/>
  <c r="H20" i="17"/>
  <c r="H42" i="17"/>
  <c r="H55" i="17"/>
  <c r="H65" i="17"/>
  <c r="H10" i="17"/>
  <c r="H91" i="17"/>
  <c r="H17" i="17"/>
  <c r="H35" i="17"/>
  <c r="H50" i="17"/>
  <c r="H58" i="17"/>
  <c r="H88" i="17"/>
  <c r="H99" i="17"/>
  <c r="H71" i="17"/>
  <c r="I71" i="17" s="1"/>
  <c r="J71" i="17" s="1"/>
  <c r="H82" i="17"/>
  <c r="I74" i="17" s="1"/>
  <c r="J74" i="17" s="1"/>
  <c r="H100" i="16"/>
  <c r="H98" i="16"/>
  <c r="H97" i="16"/>
  <c r="H96" i="16"/>
  <c r="H95" i="16"/>
  <c r="H94" i="16"/>
  <c r="H93" i="16"/>
  <c r="H92" i="16"/>
  <c r="H90" i="16"/>
  <c r="H89" i="16"/>
  <c r="H87" i="16"/>
  <c r="H86" i="16"/>
  <c r="H85" i="16"/>
  <c r="H84" i="16"/>
  <c r="H88" i="16" s="1"/>
  <c r="H81" i="16"/>
  <c r="H80" i="16"/>
  <c r="H79" i="16"/>
  <c r="H78" i="16"/>
  <c r="H77" i="16"/>
  <c r="H76" i="16"/>
  <c r="H75" i="16"/>
  <c r="H73" i="16"/>
  <c r="H72" i="16"/>
  <c r="H70" i="16"/>
  <c r="H69" i="16"/>
  <c r="H68" i="16"/>
  <c r="H67" i="16"/>
  <c r="H64" i="16"/>
  <c r="H63" i="16"/>
  <c r="H62" i="16"/>
  <c r="D62" i="16"/>
  <c r="H61" i="16"/>
  <c r="D61" i="16"/>
  <c r="H60" i="16"/>
  <c r="H59" i="16"/>
  <c r="H57" i="16"/>
  <c r="H56" i="16"/>
  <c r="H53" i="16"/>
  <c r="H52" i="16"/>
  <c r="H48" i="16"/>
  <c r="H47" i="16"/>
  <c r="H46" i="16"/>
  <c r="H45" i="16"/>
  <c r="H44" i="16"/>
  <c r="H41" i="16"/>
  <c r="H40" i="16"/>
  <c r="H38" i="16"/>
  <c r="H37" i="16"/>
  <c r="H34" i="16"/>
  <c r="H33" i="16"/>
  <c r="H32" i="16"/>
  <c r="H31" i="16"/>
  <c r="H30" i="16"/>
  <c r="D30" i="16"/>
  <c r="H29" i="16"/>
  <c r="D29" i="16"/>
  <c r="H28" i="16"/>
  <c r="H27" i="16"/>
  <c r="H26" i="16"/>
  <c r="H25" i="16"/>
  <c r="H24" i="16"/>
  <c r="H23" i="16"/>
  <c r="H22" i="16"/>
  <c r="H21" i="16"/>
  <c r="H19" i="16"/>
  <c r="H18" i="16"/>
  <c r="H16" i="16"/>
  <c r="H15" i="16"/>
  <c r="H14" i="16"/>
  <c r="H13" i="16"/>
  <c r="H12" i="16"/>
  <c r="H11" i="16"/>
  <c r="H9" i="16"/>
  <c r="H8" i="16"/>
  <c r="H6" i="16"/>
  <c r="H5" i="16"/>
  <c r="I10" i="17" l="1"/>
  <c r="J10" i="17" s="1"/>
  <c r="I7" i="17"/>
  <c r="J7" i="17" s="1"/>
  <c r="I20" i="17"/>
  <c r="J20" i="17" s="1"/>
  <c r="I42" i="17"/>
  <c r="J42" i="17" s="1"/>
  <c r="I58" i="17"/>
  <c r="J58" i="17"/>
  <c r="I91" i="17"/>
  <c r="J91" i="17" s="1"/>
  <c r="I88" i="17"/>
  <c r="J88" i="17" s="1"/>
  <c r="H71" i="16"/>
  <c r="H74" i="16"/>
  <c r="H91" i="16"/>
  <c r="I88" i="16" s="1"/>
  <c r="J88" i="16" s="1"/>
  <c r="H55" i="16"/>
  <c r="H58" i="16"/>
  <c r="I74" i="16"/>
  <c r="J74" i="16" s="1"/>
  <c r="H7" i="16"/>
  <c r="H82" i="16"/>
  <c r="H20" i="16"/>
  <c r="H99" i="16"/>
  <c r="H17" i="16"/>
  <c r="H35" i="16"/>
  <c r="H50" i="16"/>
  <c r="H10" i="16"/>
  <c r="H42" i="16"/>
  <c r="H65" i="16"/>
  <c r="I58" i="16" s="1"/>
  <c r="J58" i="16" s="1"/>
  <c r="I71" i="16"/>
  <c r="J71" i="16" s="1"/>
  <c r="H100" i="15"/>
  <c r="H98" i="15"/>
  <c r="H97" i="15"/>
  <c r="H96" i="15"/>
  <c r="H95" i="15"/>
  <c r="H94" i="15"/>
  <c r="H93" i="15"/>
  <c r="H92" i="15"/>
  <c r="H90" i="15"/>
  <c r="H89" i="15"/>
  <c r="H87" i="15"/>
  <c r="H86" i="15"/>
  <c r="H85" i="15"/>
  <c r="H84" i="15"/>
  <c r="H81" i="15"/>
  <c r="H80" i="15"/>
  <c r="H79" i="15"/>
  <c r="H78" i="15"/>
  <c r="H77" i="15"/>
  <c r="H76" i="15"/>
  <c r="H75" i="15"/>
  <c r="H73" i="15"/>
  <c r="H72" i="15"/>
  <c r="H70" i="15"/>
  <c r="H69" i="15"/>
  <c r="H68" i="15"/>
  <c r="H67" i="15"/>
  <c r="H64" i="15"/>
  <c r="H63" i="15"/>
  <c r="H62" i="15"/>
  <c r="D62" i="15"/>
  <c r="H61" i="15"/>
  <c r="D61" i="15"/>
  <c r="H60" i="15"/>
  <c r="H59" i="15"/>
  <c r="H57" i="15"/>
  <c r="H56" i="15"/>
  <c r="H53" i="15"/>
  <c r="H52" i="15"/>
  <c r="H48" i="15"/>
  <c r="H47" i="15"/>
  <c r="H46" i="15"/>
  <c r="H45" i="15"/>
  <c r="H44" i="15"/>
  <c r="H41" i="15"/>
  <c r="H40" i="15"/>
  <c r="H38" i="15"/>
  <c r="H37" i="15"/>
  <c r="H34" i="15"/>
  <c r="H33" i="15"/>
  <c r="H32" i="15"/>
  <c r="H31" i="15"/>
  <c r="H30" i="15"/>
  <c r="D30" i="15"/>
  <c r="H29" i="15"/>
  <c r="D29" i="15"/>
  <c r="H28" i="15"/>
  <c r="H27" i="15"/>
  <c r="H26" i="15"/>
  <c r="H25" i="15"/>
  <c r="H24" i="15"/>
  <c r="H23" i="15"/>
  <c r="H22" i="15"/>
  <c r="H21" i="15"/>
  <c r="H19" i="15"/>
  <c r="H18" i="15"/>
  <c r="H16" i="15"/>
  <c r="H15" i="15"/>
  <c r="H14" i="15"/>
  <c r="H13" i="15"/>
  <c r="H12" i="15"/>
  <c r="H11" i="15"/>
  <c r="H9" i="15"/>
  <c r="H8" i="15"/>
  <c r="H6" i="15"/>
  <c r="H5" i="15"/>
  <c r="H7" i="15" s="1"/>
  <c r="I7" i="16" l="1"/>
  <c r="J7" i="16" s="1"/>
  <c r="I91" i="16"/>
  <c r="J91" i="16" s="1"/>
  <c r="I10" i="16"/>
  <c r="J10" i="16" s="1"/>
  <c r="I42" i="16"/>
  <c r="J42" i="16" s="1"/>
  <c r="I20" i="16"/>
  <c r="J20" i="16" s="1"/>
  <c r="H55" i="15"/>
  <c r="H74" i="15"/>
  <c r="H10" i="15"/>
  <c r="H20" i="15"/>
  <c r="H42" i="15"/>
  <c r="H82" i="15"/>
  <c r="H91" i="15"/>
  <c r="H65" i="15"/>
  <c r="H99" i="15"/>
  <c r="H17" i="15"/>
  <c r="H35" i="15"/>
  <c r="H50" i="15"/>
  <c r="I42" i="15" s="1"/>
  <c r="J42" i="15" s="1"/>
  <c r="H58" i="15"/>
  <c r="H88" i="15"/>
  <c r="H71" i="15"/>
  <c r="I74" i="15"/>
  <c r="J74" i="15" s="1"/>
  <c r="H100" i="14"/>
  <c r="H98" i="14"/>
  <c r="H97" i="14"/>
  <c r="H96" i="14"/>
  <c r="H95" i="14"/>
  <c r="H94" i="14"/>
  <c r="H93" i="14"/>
  <c r="H92" i="14"/>
  <c r="H90" i="14"/>
  <c r="H89" i="14"/>
  <c r="H91" i="14" s="1"/>
  <c r="H87" i="14"/>
  <c r="H86" i="14"/>
  <c r="H85" i="14"/>
  <c r="H84" i="14"/>
  <c r="H81" i="14"/>
  <c r="H80" i="14"/>
  <c r="H79" i="14"/>
  <c r="H78" i="14"/>
  <c r="H77" i="14"/>
  <c r="H76" i="14"/>
  <c r="H75" i="14"/>
  <c r="H73" i="14"/>
  <c r="H72" i="14"/>
  <c r="H70" i="14"/>
  <c r="H69" i="14"/>
  <c r="H68" i="14"/>
  <c r="H67" i="14"/>
  <c r="H64" i="14"/>
  <c r="H63" i="14"/>
  <c r="H62" i="14"/>
  <c r="D62" i="14"/>
  <c r="H61" i="14"/>
  <c r="D61" i="14"/>
  <c r="H60" i="14"/>
  <c r="H59" i="14"/>
  <c r="H57" i="14"/>
  <c r="H56" i="14"/>
  <c r="H53" i="14"/>
  <c r="H52" i="14"/>
  <c r="H48" i="14"/>
  <c r="H47" i="14"/>
  <c r="H46" i="14"/>
  <c r="H45" i="14"/>
  <c r="H44" i="14"/>
  <c r="H41" i="14"/>
  <c r="H40" i="14"/>
  <c r="H38" i="14"/>
  <c r="H37" i="14"/>
  <c r="H34" i="14"/>
  <c r="H33" i="14"/>
  <c r="H32" i="14"/>
  <c r="H31" i="14"/>
  <c r="H30" i="14"/>
  <c r="D30" i="14"/>
  <c r="H29" i="14"/>
  <c r="D29" i="14"/>
  <c r="H28" i="14"/>
  <c r="H27" i="14"/>
  <c r="H26" i="14"/>
  <c r="H25" i="14"/>
  <c r="H24" i="14"/>
  <c r="H23" i="14"/>
  <c r="H22" i="14"/>
  <c r="H21" i="14"/>
  <c r="H19" i="14"/>
  <c r="H18" i="14"/>
  <c r="H16" i="14"/>
  <c r="H15" i="14"/>
  <c r="H14" i="14"/>
  <c r="H13" i="14"/>
  <c r="H12" i="14"/>
  <c r="H11" i="14"/>
  <c r="H9" i="14"/>
  <c r="H8" i="14"/>
  <c r="H6" i="14"/>
  <c r="H5" i="14"/>
  <c r="I20" i="15" l="1"/>
  <c r="J20" i="15" s="1"/>
  <c r="I7" i="15"/>
  <c r="J7" i="15" s="1"/>
  <c r="I58" i="15"/>
  <c r="J58" i="15" s="1"/>
  <c r="I91" i="15"/>
  <c r="J91" i="15" s="1"/>
  <c r="I71" i="15"/>
  <c r="J71" i="15" s="1"/>
  <c r="I88" i="15"/>
  <c r="J88" i="15" s="1"/>
  <c r="I10" i="15"/>
  <c r="J10" i="15" s="1"/>
  <c r="H7" i="14"/>
  <c r="H10" i="14"/>
  <c r="H55" i="14"/>
  <c r="H58" i="14"/>
  <c r="H74" i="14"/>
  <c r="H88" i="14"/>
  <c r="H42" i="14"/>
  <c r="H17" i="14"/>
  <c r="H35" i="14"/>
  <c r="H50" i="14"/>
  <c r="H65" i="14"/>
  <c r="I58" i="14" s="1"/>
  <c r="J58" i="14" s="1"/>
  <c r="H99" i="14"/>
  <c r="I91" i="14" s="1"/>
  <c r="J91" i="14" s="1"/>
  <c r="H20" i="14"/>
  <c r="H82" i="14"/>
  <c r="I88" i="14"/>
  <c r="J88" i="14" s="1"/>
  <c r="H71" i="14"/>
  <c r="H100" i="13"/>
  <c r="H98" i="13"/>
  <c r="H97" i="13"/>
  <c r="H96" i="13"/>
  <c r="H95" i="13"/>
  <c r="H94" i="13"/>
  <c r="H93" i="13"/>
  <c r="H92" i="13"/>
  <c r="H90" i="13"/>
  <c r="H89" i="13"/>
  <c r="H87" i="13"/>
  <c r="H86" i="13"/>
  <c r="H85" i="13"/>
  <c r="H84" i="13"/>
  <c r="H81" i="13"/>
  <c r="H80" i="13"/>
  <c r="H79" i="13"/>
  <c r="H78" i="13"/>
  <c r="H77" i="13"/>
  <c r="H76" i="13"/>
  <c r="H75" i="13"/>
  <c r="H73" i="13"/>
  <c r="H72" i="13"/>
  <c r="H70" i="13"/>
  <c r="H69" i="13"/>
  <c r="H68" i="13"/>
  <c r="H67" i="13"/>
  <c r="H64" i="13"/>
  <c r="H63" i="13"/>
  <c r="H62" i="13"/>
  <c r="D62" i="13"/>
  <c r="H61" i="13"/>
  <c r="D61" i="13"/>
  <c r="H60" i="13"/>
  <c r="H59" i="13"/>
  <c r="H57" i="13"/>
  <c r="H56" i="13"/>
  <c r="H58" i="13" s="1"/>
  <c r="H53" i="13"/>
  <c r="H52" i="13"/>
  <c r="H55" i="13" s="1"/>
  <c r="H48" i="13"/>
  <c r="H47" i="13"/>
  <c r="H46" i="13"/>
  <c r="H45" i="13"/>
  <c r="H44" i="13"/>
  <c r="H41" i="13"/>
  <c r="H40" i="13"/>
  <c r="H38" i="13"/>
  <c r="H37" i="13"/>
  <c r="H34" i="13"/>
  <c r="H33" i="13"/>
  <c r="H32" i="13"/>
  <c r="H31" i="13"/>
  <c r="H30" i="13"/>
  <c r="D30" i="13"/>
  <c r="H29" i="13"/>
  <c r="D29" i="13"/>
  <c r="H28" i="13"/>
  <c r="H27" i="13"/>
  <c r="H26" i="13"/>
  <c r="H25" i="13"/>
  <c r="H24" i="13"/>
  <c r="H23" i="13"/>
  <c r="H22" i="13"/>
  <c r="H21" i="13"/>
  <c r="H19" i="13"/>
  <c r="H18" i="13"/>
  <c r="H16" i="13"/>
  <c r="H15" i="13"/>
  <c r="H14" i="13"/>
  <c r="H13" i="13"/>
  <c r="H12" i="13"/>
  <c r="H11" i="13"/>
  <c r="H9" i="13"/>
  <c r="H8" i="13"/>
  <c r="H6" i="13"/>
  <c r="H5" i="13"/>
  <c r="H7" i="13" s="1"/>
  <c r="I7" i="14" l="1"/>
  <c r="J7" i="14" s="1"/>
  <c r="I10" i="14"/>
  <c r="J10" i="14" s="1"/>
  <c r="I42" i="14"/>
  <c r="J42" i="14" s="1"/>
  <c r="I71" i="14"/>
  <c r="J71" i="14" s="1"/>
  <c r="I74" i="14"/>
  <c r="J74" i="14" s="1"/>
  <c r="I20" i="14"/>
  <c r="J20" i="14" s="1"/>
  <c r="H10" i="13"/>
  <c r="H20" i="13"/>
  <c r="H42" i="13"/>
  <c r="H99" i="13"/>
  <c r="H65" i="13"/>
  <c r="H74" i="13"/>
  <c r="H88" i="13"/>
  <c r="H91" i="13"/>
  <c r="I88" i="13" s="1"/>
  <c r="J88" i="13" s="1"/>
  <c r="H17" i="13"/>
  <c r="I10" i="13" s="1"/>
  <c r="J10" i="13" s="1"/>
  <c r="H82" i="13"/>
  <c r="H35" i="13"/>
  <c r="H50" i="13"/>
  <c r="H71" i="13"/>
  <c r="I58" i="13"/>
  <c r="J58" i="13" s="1"/>
  <c r="H100" i="12"/>
  <c r="H98" i="12"/>
  <c r="H97" i="12"/>
  <c r="H96" i="12"/>
  <c r="H95" i="12"/>
  <c r="H94" i="12"/>
  <c r="H93" i="12"/>
  <c r="H92" i="12"/>
  <c r="H90" i="12"/>
  <c r="H89" i="12"/>
  <c r="H87" i="12"/>
  <c r="H86" i="12"/>
  <c r="H85" i="12"/>
  <c r="H84" i="12"/>
  <c r="H81" i="12"/>
  <c r="H80" i="12"/>
  <c r="H79" i="12"/>
  <c r="H78" i="12"/>
  <c r="H77" i="12"/>
  <c r="H76" i="12"/>
  <c r="H75" i="12"/>
  <c r="H73" i="12"/>
  <c r="H72" i="12"/>
  <c r="H70" i="12"/>
  <c r="H69" i="12"/>
  <c r="H68" i="12"/>
  <c r="H67" i="12"/>
  <c r="H64" i="12"/>
  <c r="H63" i="12"/>
  <c r="H62" i="12"/>
  <c r="D62" i="12"/>
  <c r="H61" i="12"/>
  <c r="D61" i="12"/>
  <c r="H60" i="12"/>
  <c r="H59" i="12"/>
  <c r="H57" i="12"/>
  <c r="H56" i="12"/>
  <c r="H53" i="12"/>
  <c r="H52" i="12"/>
  <c r="H48" i="12"/>
  <c r="H47" i="12"/>
  <c r="H46" i="12"/>
  <c r="H45" i="12"/>
  <c r="H44" i="12"/>
  <c r="H41" i="12"/>
  <c r="H40" i="12"/>
  <c r="H38" i="12"/>
  <c r="H37" i="12"/>
  <c r="H34" i="12"/>
  <c r="H33" i="12"/>
  <c r="H32" i="12"/>
  <c r="H31" i="12"/>
  <c r="H30" i="12"/>
  <c r="D30" i="12"/>
  <c r="H29" i="12"/>
  <c r="D29" i="12"/>
  <c r="H28" i="12"/>
  <c r="H27" i="12"/>
  <c r="H26" i="12"/>
  <c r="H25" i="12"/>
  <c r="H24" i="12"/>
  <c r="H23" i="12"/>
  <c r="H22" i="12"/>
  <c r="H21" i="12"/>
  <c r="H19" i="12"/>
  <c r="H18" i="12"/>
  <c r="H16" i="12"/>
  <c r="H15" i="12"/>
  <c r="H14" i="12"/>
  <c r="H13" i="12"/>
  <c r="H12" i="12"/>
  <c r="H11" i="12"/>
  <c r="H9" i="12"/>
  <c r="H8" i="12"/>
  <c r="H6" i="12"/>
  <c r="H5" i="12"/>
  <c r="I7" i="13" l="1"/>
  <c r="J7" i="13" s="1"/>
  <c r="I20" i="13"/>
  <c r="J20" i="13" s="1"/>
  <c r="I42" i="13"/>
  <c r="J42" i="13" s="1"/>
  <c r="I71" i="13"/>
  <c r="J71" i="13" s="1"/>
  <c r="I91" i="13"/>
  <c r="J91" i="13" s="1"/>
  <c r="I74" i="13"/>
  <c r="J74" i="13" s="1"/>
  <c r="H10" i="12"/>
  <c r="H42" i="12"/>
  <c r="H50" i="12"/>
  <c r="H55" i="12"/>
  <c r="H71" i="12"/>
  <c r="H74" i="12"/>
  <c r="I71" i="12" s="1"/>
  <c r="J71" i="12" s="1"/>
  <c r="I42" i="12"/>
  <c r="J42" i="12" s="1"/>
  <c r="H20" i="12"/>
  <c r="H82" i="12"/>
  <c r="H91" i="12"/>
  <c r="H7" i="12"/>
  <c r="H35" i="12"/>
  <c r="I20" i="12" s="1"/>
  <c r="J20" i="12" s="1"/>
  <c r="H65" i="12"/>
  <c r="I58" i="12" s="1"/>
  <c r="H99" i="12"/>
  <c r="I91" i="12" s="1"/>
  <c r="J91" i="12" s="1"/>
  <c r="H58" i="12"/>
  <c r="H88" i="12"/>
  <c r="H17" i="12"/>
  <c r="I10" i="12" s="1"/>
  <c r="J10" i="12" s="1"/>
  <c r="H100" i="11"/>
  <c r="H98" i="11"/>
  <c r="H97" i="11"/>
  <c r="H96" i="11"/>
  <c r="H95" i="11"/>
  <c r="H94" i="11"/>
  <c r="H93" i="11"/>
  <c r="H92" i="11"/>
  <c r="H90" i="11"/>
  <c r="H89" i="11"/>
  <c r="H87" i="11"/>
  <c r="H86" i="11"/>
  <c r="H85" i="11"/>
  <c r="H84" i="11"/>
  <c r="H81" i="11"/>
  <c r="H80" i="11"/>
  <c r="H79" i="11"/>
  <c r="H78" i="11"/>
  <c r="H77" i="11"/>
  <c r="H76" i="11"/>
  <c r="H75" i="11"/>
  <c r="H73" i="11"/>
  <c r="H74" i="11" s="1"/>
  <c r="H72" i="11"/>
  <c r="H70" i="11"/>
  <c r="H69" i="11"/>
  <c r="H68" i="11"/>
  <c r="H67" i="11"/>
  <c r="H64" i="11"/>
  <c r="H63" i="11"/>
  <c r="H62" i="11"/>
  <c r="D62" i="11"/>
  <c r="H61" i="11"/>
  <c r="D61" i="11"/>
  <c r="H60" i="11"/>
  <c r="H59" i="11"/>
  <c r="H57" i="11"/>
  <c r="H56" i="11"/>
  <c r="H53" i="11"/>
  <c r="H52" i="11"/>
  <c r="H48" i="11"/>
  <c r="H47" i="11"/>
  <c r="H46" i="11"/>
  <c r="H45" i="11"/>
  <c r="H44" i="11"/>
  <c r="H41" i="11"/>
  <c r="H40" i="11"/>
  <c r="H38" i="11"/>
  <c r="H37" i="11"/>
  <c r="H34" i="11"/>
  <c r="H33" i="11"/>
  <c r="H32" i="11"/>
  <c r="H31" i="11"/>
  <c r="H30" i="11"/>
  <c r="D30" i="11"/>
  <c r="H29" i="11"/>
  <c r="D29" i="11"/>
  <c r="H28" i="11"/>
  <c r="H27" i="11"/>
  <c r="H26" i="11"/>
  <c r="H25" i="11"/>
  <c r="H24" i="11"/>
  <c r="H23" i="11"/>
  <c r="H22" i="11"/>
  <c r="H21" i="11"/>
  <c r="H19" i="11"/>
  <c r="H18" i="11"/>
  <c r="H16" i="11"/>
  <c r="H15" i="11"/>
  <c r="H14" i="11"/>
  <c r="H13" i="11"/>
  <c r="H12" i="11"/>
  <c r="H11" i="11"/>
  <c r="H9" i="11"/>
  <c r="H8" i="11"/>
  <c r="H6" i="11"/>
  <c r="H5" i="11"/>
  <c r="H7" i="11" s="1"/>
  <c r="I7" i="12" l="1"/>
  <c r="J7" i="12" s="1"/>
  <c r="J58" i="12"/>
  <c r="I74" i="12"/>
  <c r="J74" i="12" s="1"/>
  <c r="I88" i="12"/>
  <c r="J88" i="12" s="1"/>
  <c r="H55" i="11"/>
  <c r="H88" i="11"/>
  <c r="I88" i="11" s="1"/>
  <c r="J88" i="11" s="1"/>
  <c r="H91" i="11"/>
  <c r="H17" i="11"/>
  <c r="I10" i="11" s="1"/>
  <c r="J10" i="11" s="1"/>
  <c r="H35" i="11"/>
  <c r="H50" i="11"/>
  <c r="H65" i="11"/>
  <c r="H99" i="11"/>
  <c r="I91" i="11" s="1"/>
  <c r="J91" i="11" s="1"/>
  <c r="H58" i="11"/>
  <c r="H10" i="11"/>
  <c r="H20" i="11"/>
  <c r="H42" i="11"/>
  <c r="I42" i="11" s="1"/>
  <c r="J42" i="11" s="1"/>
  <c r="H71" i="11"/>
  <c r="I71" i="11" s="1"/>
  <c r="J71" i="11" s="1"/>
  <c r="H82" i="11"/>
  <c r="I74" i="11" s="1"/>
  <c r="J74" i="11" s="1"/>
  <c r="H100" i="10"/>
  <c r="H98" i="10"/>
  <c r="H97" i="10"/>
  <c r="H96" i="10"/>
  <c r="H95" i="10"/>
  <c r="H94" i="10"/>
  <c r="H93" i="10"/>
  <c r="H92" i="10"/>
  <c r="H90" i="10"/>
  <c r="H89" i="10"/>
  <c r="H87" i="10"/>
  <c r="H86" i="10"/>
  <c r="H85" i="10"/>
  <c r="H84" i="10"/>
  <c r="H81" i="10"/>
  <c r="H80" i="10"/>
  <c r="H79" i="10"/>
  <c r="H78" i="10"/>
  <c r="H77" i="10"/>
  <c r="H76" i="10"/>
  <c r="H75" i="10"/>
  <c r="H73" i="10"/>
  <c r="H72" i="10"/>
  <c r="H70" i="10"/>
  <c r="H69" i="10"/>
  <c r="H68" i="10"/>
  <c r="H67" i="10"/>
  <c r="H71" i="10" s="1"/>
  <c r="H64" i="10"/>
  <c r="H63" i="10"/>
  <c r="H62" i="10"/>
  <c r="D62" i="10"/>
  <c r="H61" i="10"/>
  <c r="D61" i="10"/>
  <c r="H60" i="10"/>
  <c r="H59" i="10"/>
  <c r="H57" i="10"/>
  <c r="H56" i="10"/>
  <c r="H53" i="10"/>
  <c r="H52" i="10"/>
  <c r="H55" i="10" s="1"/>
  <c r="H48" i="10"/>
  <c r="H47" i="10"/>
  <c r="H46" i="10"/>
  <c r="H45" i="10"/>
  <c r="H44" i="10"/>
  <c r="H41" i="10"/>
  <c r="H40" i="10"/>
  <c r="H42" i="10" s="1"/>
  <c r="H38" i="10"/>
  <c r="H37" i="10"/>
  <c r="H34" i="10"/>
  <c r="H33" i="10"/>
  <c r="H32" i="10"/>
  <c r="H31" i="10"/>
  <c r="H30" i="10"/>
  <c r="D30" i="10"/>
  <c r="H29" i="10"/>
  <c r="D29" i="10"/>
  <c r="H28" i="10"/>
  <c r="H27" i="10"/>
  <c r="H26" i="10"/>
  <c r="H25" i="10"/>
  <c r="H24" i="10"/>
  <c r="H23" i="10"/>
  <c r="H22" i="10"/>
  <c r="H21" i="10"/>
  <c r="H19" i="10"/>
  <c r="H18" i="10"/>
  <c r="H16" i="10"/>
  <c r="H15" i="10"/>
  <c r="H14" i="10"/>
  <c r="H13" i="10"/>
  <c r="H12" i="10"/>
  <c r="H11" i="10"/>
  <c r="H9" i="10"/>
  <c r="H8" i="10"/>
  <c r="H10" i="10" s="1"/>
  <c r="H6" i="10"/>
  <c r="H5" i="10"/>
  <c r="I20" i="11" l="1"/>
  <c r="J20" i="11" s="1"/>
  <c r="I58" i="11"/>
  <c r="J58" i="11"/>
  <c r="I7" i="11"/>
  <c r="J7" i="11" s="1"/>
  <c r="H91" i="10"/>
  <c r="H74" i="10"/>
  <c r="I71" i="10" s="1"/>
  <c r="J71" i="10" s="1"/>
  <c r="H7" i="10"/>
  <c r="H58" i="10"/>
  <c r="H20" i="10"/>
  <c r="H17" i="10"/>
  <c r="I10" i="10" s="1"/>
  <c r="J10" i="10" s="1"/>
  <c r="H35" i="10"/>
  <c r="I20" i="10" s="1"/>
  <c r="J20" i="10" s="1"/>
  <c r="H50" i="10"/>
  <c r="I42" i="10" s="1"/>
  <c r="J42" i="10" s="1"/>
  <c r="H65" i="10"/>
  <c r="I58" i="10" s="1"/>
  <c r="H88" i="10"/>
  <c r="I88" i="10" s="1"/>
  <c r="J88" i="10" s="1"/>
  <c r="H99" i="10"/>
  <c r="I91" i="10" s="1"/>
  <c r="J91" i="10" s="1"/>
  <c r="H82" i="10"/>
  <c r="I74" i="10"/>
  <c r="J74" i="10" s="1"/>
  <c r="I7" i="10"/>
  <c r="J7" i="10" s="1"/>
  <c r="H100" i="9"/>
  <c r="H98" i="9"/>
  <c r="H97" i="9"/>
  <c r="H96" i="9"/>
  <c r="H95" i="9"/>
  <c r="H94" i="9"/>
  <c r="H93" i="9"/>
  <c r="H92" i="9"/>
  <c r="H90" i="9"/>
  <c r="H89" i="9"/>
  <c r="H87" i="9"/>
  <c r="H86" i="9"/>
  <c r="H85" i="9"/>
  <c r="H84" i="9"/>
  <c r="H81" i="9"/>
  <c r="H80" i="9"/>
  <c r="H79" i="9"/>
  <c r="H78" i="9"/>
  <c r="H77" i="9"/>
  <c r="H76" i="9"/>
  <c r="H75" i="9"/>
  <c r="H73" i="9"/>
  <c r="H72" i="9"/>
  <c r="H70" i="9"/>
  <c r="H69" i="9"/>
  <c r="H68" i="9"/>
  <c r="H67" i="9"/>
  <c r="H64" i="9"/>
  <c r="H63" i="9"/>
  <c r="H62" i="9"/>
  <c r="D62" i="9"/>
  <c r="H61" i="9"/>
  <c r="D61" i="9"/>
  <c r="H60" i="9"/>
  <c r="H59" i="9"/>
  <c r="H57" i="9"/>
  <c r="H56" i="9"/>
  <c r="H53" i="9"/>
  <c r="H52" i="9"/>
  <c r="H48" i="9"/>
  <c r="H47" i="9"/>
  <c r="H46" i="9"/>
  <c r="H45" i="9"/>
  <c r="H44" i="9"/>
  <c r="H41" i="9"/>
  <c r="H42" i="9" s="1"/>
  <c r="H40" i="9"/>
  <c r="H38" i="9"/>
  <c r="H37" i="9"/>
  <c r="H34" i="9"/>
  <c r="H33" i="9"/>
  <c r="H32" i="9"/>
  <c r="H31" i="9"/>
  <c r="H30" i="9"/>
  <c r="D30" i="9"/>
  <c r="H29" i="9"/>
  <c r="D29" i="9"/>
  <c r="H28" i="9"/>
  <c r="H27" i="9"/>
  <c r="H26" i="9"/>
  <c r="H25" i="9"/>
  <c r="H24" i="9"/>
  <c r="H23" i="9"/>
  <c r="H22" i="9"/>
  <c r="H21" i="9"/>
  <c r="H19" i="9"/>
  <c r="H18" i="9"/>
  <c r="H16" i="9"/>
  <c r="H15" i="9"/>
  <c r="H14" i="9"/>
  <c r="H13" i="9"/>
  <c r="H12" i="9"/>
  <c r="H11" i="9"/>
  <c r="H9" i="9"/>
  <c r="H10" i="9" s="1"/>
  <c r="H8" i="9"/>
  <c r="H6" i="9"/>
  <c r="H5" i="9"/>
  <c r="H7" i="9" s="1"/>
  <c r="J58" i="10" l="1"/>
  <c r="H91" i="9"/>
  <c r="H74" i="9"/>
  <c r="H20" i="9"/>
  <c r="H55" i="9"/>
  <c r="H65" i="9"/>
  <c r="H17" i="9"/>
  <c r="I10" i="9" s="1"/>
  <c r="J10" i="9" s="1"/>
  <c r="H35" i="9"/>
  <c r="I20" i="9" s="1"/>
  <c r="J20" i="9" s="1"/>
  <c r="H50" i="9"/>
  <c r="I42" i="9" s="1"/>
  <c r="J42" i="9" s="1"/>
  <c r="H58" i="9"/>
  <c r="H88" i="9"/>
  <c r="I88" i="9" s="1"/>
  <c r="J88" i="9" s="1"/>
  <c r="H99" i="9"/>
  <c r="I91" i="9" s="1"/>
  <c r="J91" i="9" s="1"/>
  <c r="H71" i="9"/>
  <c r="H82" i="9"/>
  <c r="I74" i="9" s="1"/>
  <c r="J74" i="9" s="1"/>
  <c r="I7" i="9"/>
  <c r="J7" i="9" s="1"/>
  <c r="H100" i="8"/>
  <c r="H98" i="8"/>
  <c r="H97" i="8"/>
  <c r="H96" i="8"/>
  <c r="H95" i="8"/>
  <c r="H94" i="8"/>
  <c r="H93" i="8"/>
  <c r="H92" i="8"/>
  <c r="H90" i="8"/>
  <c r="H89" i="8"/>
  <c r="H87" i="8"/>
  <c r="H86" i="8"/>
  <c r="H85" i="8"/>
  <c r="H84" i="8"/>
  <c r="H81" i="8"/>
  <c r="H80" i="8"/>
  <c r="H79" i="8"/>
  <c r="H78" i="8"/>
  <c r="H77" i="8"/>
  <c r="H76" i="8"/>
  <c r="H75" i="8"/>
  <c r="H73" i="8"/>
  <c r="H72" i="8"/>
  <c r="H70" i="8"/>
  <c r="H69" i="8"/>
  <c r="H68" i="8"/>
  <c r="H67" i="8"/>
  <c r="H64" i="8"/>
  <c r="H63" i="8"/>
  <c r="H62" i="8"/>
  <c r="D62" i="8"/>
  <c r="H61" i="8"/>
  <c r="D61" i="8"/>
  <c r="H60" i="8"/>
  <c r="H59" i="8"/>
  <c r="H57" i="8"/>
  <c r="H56" i="8"/>
  <c r="H53" i="8"/>
  <c r="H52" i="8"/>
  <c r="H48" i="8"/>
  <c r="H47" i="8"/>
  <c r="H46" i="8"/>
  <c r="H45" i="8"/>
  <c r="H44" i="8"/>
  <c r="H41" i="8"/>
  <c r="H40" i="8"/>
  <c r="H38" i="8"/>
  <c r="H37" i="8"/>
  <c r="H34" i="8"/>
  <c r="H33" i="8"/>
  <c r="H32" i="8"/>
  <c r="H31" i="8"/>
  <c r="H30" i="8"/>
  <c r="D30" i="8"/>
  <c r="H29" i="8"/>
  <c r="D29" i="8"/>
  <c r="H28" i="8"/>
  <c r="H27" i="8"/>
  <c r="H26" i="8"/>
  <c r="H25" i="8"/>
  <c r="H24" i="8"/>
  <c r="H23" i="8"/>
  <c r="H22" i="8"/>
  <c r="H21" i="8"/>
  <c r="H19" i="8"/>
  <c r="H18" i="8"/>
  <c r="H16" i="8"/>
  <c r="H15" i="8"/>
  <c r="H14" i="8"/>
  <c r="H13" i="8"/>
  <c r="H12" i="8"/>
  <c r="H11" i="8"/>
  <c r="H9" i="8"/>
  <c r="H8" i="8"/>
  <c r="H6" i="8"/>
  <c r="H5" i="8"/>
  <c r="H7" i="8" s="1"/>
  <c r="I71" i="9" l="1"/>
  <c r="J71" i="9" s="1"/>
  <c r="I58" i="9"/>
  <c r="J58" i="9" s="1"/>
  <c r="H88" i="8"/>
  <c r="H91" i="8"/>
  <c r="I88" i="8" s="1"/>
  <c r="J88" i="8" s="1"/>
  <c r="H82" i="8"/>
  <c r="H17" i="8"/>
  <c r="H10" i="8"/>
  <c r="I10" i="8" s="1"/>
  <c r="J10" i="8" s="1"/>
  <c r="H20" i="8"/>
  <c r="H42" i="8"/>
  <c r="H35" i="8"/>
  <c r="H50" i="8"/>
  <c r="H55" i="8"/>
  <c r="H65" i="8"/>
  <c r="H71" i="8"/>
  <c r="H74" i="8"/>
  <c r="H99" i="8"/>
  <c r="I91" i="8" s="1"/>
  <c r="J91" i="8" s="1"/>
  <c r="H58" i="8"/>
  <c r="I20" i="8"/>
  <c r="J20" i="8" s="1"/>
  <c r="H100" i="7"/>
  <c r="H98" i="7"/>
  <c r="H97" i="7"/>
  <c r="H96" i="7"/>
  <c r="H95" i="7"/>
  <c r="H94" i="7"/>
  <c r="H93" i="7"/>
  <c r="H92" i="7"/>
  <c r="H90" i="7"/>
  <c r="H89" i="7"/>
  <c r="H87" i="7"/>
  <c r="H86" i="7"/>
  <c r="H85" i="7"/>
  <c r="H84" i="7"/>
  <c r="H81" i="7"/>
  <c r="H80" i="7"/>
  <c r="H79" i="7"/>
  <c r="H78" i="7"/>
  <c r="H77" i="7"/>
  <c r="H76" i="7"/>
  <c r="H75" i="7"/>
  <c r="H73" i="7"/>
  <c r="H72" i="7"/>
  <c r="H70" i="7"/>
  <c r="H69" i="7"/>
  <c r="H68" i="7"/>
  <c r="H67" i="7"/>
  <c r="H64" i="7"/>
  <c r="H63" i="7"/>
  <c r="H62" i="7"/>
  <c r="D62" i="7"/>
  <c r="H61" i="7"/>
  <c r="D61" i="7"/>
  <c r="H60" i="7"/>
  <c r="H59" i="7"/>
  <c r="H57" i="7"/>
  <c r="H56" i="7"/>
  <c r="H53" i="7"/>
  <c r="H52" i="7"/>
  <c r="H48" i="7"/>
  <c r="H47" i="7"/>
  <c r="H46" i="7"/>
  <c r="H45" i="7"/>
  <c r="H44" i="7"/>
  <c r="H41" i="7"/>
  <c r="H40" i="7"/>
  <c r="H38" i="7"/>
  <c r="H37" i="7"/>
  <c r="H34" i="7"/>
  <c r="H33" i="7"/>
  <c r="H32" i="7"/>
  <c r="H31" i="7"/>
  <c r="H30" i="7"/>
  <c r="D30" i="7"/>
  <c r="H29" i="7"/>
  <c r="D29" i="7"/>
  <c r="H28" i="7"/>
  <c r="H27" i="7"/>
  <c r="H26" i="7"/>
  <c r="H25" i="7"/>
  <c r="H24" i="7"/>
  <c r="H23" i="7"/>
  <c r="H22" i="7"/>
  <c r="H21" i="7"/>
  <c r="H19" i="7"/>
  <c r="H18" i="7"/>
  <c r="H16" i="7"/>
  <c r="H15" i="7"/>
  <c r="H14" i="7"/>
  <c r="H13" i="7"/>
  <c r="H12" i="7"/>
  <c r="H11" i="7"/>
  <c r="H9" i="7"/>
  <c r="H8" i="7"/>
  <c r="H6" i="7"/>
  <c r="H5" i="7"/>
  <c r="I74" i="8" l="1"/>
  <c r="J74" i="8" s="1"/>
  <c r="I7" i="8"/>
  <c r="J7" i="8" s="1"/>
  <c r="I58" i="8"/>
  <c r="J58" i="8" s="1"/>
  <c r="I42" i="8"/>
  <c r="J42" i="8" s="1"/>
  <c r="I71" i="8"/>
  <c r="J71" i="8" s="1"/>
  <c r="H91" i="7"/>
  <c r="H74" i="7"/>
  <c r="H7" i="7"/>
  <c r="H55" i="7"/>
  <c r="H58" i="7"/>
  <c r="H42" i="7"/>
  <c r="H17" i="7"/>
  <c r="H35" i="7"/>
  <c r="H50" i="7"/>
  <c r="H65" i="7"/>
  <c r="H88" i="7"/>
  <c r="I88" i="7" s="1"/>
  <c r="J88" i="7" s="1"/>
  <c r="H99" i="7"/>
  <c r="I91" i="7" s="1"/>
  <c r="J91" i="7" s="1"/>
  <c r="H10" i="7"/>
  <c r="H20" i="7"/>
  <c r="I7" i="7" s="1"/>
  <c r="J7" i="7" s="1"/>
  <c r="H71" i="7"/>
  <c r="I71" i="7" s="1"/>
  <c r="J71" i="7" s="1"/>
  <c r="H82" i="7"/>
  <c r="I74" i="7" s="1"/>
  <c r="J74" i="7" s="1"/>
  <c r="H100" i="6"/>
  <c r="H98" i="6"/>
  <c r="H97" i="6"/>
  <c r="H96" i="6"/>
  <c r="H95" i="6"/>
  <c r="H94" i="6"/>
  <c r="H93" i="6"/>
  <c r="H92" i="6"/>
  <c r="H90" i="6"/>
  <c r="H89" i="6"/>
  <c r="H87" i="6"/>
  <c r="H86" i="6"/>
  <c r="H85" i="6"/>
  <c r="H84" i="6"/>
  <c r="H81" i="6"/>
  <c r="H80" i="6"/>
  <c r="H79" i="6"/>
  <c r="H78" i="6"/>
  <c r="H77" i="6"/>
  <c r="H76" i="6"/>
  <c r="H75" i="6"/>
  <c r="H73" i="6"/>
  <c r="H72" i="6"/>
  <c r="H70" i="6"/>
  <c r="H69" i="6"/>
  <c r="H68" i="6"/>
  <c r="H67" i="6"/>
  <c r="H64" i="6"/>
  <c r="H63" i="6"/>
  <c r="H62" i="6"/>
  <c r="D62" i="6"/>
  <c r="H61" i="6"/>
  <c r="D61" i="6"/>
  <c r="H60" i="6"/>
  <c r="H59" i="6"/>
  <c r="H57" i="6"/>
  <c r="H56" i="6"/>
  <c r="H53" i="6"/>
  <c r="H52" i="6"/>
  <c r="H48" i="6"/>
  <c r="H47" i="6"/>
  <c r="H46" i="6"/>
  <c r="H45" i="6"/>
  <c r="H44" i="6"/>
  <c r="H41" i="6"/>
  <c r="H40" i="6"/>
  <c r="H38" i="6"/>
  <c r="H37" i="6"/>
  <c r="H34" i="6"/>
  <c r="H33" i="6"/>
  <c r="H32" i="6"/>
  <c r="H31" i="6"/>
  <c r="H30" i="6"/>
  <c r="D30" i="6"/>
  <c r="H29" i="6"/>
  <c r="D29" i="6"/>
  <c r="H28" i="6"/>
  <c r="H27" i="6"/>
  <c r="H26" i="6"/>
  <c r="H25" i="6"/>
  <c r="H24" i="6"/>
  <c r="H23" i="6"/>
  <c r="H22" i="6"/>
  <c r="H21" i="6"/>
  <c r="H19" i="6"/>
  <c r="H18" i="6"/>
  <c r="H16" i="6"/>
  <c r="H15" i="6"/>
  <c r="H14" i="6"/>
  <c r="H13" i="6"/>
  <c r="H12" i="6"/>
  <c r="H11" i="6"/>
  <c r="H9" i="6"/>
  <c r="H8" i="6"/>
  <c r="H6" i="6"/>
  <c r="H5" i="6"/>
  <c r="H7" i="6" s="1"/>
  <c r="I58" i="7" l="1"/>
  <c r="J58" i="7" s="1"/>
  <c r="I42" i="7"/>
  <c r="J42" i="7" s="1"/>
  <c r="I20" i="7"/>
  <c r="J20" i="7" s="1"/>
  <c r="I10" i="7"/>
  <c r="J10" i="7" s="1"/>
  <c r="H88" i="6"/>
  <c r="H91" i="6"/>
  <c r="I88" i="6"/>
  <c r="J88" i="6" s="1"/>
  <c r="H99" i="6"/>
  <c r="I91" i="6" s="1"/>
  <c r="J91" i="6" s="1"/>
  <c r="H17" i="6"/>
  <c r="H35" i="6"/>
  <c r="H50" i="6"/>
  <c r="H65" i="6"/>
  <c r="H55" i="6"/>
  <c r="H71" i="6"/>
  <c r="H74" i="6"/>
  <c r="H82" i="6"/>
  <c r="H10" i="6"/>
  <c r="H20" i="6"/>
  <c r="H42" i="6"/>
  <c r="I42" i="6" s="1"/>
  <c r="J42" i="6" s="1"/>
  <c r="H58" i="6"/>
  <c r="I58" i="6"/>
  <c r="J58" i="6" s="1"/>
  <c r="H100" i="5"/>
  <c r="H98" i="5"/>
  <c r="H97" i="5"/>
  <c r="H96" i="5"/>
  <c r="H95" i="5"/>
  <c r="H94" i="5"/>
  <c r="H93" i="5"/>
  <c r="H92" i="5"/>
  <c r="H90" i="5"/>
  <c r="H89" i="5"/>
  <c r="H87" i="5"/>
  <c r="H86" i="5"/>
  <c r="H85" i="5"/>
  <c r="H84" i="5"/>
  <c r="H81" i="5"/>
  <c r="H80" i="5"/>
  <c r="H79" i="5"/>
  <c r="H78" i="5"/>
  <c r="H77" i="5"/>
  <c r="H76" i="5"/>
  <c r="H75" i="5"/>
  <c r="H73" i="5"/>
  <c r="H72" i="5"/>
  <c r="H70" i="5"/>
  <c r="H69" i="5"/>
  <c r="H68" i="5"/>
  <c r="H67" i="5"/>
  <c r="H64" i="5"/>
  <c r="H63" i="5"/>
  <c r="H62" i="5"/>
  <c r="D62" i="5"/>
  <c r="H61" i="5"/>
  <c r="D61" i="5"/>
  <c r="H60" i="5"/>
  <c r="H59" i="5"/>
  <c r="H57" i="5"/>
  <c r="H58" i="5" s="1"/>
  <c r="H56" i="5"/>
  <c r="H53" i="5"/>
  <c r="H52" i="5"/>
  <c r="H48" i="5"/>
  <c r="H47" i="5"/>
  <c r="H46" i="5"/>
  <c r="H45" i="5"/>
  <c r="H44" i="5"/>
  <c r="H41" i="5"/>
  <c r="H40" i="5"/>
  <c r="H42" i="5" s="1"/>
  <c r="H38" i="5"/>
  <c r="H37" i="5"/>
  <c r="H34" i="5"/>
  <c r="H33" i="5"/>
  <c r="H32" i="5"/>
  <c r="H31" i="5"/>
  <c r="H30" i="5"/>
  <c r="D30" i="5"/>
  <c r="H29" i="5"/>
  <c r="D29" i="5"/>
  <c r="H28" i="5"/>
  <c r="H27" i="5"/>
  <c r="H26" i="5"/>
  <c r="H25" i="5"/>
  <c r="H24" i="5"/>
  <c r="H23" i="5"/>
  <c r="H22" i="5"/>
  <c r="H21" i="5"/>
  <c r="H19" i="5"/>
  <c r="H18" i="5"/>
  <c r="H20" i="5" s="1"/>
  <c r="H16" i="5"/>
  <c r="H15" i="5"/>
  <c r="H14" i="5"/>
  <c r="H13" i="5"/>
  <c r="H12" i="5"/>
  <c r="H11" i="5"/>
  <c r="H9" i="5"/>
  <c r="H8" i="5"/>
  <c r="H6" i="5"/>
  <c r="H5" i="5"/>
  <c r="I20" i="6" l="1"/>
  <c r="J20" i="6" s="1"/>
  <c r="I10" i="6"/>
  <c r="J10" i="6" s="1"/>
  <c r="I74" i="6"/>
  <c r="J74" i="6" s="1"/>
  <c r="I71" i="6"/>
  <c r="J71" i="6" s="1"/>
  <c r="I7" i="6"/>
  <c r="J7" i="6" s="1"/>
  <c r="H74" i="5"/>
  <c r="H7" i="5"/>
  <c r="H55" i="5"/>
  <c r="H91" i="5"/>
  <c r="H10" i="5"/>
  <c r="H17" i="5"/>
  <c r="H35" i="5"/>
  <c r="H50" i="5"/>
  <c r="H65" i="5"/>
  <c r="H88" i="5"/>
  <c r="H99" i="5"/>
  <c r="H71" i="5"/>
  <c r="I71" i="5" s="1"/>
  <c r="J71" i="5" s="1"/>
  <c r="H82" i="5"/>
  <c r="I74" i="5" s="1"/>
  <c r="J74" i="5" s="1"/>
  <c r="I7" i="5"/>
  <c r="J7" i="5" s="1"/>
  <c r="I20" i="5"/>
  <c r="J20" i="5" s="1"/>
  <c r="I42" i="5"/>
  <c r="J42" i="5" s="1"/>
  <c r="H100" i="4"/>
  <c r="H98" i="4"/>
  <c r="H97" i="4"/>
  <c r="H96" i="4"/>
  <c r="H95" i="4"/>
  <c r="H94" i="4"/>
  <c r="H93" i="4"/>
  <c r="H92" i="4"/>
  <c r="H90" i="4"/>
  <c r="H89" i="4"/>
  <c r="H87" i="4"/>
  <c r="H86" i="4"/>
  <c r="H85" i="4"/>
  <c r="H84" i="4"/>
  <c r="H81" i="4"/>
  <c r="H80" i="4"/>
  <c r="H79" i="4"/>
  <c r="H78" i="4"/>
  <c r="H77" i="4"/>
  <c r="H76" i="4"/>
  <c r="H75" i="4"/>
  <c r="H73" i="4"/>
  <c r="H72" i="4"/>
  <c r="H70" i="4"/>
  <c r="H69" i="4"/>
  <c r="H68" i="4"/>
  <c r="H67" i="4"/>
  <c r="H64" i="4"/>
  <c r="H63" i="4"/>
  <c r="H62" i="4"/>
  <c r="D62" i="4"/>
  <c r="H61" i="4"/>
  <c r="D61" i="4"/>
  <c r="H60" i="4"/>
  <c r="H59" i="4"/>
  <c r="H57" i="4"/>
  <c r="H56" i="4"/>
  <c r="H53" i="4"/>
  <c r="H52" i="4"/>
  <c r="H55" i="4" s="1"/>
  <c r="H48" i="4"/>
  <c r="H47" i="4"/>
  <c r="H46" i="4"/>
  <c r="H45" i="4"/>
  <c r="H44" i="4"/>
  <c r="H41" i="4"/>
  <c r="H40" i="4"/>
  <c r="H38" i="4"/>
  <c r="H37" i="4"/>
  <c r="H34" i="4"/>
  <c r="H33" i="4"/>
  <c r="H32" i="4"/>
  <c r="H31" i="4"/>
  <c r="H30" i="4"/>
  <c r="D30" i="4"/>
  <c r="H29" i="4"/>
  <c r="D29" i="4"/>
  <c r="H28" i="4"/>
  <c r="H27" i="4"/>
  <c r="H26" i="4"/>
  <c r="H25" i="4"/>
  <c r="H24" i="4"/>
  <c r="H23" i="4"/>
  <c r="H22" i="4"/>
  <c r="H21" i="4"/>
  <c r="H19" i="4"/>
  <c r="H18" i="4"/>
  <c r="H16" i="4"/>
  <c r="H15" i="4"/>
  <c r="H14" i="4"/>
  <c r="H13" i="4"/>
  <c r="H12" i="4"/>
  <c r="H11" i="4"/>
  <c r="H9" i="4"/>
  <c r="H8" i="4"/>
  <c r="H6" i="4"/>
  <c r="H5" i="4"/>
  <c r="I91" i="5" l="1"/>
  <c r="J91" i="5" s="1"/>
  <c r="I88" i="5"/>
  <c r="J88" i="5" s="1"/>
  <c r="I58" i="5"/>
  <c r="J58" i="5" s="1"/>
  <c r="I10" i="5"/>
  <c r="J10" i="5" s="1"/>
  <c r="H88" i="4"/>
  <c r="H10" i="4"/>
  <c r="H99" i="4"/>
  <c r="H65" i="4"/>
  <c r="H74" i="4"/>
  <c r="H91" i="4"/>
  <c r="I88" i="4" s="1"/>
  <c r="J88" i="4" s="1"/>
  <c r="H7" i="4"/>
  <c r="H58" i="4"/>
  <c r="H35" i="4"/>
  <c r="H50" i="4"/>
  <c r="I42" i="4" s="1"/>
  <c r="J42" i="4" s="1"/>
  <c r="I58" i="4"/>
  <c r="J58" i="4" s="1"/>
  <c r="H17" i="4"/>
  <c r="I10" i="4" s="1"/>
  <c r="J10" i="4" s="1"/>
  <c r="H82" i="4"/>
  <c r="H20" i="4"/>
  <c r="I7" i="4" s="1"/>
  <c r="J7" i="4" s="1"/>
  <c r="H42" i="4"/>
  <c r="H71" i="4"/>
  <c r="I71" i="4" s="1"/>
  <c r="J71" i="4" s="1"/>
  <c r="H100" i="3"/>
  <c r="H98" i="3"/>
  <c r="H97" i="3"/>
  <c r="H96" i="3"/>
  <c r="H95" i="3"/>
  <c r="H94" i="3"/>
  <c r="H93" i="3"/>
  <c r="H92" i="3"/>
  <c r="H90" i="3"/>
  <c r="H89" i="3"/>
  <c r="H87" i="3"/>
  <c r="H86" i="3"/>
  <c r="H85" i="3"/>
  <c r="H84" i="3"/>
  <c r="H88" i="3" s="1"/>
  <c r="H81" i="3"/>
  <c r="H80" i="3"/>
  <c r="H79" i="3"/>
  <c r="H78" i="3"/>
  <c r="H77" i="3"/>
  <c r="H76" i="3"/>
  <c r="H75" i="3"/>
  <c r="H73" i="3"/>
  <c r="H72" i="3"/>
  <c r="H70" i="3"/>
  <c r="H69" i="3"/>
  <c r="H68" i="3"/>
  <c r="H67" i="3"/>
  <c r="H64" i="3"/>
  <c r="H63" i="3"/>
  <c r="H62" i="3"/>
  <c r="D62" i="3"/>
  <c r="H61" i="3"/>
  <c r="D61" i="3"/>
  <c r="H60" i="3"/>
  <c r="H59" i="3"/>
  <c r="H57" i="3"/>
  <c r="H56" i="3"/>
  <c r="H58" i="3" s="1"/>
  <c r="H53" i="3"/>
  <c r="H52" i="3"/>
  <c r="H48" i="3"/>
  <c r="H47" i="3"/>
  <c r="H46" i="3"/>
  <c r="H45" i="3"/>
  <c r="H44" i="3"/>
  <c r="H41" i="3"/>
  <c r="H40" i="3"/>
  <c r="H42" i="3" s="1"/>
  <c r="H38" i="3"/>
  <c r="H37" i="3"/>
  <c r="H34" i="3"/>
  <c r="H33" i="3"/>
  <c r="H32" i="3"/>
  <c r="H31" i="3"/>
  <c r="H30" i="3"/>
  <c r="D30" i="3"/>
  <c r="H29" i="3"/>
  <c r="D29" i="3"/>
  <c r="H28" i="3"/>
  <c r="H27" i="3"/>
  <c r="H26" i="3"/>
  <c r="H25" i="3"/>
  <c r="H24" i="3"/>
  <c r="H23" i="3"/>
  <c r="H22" i="3"/>
  <c r="H21" i="3"/>
  <c r="H19" i="3"/>
  <c r="H18" i="3"/>
  <c r="H16" i="3"/>
  <c r="H15" i="3"/>
  <c r="H14" i="3"/>
  <c r="H13" i="3"/>
  <c r="H12" i="3"/>
  <c r="H11" i="3"/>
  <c r="H9" i="3"/>
  <c r="H8" i="3"/>
  <c r="H6" i="3"/>
  <c r="H5" i="3"/>
  <c r="I91" i="4" l="1"/>
  <c r="J91" i="4" s="1"/>
  <c r="I74" i="4"/>
  <c r="J74" i="4" s="1"/>
  <c r="I20" i="4"/>
  <c r="J20" i="4" s="1"/>
  <c r="H99" i="3"/>
  <c r="H71" i="3"/>
  <c r="H7" i="3"/>
  <c r="H10" i="3"/>
  <c r="H20" i="3"/>
  <c r="I7" i="3" s="1"/>
  <c r="J7" i="3" s="1"/>
  <c r="H91" i="3"/>
  <c r="I88" i="3" s="1"/>
  <c r="J88" i="3" s="1"/>
  <c r="H55" i="3"/>
  <c r="H65" i="3"/>
  <c r="H74" i="3"/>
  <c r="H17" i="3"/>
  <c r="H35" i="3"/>
  <c r="H50" i="3"/>
  <c r="H82" i="3"/>
  <c r="I10" i="3"/>
  <c r="J10" i="3" s="1"/>
  <c r="I20" i="3"/>
  <c r="J20" i="3" s="1"/>
  <c r="I42" i="3"/>
  <c r="J42" i="3" s="1"/>
  <c r="H100" i="2"/>
  <c r="H98" i="2"/>
  <c r="H97" i="2"/>
  <c r="H96" i="2"/>
  <c r="H95" i="2"/>
  <c r="H94" i="2"/>
  <c r="H93" i="2"/>
  <c r="H92" i="2"/>
  <c r="H90" i="2"/>
  <c r="H89" i="2"/>
  <c r="H87" i="2"/>
  <c r="H86" i="2"/>
  <c r="H85" i="2"/>
  <c r="H84" i="2"/>
  <c r="H81" i="2"/>
  <c r="H80" i="2"/>
  <c r="H79" i="2"/>
  <c r="H78" i="2"/>
  <c r="H77" i="2"/>
  <c r="H76" i="2"/>
  <c r="H75" i="2"/>
  <c r="H73" i="2"/>
  <c r="H72" i="2"/>
  <c r="H70" i="2"/>
  <c r="H69" i="2"/>
  <c r="H68" i="2"/>
  <c r="H67" i="2"/>
  <c r="H64" i="2"/>
  <c r="H63" i="2"/>
  <c r="H62" i="2"/>
  <c r="D62" i="2"/>
  <c r="H61" i="2"/>
  <c r="D61" i="2"/>
  <c r="H60" i="2"/>
  <c r="H59" i="2"/>
  <c r="H57" i="2"/>
  <c r="H56" i="2"/>
  <c r="H53" i="2"/>
  <c r="H52" i="2"/>
  <c r="H55" i="2" s="1"/>
  <c r="H48" i="2"/>
  <c r="H47" i="2"/>
  <c r="H46" i="2"/>
  <c r="H45" i="2"/>
  <c r="H44" i="2"/>
  <c r="H41" i="2"/>
  <c r="H40" i="2"/>
  <c r="H38" i="2"/>
  <c r="H37" i="2"/>
  <c r="H34" i="2"/>
  <c r="H33" i="2"/>
  <c r="H32" i="2"/>
  <c r="H31" i="2"/>
  <c r="H30" i="2"/>
  <c r="D30" i="2"/>
  <c r="H29" i="2"/>
  <c r="D29" i="2"/>
  <c r="H28" i="2"/>
  <c r="H27" i="2"/>
  <c r="H26" i="2"/>
  <c r="H25" i="2"/>
  <c r="H24" i="2"/>
  <c r="H23" i="2"/>
  <c r="H22" i="2"/>
  <c r="H21" i="2"/>
  <c r="H19" i="2"/>
  <c r="H18" i="2"/>
  <c r="H16" i="2"/>
  <c r="H15" i="2"/>
  <c r="H14" i="2"/>
  <c r="H13" i="2"/>
  <c r="H12" i="2"/>
  <c r="H11" i="2"/>
  <c r="H9" i="2"/>
  <c r="H8" i="2"/>
  <c r="H6" i="2"/>
  <c r="H5" i="2"/>
  <c r="H7" i="2" s="1"/>
  <c r="I91" i="3" l="1"/>
  <c r="J91" i="3" s="1"/>
  <c r="I74" i="3"/>
  <c r="J74" i="3" s="1"/>
  <c r="I71" i="3"/>
  <c r="J71" i="3" s="1"/>
  <c r="I58" i="3"/>
  <c r="J58" i="3" s="1"/>
  <c r="H74" i="2"/>
  <c r="H58" i="2"/>
  <c r="H88" i="2"/>
  <c r="H91" i="2"/>
  <c r="I88" i="2" s="1"/>
  <c r="J88" i="2" s="1"/>
  <c r="H17" i="2"/>
  <c r="H35" i="2"/>
  <c r="H50" i="2"/>
  <c r="H65" i="2"/>
  <c r="I58" i="2" s="1"/>
  <c r="H99" i="2"/>
  <c r="I91" i="2" s="1"/>
  <c r="J91" i="2" s="1"/>
  <c r="H10" i="2"/>
  <c r="H20" i="2"/>
  <c r="H42" i="2"/>
  <c r="H71" i="2"/>
  <c r="H82" i="2"/>
  <c r="H100" i="1"/>
  <c r="H98" i="1"/>
  <c r="H97" i="1"/>
  <c r="H96" i="1"/>
  <c r="H95" i="1"/>
  <c r="H94" i="1"/>
  <c r="H93" i="1"/>
  <c r="H92" i="1"/>
  <c r="H90" i="1"/>
  <c r="H91" i="1" s="1"/>
  <c r="H89" i="1"/>
  <c r="H87" i="1"/>
  <c r="H86" i="1"/>
  <c r="H85" i="1"/>
  <c r="H84" i="1"/>
  <c r="H81" i="1"/>
  <c r="H80" i="1"/>
  <c r="H79" i="1"/>
  <c r="H78" i="1"/>
  <c r="H77" i="1"/>
  <c r="H76" i="1"/>
  <c r="H75" i="1"/>
  <c r="H73" i="1"/>
  <c r="H72" i="1"/>
  <c r="H74" i="1" s="1"/>
  <c r="H70" i="1"/>
  <c r="H69" i="1"/>
  <c r="H68" i="1"/>
  <c r="H67" i="1"/>
  <c r="H71" i="1" s="1"/>
  <c r="H64" i="1"/>
  <c r="H63" i="1"/>
  <c r="H62" i="1"/>
  <c r="D62" i="1"/>
  <c r="H61" i="1"/>
  <c r="D61" i="1"/>
  <c r="H60" i="1"/>
  <c r="H59" i="1"/>
  <c r="H57" i="1"/>
  <c r="H56" i="1"/>
  <c r="H53" i="1"/>
  <c r="H52" i="1"/>
  <c r="H55" i="1" s="1"/>
  <c r="H48" i="1"/>
  <c r="H47" i="1"/>
  <c r="H46" i="1"/>
  <c r="H45" i="1"/>
  <c r="H44" i="1"/>
  <c r="H41" i="1"/>
  <c r="H40" i="1"/>
  <c r="H38" i="1"/>
  <c r="H37" i="1"/>
  <c r="H34" i="1"/>
  <c r="H33" i="1"/>
  <c r="H32" i="1"/>
  <c r="H31" i="1"/>
  <c r="H30" i="1"/>
  <c r="D30" i="1"/>
  <c r="H29" i="1"/>
  <c r="D29" i="1"/>
  <c r="H28" i="1"/>
  <c r="H27" i="1"/>
  <c r="H26" i="1"/>
  <c r="H25" i="1"/>
  <c r="H24" i="1"/>
  <c r="H23" i="1"/>
  <c r="H22" i="1"/>
  <c r="H21" i="1"/>
  <c r="H19" i="1"/>
  <c r="H18" i="1"/>
  <c r="H16" i="1"/>
  <c r="H15" i="1"/>
  <c r="H14" i="1"/>
  <c r="H13" i="1"/>
  <c r="H12" i="1"/>
  <c r="H11" i="1"/>
  <c r="H9" i="1"/>
  <c r="H8" i="1"/>
  <c r="H6" i="1"/>
  <c r="H5" i="1"/>
  <c r="H7" i="1" s="1"/>
  <c r="I74" i="2" l="1"/>
  <c r="J74" i="2" s="1"/>
  <c r="I71" i="2"/>
  <c r="J71" i="2" s="1"/>
  <c r="I10" i="2"/>
  <c r="J10" i="2" s="1"/>
  <c r="J58" i="2"/>
  <c r="I7" i="2"/>
  <c r="J7" i="2" s="1"/>
  <c r="I42" i="2"/>
  <c r="J42" i="2" s="1"/>
  <c r="I20" i="2"/>
  <c r="J20" i="2" s="1"/>
  <c r="H88" i="1"/>
  <c r="I88" i="1" s="1"/>
  <c r="J88" i="1" s="1"/>
  <c r="H58" i="1"/>
  <c r="H10" i="1"/>
  <c r="H20" i="1"/>
  <c r="I7" i="1" s="1"/>
  <c r="J7" i="1" s="1"/>
  <c r="H42" i="1"/>
  <c r="H65" i="1"/>
  <c r="I58" i="1" s="1"/>
  <c r="J58" i="1" s="1"/>
  <c r="H99" i="1"/>
  <c r="I91" i="1" s="1"/>
  <c r="J91" i="1" s="1"/>
  <c r="H17" i="1"/>
  <c r="H35" i="1"/>
  <c r="H50" i="1"/>
  <c r="H82" i="1"/>
  <c r="I74" i="1" s="1"/>
  <c r="J74" i="1" s="1"/>
  <c r="I71" i="1"/>
  <c r="J71" i="1" s="1"/>
  <c r="I20" i="1" l="1"/>
  <c r="J20" i="1" s="1"/>
  <c r="I10" i="1"/>
  <c r="J10" i="1" s="1"/>
  <c r="I42" i="1"/>
  <c r="J42" i="1" s="1"/>
</calcChain>
</file>

<file path=xl/sharedStrings.xml><?xml version="1.0" encoding="utf-8"?>
<sst xmlns="http://schemas.openxmlformats.org/spreadsheetml/2006/main" count="8184" uniqueCount="157">
  <si>
    <t>за декабрь 2025г.</t>
  </si>
  <si>
    <t>Наименование</t>
  </si>
  <si>
    <t>Тип ПУ</t>
  </si>
  <si>
    <t>№ ПУ</t>
  </si>
  <si>
    <t>Тр-р</t>
  </si>
  <si>
    <t>Коэф.</t>
  </si>
  <si>
    <t>Показания</t>
  </si>
  <si>
    <t>Расход</t>
  </si>
  <si>
    <t>Небаланс</t>
  </si>
  <si>
    <t>в кВтч</t>
  </si>
  <si>
    <t>в %</t>
  </si>
  <si>
    <t>ПС-110/35/6кВ</t>
  </si>
  <si>
    <t>Ввод 110кВ от ПС-110/10кВ "Эмба"</t>
  </si>
  <si>
    <t>ARTM2-00 PBR.R</t>
  </si>
  <si>
    <t>600/5</t>
  </si>
  <si>
    <t>Ввод 110кВ от ПС-110/35/6кВ "Кенкияк"</t>
  </si>
  <si>
    <t>Итого по вводам 110 кВ</t>
  </si>
  <si>
    <t xml:space="preserve">Ввод №1 35 кВ </t>
  </si>
  <si>
    <t xml:space="preserve">Ввод №2 35 кВ </t>
  </si>
  <si>
    <t>Итого по вводам 35 кВ</t>
  </si>
  <si>
    <t xml:space="preserve">ВЛ 35 кВ Север </t>
  </si>
  <si>
    <t>300/5</t>
  </si>
  <si>
    <t>ВЛ 35 кВ Южная</t>
  </si>
  <si>
    <t xml:space="preserve">ВЛ 35 кВ Кожасай  №1 </t>
  </si>
  <si>
    <t xml:space="preserve">ВЛ 35 кВ Кожасай  №2 </t>
  </si>
  <si>
    <t>ВЛ 35 кВ УКПГ  № 1</t>
  </si>
  <si>
    <t>ВЛ 35 кВ УКПГ  № 2</t>
  </si>
  <si>
    <t xml:space="preserve"> </t>
  </si>
  <si>
    <t>Итого по отходящим линиям 35 кВ</t>
  </si>
  <si>
    <t>Ввод №1 6кВ яч. 109 Т-1</t>
  </si>
  <si>
    <t>1500/5</t>
  </si>
  <si>
    <t>Ввод №2 6кВ яч. 204 Т-2</t>
  </si>
  <si>
    <t>Итого по вводам 6 кВ</t>
  </si>
  <si>
    <t>Яч. 111 БКНС ввод 1 6 кВ</t>
  </si>
  <si>
    <t>400/5</t>
  </si>
  <si>
    <t>Яч. 213 БКНС ввод 2 6 кВ</t>
  </si>
  <si>
    <t>Яч.107 ввод  ТСН1 6 кВ</t>
  </si>
  <si>
    <t>50/5</t>
  </si>
  <si>
    <t>Яч. 206 ввод ТСН2 6 кВ</t>
  </si>
  <si>
    <t>Яч.114 КТПГ №1 ввод 1 6 кВ</t>
  </si>
  <si>
    <t>Яч. 214 КТПГ №2 ввод 1 6 кВ</t>
  </si>
  <si>
    <t>Яч. 115 УДГР№1   6 кВ</t>
  </si>
  <si>
    <t>Яч. 215 УДГР№2  6 кВ</t>
  </si>
  <si>
    <t xml:space="preserve">Яч.113 "Каспий нефть-1" </t>
  </si>
  <si>
    <t xml:space="preserve">Яч.212 "Каспий нефть-2" </t>
  </si>
  <si>
    <t>Яч.104 "РП-1-1"</t>
  </si>
  <si>
    <t>Яч.211 "РП-1-2"</t>
  </si>
  <si>
    <t>Яч.207 "СУПС"</t>
  </si>
  <si>
    <t>Итого по отходящим линиям 6 кВ</t>
  </si>
  <si>
    <t xml:space="preserve">             ПС 35/6 "Северная"</t>
  </si>
  <si>
    <t>ПС Север ВВ35 Сагабулак актив</t>
  </si>
  <si>
    <t xml:space="preserve"> ARTM2-00 PBR.R</t>
  </si>
  <si>
    <t>100/5</t>
  </si>
  <si>
    <t>ПС Север ВВ35 реактив</t>
  </si>
  <si>
    <t>ПС Север ввода 6кВ</t>
  </si>
  <si>
    <t>яч. 2   Ввод 6 кВ № 1</t>
  </si>
  <si>
    <t>яч.15  Ввод 6 кВ № 2</t>
  </si>
  <si>
    <t>Итого по Вводам 6кВ.</t>
  </si>
  <si>
    <t>Отхдящие линии 6 кВ</t>
  </si>
  <si>
    <t>яч.№6 II-водоподьём</t>
  </si>
  <si>
    <t>яч. №7 АГЗУ</t>
  </si>
  <si>
    <t>яч. №10 2-водоподъём</t>
  </si>
  <si>
    <t>200/5</t>
  </si>
  <si>
    <t>яч. №11 Тех.вода</t>
  </si>
  <si>
    <t>яч. №13  I-водоподьём</t>
  </si>
  <si>
    <t xml:space="preserve"> ТСН 2 по 6 кВ</t>
  </si>
  <si>
    <t>СА4-5001Д</t>
  </si>
  <si>
    <t>Итого по отходящим. линиям 6 кВ</t>
  </si>
  <si>
    <t xml:space="preserve">                                                                       </t>
  </si>
  <si>
    <t>ПС 35/6 кВ "ЮЖНАЯ"</t>
  </si>
  <si>
    <t>Юг. Ввод 35 кВ 1Т</t>
  </si>
  <si>
    <t>Юг. Ввод 35 кВ 2Т</t>
  </si>
  <si>
    <t>Итого:по Вводам 35 кВ приём</t>
  </si>
  <si>
    <t>яч. №2 Ввод 6кВ № 1</t>
  </si>
  <si>
    <t>1000/5</t>
  </si>
  <si>
    <t>яч. №13 Ввод 6кВ № 2</t>
  </si>
  <si>
    <t>Итого по Вводам 6 кВ.</t>
  </si>
  <si>
    <t>яч. №4 "Пл.№ 22" 6 кВ</t>
  </si>
  <si>
    <t>яч. №5 "АГЗУ"  6 кВ .</t>
  </si>
  <si>
    <t>яч .№6 "Казтрансойл"  6 кВ</t>
  </si>
  <si>
    <t>яч. №11 "Казтрансойл"  6 кВ</t>
  </si>
  <si>
    <t>яч. №9 "СУПС"  6 кВ</t>
  </si>
  <si>
    <t>яч. №10 ТБО 6 кВ .</t>
  </si>
  <si>
    <t xml:space="preserve">                                                                                            П/С  35/6 "Кожасай"</t>
  </si>
  <si>
    <t>Ввод 35 кВ Т-1</t>
  </si>
  <si>
    <t>Ввод 35 кВ Т-2</t>
  </si>
  <si>
    <t xml:space="preserve">ТСН-1 </t>
  </si>
  <si>
    <t>ARTMX2-03 PBR.R</t>
  </si>
  <si>
    <t>ТСН-2</t>
  </si>
  <si>
    <t xml:space="preserve">Итого получено по вводам 35 кВ </t>
  </si>
  <si>
    <t>Ввод -1 6 кВ ячейка №4</t>
  </si>
  <si>
    <t>Ввод -2 6 кВ ячейка №13</t>
  </si>
  <si>
    <t xml:space="preserve"> Итого по вводам  6 кВ </t>
  </si>
  <si>
    <t xml:space="preserve">Яч № 2 В/городок </t>
  </si>
  <si>
    <t xml:space="preserve">Яч №11 Месторождение </t>
  </si>
  <si>
    <t>Яч №16 ЭХЗ</t>
  </si>
  <si>
    <t xml:space="preserve">Яч №7 РП-6     Нас.перекачки-1 </t>
  </si>
  <si>
    <t xml:space="preserve">Яч №15 РП-6   Нас.перекачки-2 </t>
  </si>
  <si>
    <t>Яч №3 ККУ 1</t>
  </si>
  <si>
    <t>Яч №12 ККУ 2</t>
  </si>
  <si>
    <t xml:space="preserve">                                      Итого по яч 6кВ.</t>
  </si>
  <si>
    <t xml:space="preserve">                                             П/С  35/6 "БКНС Кожасай"</t>
  </si>
  <si>
    <t>СА4У-И672М</t>
  </si>
  <si>
    <t>яч. № 13   Ввод 6 кВ №1</t>
  </si>
  <si>
    <t>яч. № 4     Ввод 6 кВ №2</t>
  </si>
  <si>
    <t>ИТОГО:</t>
  </si>
  <si>
    <t>яч. № 2  АД 3</t>
  </si>
  <si>
    <t>яч. № 1  АД 1</t>
  </si>
  <si>
    <t>яч. № 14  КТПН 2</t>
  </si>
  <si>
    <t>яч. № 8  К002</t>
  </si>
  <si>
    <t>яч. № 7  АД 2</t>
  </si>
  <si>
    <t>яч. № 3  КТПН 1</t>
  </si>
  <si>
    <t>яч. № 11 К001</t>
  </si>
  <si>
    <t>Ввод-35кВ "Южный Жанажол"</t>
  </si>
  <si>
    <t>31.12.2025</t>
  </si>
  <si>
    <t>01.01.26</t>
  </si>
  <si>
    <t>Яч.210 "ГПЭС"</t>
  </si>
  <si>
    <t>01.01.2025</t>
  </si>
  <si>
    <t>02.01.26</t>
  </si>
  <si>
    <t>02.01.2025</t>
  </si>
  <si>
    <t>03.01.26</t>
  </si>
  <si>
    <t>03.01.2025</t>
  </si>
  <si>
    <t>04.01.26</t>
  </si>
  <si>
    <t>04.01.2025</t>
  </si>
  <si>
    <t>05.01.26</t>
  </si>
  <si>
    <t>06.01.26</t>
  </si>
  <si>
    <t>05.01.2025</t>
  </si>
  <si>
    <t>06.01.2025</t>
  </si>
  <si>
    <t>07.01.26</t>
  </si>
  <si>
    <t>08.01.2026</t>
  </si>
  <si>
    <t>07.01.2025</t>
  </si>
  <si>
    <t>08.01.2025</t>
  </si>
  <si>
    <t>09.01.2026</t>
  </si>
  <si>
    <t>09.01.2025</t>
  </si>
  <si>
    <t>10.01.2026</t>
  </si>
  <si>
    <t>11.01.2026</t>
  </si>
  <si>
    <t>12.01.2026</t>
  </si>
  <si>
    <t>14.01.2026</t>
  </si>
  <si>
    <t>13.01.2026</t>
  </si>
  <si>
    <t>15.01.2026</t>
  </si>
  <si>
    <t>16.01.2026</t>
  </si>
  <si>
    <t>17.01.2026</t>
  </si>
  <si>
    <t>18.01.2026</t>
  </si>
  <si>
    <t>19.01.2026</t>
  </si>
  <si>
    <t>20.01.2026</t>
  </si>
  <si>
    <t>за январь 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</si>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</sst>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1">
    <xf numFmtId="0" fontId="0" fillId="0" borderId="0" xfId="0"/>
    <xf numFmtId="4" fontId="2" fillId="2" borderId="4" xfId="0" applyNumberFormat="1" applyFont="1" applyFill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165" fontId="2" fillId="2" borderId="7" xfId="0" applyNumberFormat="1" applyFont="1" applyFill="1" applyBorder="1" applyAlignment="1">
      <alignment horizontal="center"/>
    </xf>
    <xf numFmtId="2" fontId="2" fillId="2" borderId="8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6" fontId="2" fillId="2" borderId="11" xfId="0" applyNumberFormat="1" applyFont="1" applyFill="1" applyBorder="1" applyAlignment="1">
      <alignment horizontal="right"/>
    </xf>
    <xf numFmtId="4" fontId="2" fillId="2" borderId="10" xfId="0" applyNumberFormat="1" applyFont="1" applyFill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/>
    </xf>
    <xf numFmtId="2" fontId="2" fillId="2" borderId="13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6" fontId="2" fillId="2" borderId="10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right"/>
    </xf>
    <xf numFmtId="165" fontId="2" fillId="2" borderId="15" xfId="0" applyNumberFormat="1" applyFont="1" applyFill="1" applyBorder="1" applyAlignment="1">
      <alignment horizontal="center"/>
    </xf>
    <xf numFmtId="2" fontId="2" fillId="2" borderId="16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/>
    <xf numFmtId="165" fontId="1" fillId="2" borderId="15" xfId="0" applyNumberFormat="1" applyFont="1" applyFill="1" applyBorder="1" applyAlignment="1">
      <alignment horizontal="center"/>
    </xf>
    <xf numFmtId="10" fontId="1" fillId="2" borderId="16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4" xfId="0" applyFont="1" applyFill="1" applyBorder="1"/>
    <xf numFmtId="2" fontId="2" fillId="2" borderId="1" xfId="0" applyNumberFormat="1" applyFont="1" applyFill="1" applyBorder="1" applyAlignment="1">
      <alignment horizontal="center"/>
    </xf>
    <xf numFmtId="166" fontId="2" fillId="0" borderId="1" xfId="0" applyNumberFormat="1" applyFont="1" applyFill="1" applyBorder="1" applyAlignment="1">
      <alignment horizontal="center"/>
    </xf>
    <xf numFmtId="166" fontId="2" fillId="2" borderId="17" xfId="0" applyNumberFormat="1" applyFont="1" applyFill="1" applyBorder="1" applyAlignment="1">
      <alignment horizontal="center"/>
    </xf>
    <xf numFmtId="166" fontId="2" fillId="2" borderId="18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4" fontId="2" fillId="2" borderId="18" xfId="0" applyNumberFormat="1" applyFont="1" applyFill="1" applyBorder="1" applyAlignment="1">
      <alignment horizontal="right"/>
    </xf>
    <xf numFmtId="165" fontId="2" fillId="2" borderId="19" xfId="0" applyNumberFormat="1" applyFont="1" applyFill="1" applyBorder="1" applyAlignment="1">
      <alignment horizontal="center"/>
    </xf>
    <xf numFmtId="2" fontId="2" fillId="2" borderId="20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right"/>
    </xf>
    <xf numFmtId="165" fontId="2" fillId="2" borderId="21" xfId="0" applyNumberFormat="1" applyFont="1" applyFill="1" applyBorder="1" applyAlignment="1">
      <alignment horizontal="center"/>
    </xf>
    <xf numFmtId="165" fontId="1" fillId="2" borderId="21" xfId="0" applyNumberFormat="1" applyFont="1" applyFill="1" applyBorder="1" applyAlignment="1">
      <alignment horizontal="center"/>
    </xf>
    <xf numFmtId="165" fontId="2" fillId="2" borderId="22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4" fontId="2" fillId="2" borderId="23" xfId="0" applyNumberFormat="1" applyFont="1" applyFill="1" applyBorder="1" applyAlignment="1">
      <alignment horizontal="right"/>
    </xf>
    <xf numFmtId="165" fontId="2" fillId="2" borderId="12" xfId="0" applyNumberFormat="1" applyFont="1" applyFill="1" applyBorder="1" applyAlignment="1">
      <alignment horizontal="right"/>
    </xf>
    <xf numFmtId="165" fontId="2" fillId="2" borderId="15" xfId="0" applyNumberFormat="1" applyFont="1" applyFill="1" applyBorder="1" applyAlignment="1">
      <alignment horizontal="right"/>
    </xf>
    <xf numFmtId="0" fontId="1" fillId="2" borderId="14" xfId="0" applyFon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165" fontId="2" fillId="2" borderId="15" xfId="0" applyNumberFormat="1" applyFont="1" applyFill="1" applyBorder="1"/>
    <xf numFmtId="4" fontId="1" fillId="2" borderId="1" xfId="0" applyNumberFormat="1" applyFont="1" applyFill="1" applyBorder="1" applyAlignment="1">
      <alignment horizontal="right"/>
    </xf>
    <xf numFmtId="166" fontId="2" fillId="2" borderId="1" xfId="0" applyNumberFormat="1" applyFont="1" applyFill="1" applyBorder="1"/>
    <xf numFmtId="4" fontId="1" fillId="2" borderId="1" xfId="0" applyNumberFormat="1" applyFont="1" applyFill="1" applyBorder="1"/>
    <xf numFmtId="165" fontId="2" fillId="2" borderId="1" xfId="0" applyNumberFormat="1" applyFont="1" applyFill="1" applyBorder="1" applyAlignment="1">
      <alignment horizontal="right"/>
    </xf>
    <xf numFmtId="2" fontId="2" fillId="2" borderId="16" xfId="0" applyNumberFormat="1" applyFont="1" applyFill="1" applyBorder="1"/>
    <xf numFmtId="0" fontId="2" fillId="2" borderId="24" xfId="0" applyFont="1" applyFill="1" applyBorder="1"/>
    <xf numFmtId="0" fontId="1" fillId="2" borderId="25" xfId="0" applyFont="1" applyFill="1" applyBorder="1" applyAlignment="1"/>
    <xf numFmtId="4" fontId="2" fillId="2" borderId="25" xfId="0" applyNumberFormat="1" applyFont="1" applyFill="1" applyBorder="1"/>
    <xf numFmtId="165" fontId="2" fillId="2" borderId="25" xfId="0" applyNumberFormat="1" applyFont="1" applyFill="1" applyBorder="1"/>
    <xf numFmtId="10" fontId="2" fillId="2" borderId="26" xfId="0" applyNumberFormat="1" applyFont="1" applyFill="1" applyBorder="1" applyAlignment="1">
      <alignment horizontal="center"/>
    </xf>
    <xf numFmtId="10" fontId="2" fillId="2" borderId="16" xfId="0" applyNumberFormat="1" applyFont="1" applyFill="1" applyBorder="1" applyAlignment="1">
      <alignment horizontal="center"/>
    </xf>
    <xf numFmtId="0" fontId="2" fillId="2" borderId="16" xfId="0" applyFont="1" applyFill="1" applyBorder="1"/>
    <xf numFmtId="0" fontId="1" fillId="2" borderId="14" xfId="0" applyFont="1" applyFill="1" applyBorder="1" applyAlignment="1">
      <alignment horizontal="center"/>
    </xf>
    <xf numFmtId="165" fontId="1" fillId="2" borderId="15" xfId="0" applyNumberFormat="1" applyFont="1" applyFill="1" applyBorder="1"/>
    <xf numFmtId="165" fontId="2" fillId="2" borderId="27" xfId="0" applyNumberFormat="1" applyFont="1" applyFill="1" applyBorder="1"/>
    <xf numFmtId="166" fontId="3" fillId="2" borderId="1" xfId="0" applyNumberFormat="1" applyFont="1" applyFill="1" applyBorder="1" applyAlignment="1">
      <alignment horizontal="center"/>
    </xf>
    <xf numFmtId="0" fontId="2" fillId="2" borderId="13" xfId="0" applyFont="1" applyFill="1" applyBorder="1"/>
    <xf numFmtId="165" fontId="2" fillId="2" borderId="21" xfId="0" applyNumberFormat="1" applyFont="1" applyFill="1" applyBorder="1"/>
    <xf numFmtId="0" fontId="2" fillId="2" borderId="2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6" fontId="2" fillId="2" borderId="2" xfId="0" applyNumberFormat="1" applyFont="1" applyFill="1" applyBorder="1"/>
    <xf numFmtId="4" fontId="1" fillId="2" borderId="29" xfId="0" applyNumberFormat="1" applyFont="1" applyFill="1" applyBorder="1" applyAlignment="1">
      <alignment horizontal="right"/>
    </xf>
    <xf numFmtId="165" fontId="2" fillId="2" borderId="29" xfId="0" applyNumberFormat="1" applyFont="1" applyFill="1" applyBorder="1" applyAlignment="1">
      <alignment horizontal="right"/>
    </xf>
    <xf numFmtId="10" fontId="2" fillId="2" borderId="30" xfId="0" applyNumberFormat="1" applyFont="1" applyFill="1" applyBorder="1" applyAlignment="1">
      <alignment horizontal="center"/>
    </xf>
    <xf numFmtId="0" fontId="2" fillId="2" borderId="9" xfId="0" applyFont="1" applyFill="1" applyBorder="1"/>
    <xf numFmtId="0" fontId="2" fillId="2" borderId="10" xfId="0" applyNumberFormat="1" applyFont="1" applyFill="1" applyBorder="1" applyAlignment="1">
      <alignment horizontal="center"/>
    </xf>
    <xf numFmtId="166" fontId="2" fillId="2" borderId="11" xfId="0" applyNumberFormat="1" applyFont="1" applyFill="1" applyBorder="1" applyAlignment="1">
      <alignment horizontal="center"/>
    </xf>
    <xf numFmtId="4" fontId="2" fillId="2" borderId="10" xfId="0" applyNumberFormat="1" applyFont="1" applyFill="1" applyBorder="1" applyAlignment="1">
      <alignment horizontal="right"/>
    </xf>
    <xf numFmtId="165" fontId="2" fillId="2" borderId="10" xfId="0" applyNumberFormat="1" applyFont="1" applyFill="1" applyBorder="1" applyAlignment="1">
      <alignment horizontal="right"/>
    </xf>
    <xf numFmtId="10" fontId="2" fillId="2" borderId="13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164" fontId="2" fillId="2" borderId="18" xfId="0" applyNumberFormat="1" applyFont="1" applyFill="1" applyBorder="1" applyAlignment="1">
      <alignment horizontal="center"/>
    </xf>
    <xf numFmtId="2" fontId="4" fillId="2" borderId="18" xfId="0" applyNumberFormat="1" applyFont="1" applyFill="1" applyBorder="1" applyAlignment="1">
      <alignment horizontal="center"/>
    </xf>
    <xf numFmtId="4" fontId="1" fillId="2" borderId="18" xfId="0" applyNumberFormat="1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Fill="1" applyBorder="1" applyAlignment="1">
      <alignment horizontal="center"/>
    </xf>
    <xf numFmtId="165" fontId="2" fillId="2" borderId="18" xfId="0" applyNumberFormat="1" applyFont="1" applyFill="1" applyBorder="1" applyAlignment="1">
      <alignment horizontal="right"/>
    </xf>
    <xf numFmtId="2" fontId="2" fillId="2" borderId="20" xfId="0" applyNumberFormat="1" applyFont="1" applyFill="1" applyBorder="1"/>
    <xf numFmtId="0" fontId="1" fillId="2" borderId="32" xfId="0" applyFont="1" applyFill="1" applyBorder="1"/>
    <xf numFmtId="0" fontId="2" fillId="2" borderId="18" xfId="0" applyNumberFormat="1" applyFont="1" applyFill="1" applyBorder="1" applyAlignment="1">
      <alignment horizontal="center"/>
    </xf>
    <xf numFmtId="166" fontId="2" fillId="2" borderId="18" xfId="0" applyNumberFormat="1" applyFont="1" applyFill="1" applyBorder="1"/>
    <xf numFmtId="10" fontId="2" fillId="2" borderId="20" xfId="0" applyNumberFormat="1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6" fontId="2" fillId="2" borderId="21" xfId="0" applyNumberFormat="1" applyFont="1" applyFill="1" applyBorder="1"/>
    <xf numFmtId="4" fontId="1" fillId="2" borderId="21" xfId="0" applyNumberFormat="1" applyFont="1" applyFill="1" applyBorder="1" applyAlignment="1">
      <alignment horizontal="right"/>
    </xf>
    <xf numFmtId="165" fontId="2" fillId="2" borderId="21" xfId="0" applyNumberFormat="1" applyFont="1" applyFill="1" applyBorder="1" applyAlignment="1">
      <alignment horizontal="right"/>
    </xf>
    <xf numFmtId="10" fontId="2" fillId="2" borderId="22" xfId="0" applyNumberFormat="1" applyFont="1" applyFill="1" applyBorder="1" applyAlignment="1">
      <alignment horizontal="center"/>
    </xf>
    <xf numFmtId="0" fontId="2" fillId="2" borderId="31" xfId="0" applyFont="1" applyFill="1" applyBorder="1"/>
    <xf numFmtId="0" fontId="2" fillId="0" borderId="1" xfId="0" applyFont="1" applyBorder="1" applyAlignment="1">
      <alignment horizontal="center"/>
    </xf>
    <xf numFmtId="165" fontId="2" fillId="2" borderId="0" xfId="0" applyNumberFormat="1" applyFont="1" applyFill="1"/>
    <xf numFmtId="166" fontId="2" fillId="2" borderId="16" xfId="0" applyNumberFormat="1" applyFont="1" applyFill="1" applyBorder="1"/>
    <xf numFmtId="0" fontId="2" fillId="2" borderId="21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49" fontId="2" fillId="2" borderId="21" xfId="0" applyNumberFormat="1" applyFont="1" applyFill="1" applyBorder="1" applyAlignment="1">
      <alignment horizontal="center"/>
    </xf>
    <xf numFmtId="0" fontId="2" fillId="0" borderId="14" xfId="0" applyFont="1" applyFill="1" applyBorder="1"/>
    <xf numFmtId="0" fontId="2" fillId="0" borderId="1" xfId="0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right"/>
    </xf>
    <xf numFmtId="165" fontId="2" fillId="0" borderId="1" xfId="0" applyNumberFormat="1" applyFont="1" applyFill="1" applyBorder="1" applyAlignment="1">
      <alignment horizontal="right"/>
    </xf>
    <xf numFmtId="2" fontId="2" fillId="0" borderId="16" xfId="0" applyNumberFormat="1" applyFont="1" applyFill="1" applyBorder="1"/>
    <xf numFmtId="2" fontId="2" fillId="2" borderId="17" xfId="0" applyNumberFormat="1" applyFont="1" applyFill="1" applyBorder="1" applyAlignment="1">
      <alignment horizontal="center"/>
    </xf>
    <xf numFmtId="4" fontId="1" fillId="2" borderId="17" xfId="0" applyNumberFormat="1" applyFont="1" applyFill="1" applyBorder="1" applyAlignment="1">
      <alignment horizontal="right"/>
    </xf>
    <xf numFmtId="0" fontId="2" fillId="2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Fill="1" applyBorder="1" applyAlignment="1">
      <alignment horizontal="right"/>
    </xf>
    <xf numFmtId="2" fontId="2" fillId="2" borderId="1" xfId="0" applyNumberFormat="1" applyFont="1" applyFill="1" applyBorder="1"/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zoomScale="85" zoomScaleNormal="85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114</v>
      </c>
      <c r="G3" s="4" t="s">
        <v>115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6" t="s">
        <v>13</v>
      </c>
      <c r="C5" s="16">
        <v>51555166</v>
      </c>
      <c r="D5" s="16" t="s">
        <v>14</v>
      </c>
      <c r="E5" s="16">
        <v>132000</v>
      </c>
      <c r="F5" s="17">
        <v>2.1850000000000001</v>
      </c>
      <c r="G5" s="17">
        <v>2.1970000000000001</v>
      </c>
      <c r="H5" s="18">
        <f>(G5-F5)*E5</f>
        <v>1584.0000000000014</v>
      </c>
      <c r="I5" s="19"/>
      <c r="J5" s="20"/>
    </row>
    <row r="6" spans="1:10" ht="15.75" x14ac:dyDescent="0.25">
      <c r="A6" s="15" t="s">
        <v>15</v>
      </c>
      <c r="B6" s="16" t="s">
        <v>13</v>
      </c>
      <c r="C6" s="16">
        <v>51555191</v>
      </c>
      <c r="D6" s="16" t="s">
        <v>14</v>
      </c>
      <c r="E6" s="16">
        <v>132000</v>
      </c>
      <c r="F6" s="21">
        <v>252.11600000000001</v>
      </c>
      <c r="G6" s="21">
        <v>254.114</v>
      </c>
      <c r="H6" s="18">
        <f>(G6-F6)*E6</f>
        <v>263735.99999999872</v>
      </c>
      <c r="I6" s="19"/>
      <c r="J6" s="20"/>
    </row>
    <row r="7" spans="1:10" ht="15.75" x14ac:dyDescent="0.25">
      <c r="A7" s="219" t="s">
        <v>16</v>
      </c>
      <c r="B7" s="220"/>
      <c r="C7" s="16"/>
      <c r="D7" s="22"/>
      <c r="E7" s="16"/>
      <c r="H7" s="23">
        <f>H5+H6</f>
        <v>265319.99999999872</v>
      </c>
      <c r="I7" s="24">
        <f>H7-H10-H20</f>
        <v>2351.9999999968568</v>
      </c>
      <c r="J7" s="25">
        <f>I7/H7</f>
        <v>8.8647670737104934E-3</v>
      </c>
    </row>
    <row r="8" spans="1:10" ht="15.75" x14ac:dyDescent="0.25">
      <c r="A8" s="26" t="s">
        <v>17</v>
      </c>
      <c r="B8" s="16" t="s">
        <v>13</v>
      </c>
      <c r="C8" s="16">
        <v>51097629</v>
      </c>
      <c r="D8" s="22" t="s">
        <v>14</v>
      </c>
      <c r="E8" s="16">
        <v>42000</v>
      </c>
      <c r="F8" s="21">
        <v>832.49099999999999</v>
      </c>
      <c r="G8" s="21">
        <v>837.16300000000001</v>
      </c>
      <c r="H8" s="18">
        <f>(G8-F8)*E8</f>
        <v>196224.00000000108</v>
      </c>
      <c r="I8" s="19"/>
      <c r="J8" s="20"/>
    </row>
    <row r="9" spans="1:10" ht="15.75" x14ac:dyDescent="0.25">
      <c r="A9" s="26" t="s">
        <v>18</v>
      </c>
      <c r="B9" s="16" t="s">
        <v>13</v>
      </c>
      <c r="C9" s="16">
        <v>51616820</v>
      </c>
      <c r="D9" s="22" t="s">
        <v>14</v>
      </c>
      <c r="E9" s="16">
        <v>42000</v>
      </c>
      <c r="F9" s="21">
        <v>3.5049999999999999</v>
      </c>
      <c r="G9" s="21">
        <v>3.5289999999999999</v>
      </c>
      <c r="H9" s="18">
        <f>(G9-F9)*E9</f>
        <v>1008.0000000000009</v>
      </c>
      <c r="I9" s="19"/>
      <c r="J9" s="20"/>
    </row>
    <row r="10" spans="1:10" ht="15.75" x14ac:dyDescent="0.25">
      <c r="A10" s="219" t="s">
        <v>19</v>
      </c>
      <c r="B10" s="220"/>
      <c r="C10" s="16"/>
      <c r="D10" s="22"/>
      <c r="E10" s="16"/>
      <c r="F10" s="21"/>
      <c r="G10" s="21"/>
      <c r="H10" s="23">
        <f>H8+H9</f>
        <v>197232.00000000108</v>
      </c>
      <c r="I10" s="24">
        <f>H10-H17</f>
        <v>21.00000000197906</v>
      </c>
      <c r="J10" s="25">
        <f>I10/H10</f>
        <v>1.0647359455858555E-4</v>
      </c>
    </row>
    <row r="11" spans="1:10" ht="15.75" x14ac:dyDescent="0.25">
      <c r="A11" s="27" t="s">
        <v>20</v>
      </c>
      <c r="B11" s="16" t="s">
        <v>13</v>
      </c>
      <c r="C11" s="16">
        <v>51217286</v>
      </c>
      <c r="D11" s="22" t="s">
        <v>21</v>
      </c>
      <c r="E11" s="16">
        <v>21000</v>
      </c>
      <c r="F11" s="21">
        <v>662.15200000000004</v>
      </c>
      <c r="G11" s="21">
        <v>665.94799999999998</v>
      </c>
      <c r="H11" s="18">
        <f t="shared" ref="H11:H16" si="0">(G11-F11)*E11</f>
        <v>79715.999999998647</v>
      </c>
      <c r="I11" s="19"/>
      <c r="J11" s="20"/>
    </row>
    <row r="12" spans="1:10" ht="15.75" x14ac:dyDescent="0.25">
      <c r="A12" s="27" t="s">
        <v>22</v>
      </c>
      <c r="B12" s="16" t="s">
        <v>13</v>
      </c>
      <c r="C12" s="16">
        <v>51217292</v>
      </c>
      <c r="D12" s="22" t="s">
        <v>21</v>
      </c>
      <c r="E12" s="16">
        <v>21000</v>
      </c>
      <c r="F12" s="28">
        <v>2.44</v>
      </c>
      <c r="G12" s="28">
        <v>2.4620000000000002</v>
      </c>
      <c r="H12" s="18">
        <f>(G12-F12)*E12</f>
        <v>462.00000000000506</v>
      </c>
      <c r="I12" s="19"/>
      <c r="J12" s="20"/>
    </row>
    <row r="13" spans="1:10" ht="15.75" x14ac:dyDescent="0.25">
      <c r="A13" s="27" t="s">
        <v>23</v>
      </c>
      <c r="B13" s="16" t="s">
        <v>13</v>
      </c>
      <c r="C13" s="16">
        <v>51217271</v>
      </c>
      <c r="D13" s="22" t="s">
        <v>21</v>
      </c>
      <c r="E13" s="16">
        <v>21000</v>
      </c>
      <c r="F13" s="21">
        <v>476.76900000000001</v>
      </c>
      <c r="G13" s="21">
        <v>479.44200000000001</v>
      </c>
      <c r="H13" s="18">
        <f t="shared" si="0"/>
        <v>56133.000000000036</v>
      </c>
      <c r="I13" s="19"/>
      <c r="J13" s="20"/>
    </row>
    <row r="14" spans="1:10" ht="15.75" x14ac:dyDescent="0.25">
      <c r="A14" s="27" t="s">
        <v>24</v>
      </c>
      <c r="B14" s="16" t="s">
        <v>13</v>
      </c>
      <c r="C14" s="16">
        <v>51217276</v>
      </c>
      <c r="D14" s="22" t="s">
        <v>21</v>
      </c>
      <c r="E14" s="16">
        <v>21000</v>
      </c>
      <c r="F14" s="28">
        <v>0.28899999999999998</v>
      </c>
      <c r="G14" s="28">
        <v>0.29699999999999999</v>
      </c>
      <c r="H14" s="18">
        <f>(G14-F14)*E14</f>
        <v>168.00000000000014</v>
      </c>
      <c r="I14" s="19"/>
      <c r="J14" s="20"/>
    </row>
    <row r="15" spans="1:10" ht="15.75" x14ac:dyDescent="0.25">
      <c r="A15" s="27" t="s">
        <v>25</v>
      </c>
      <c r="B15" s="16" t="s">
        <v>13</v>
      </c>
      <c r="C15" s="16">
        <v>51100990</v>
      </c>
      <c r="D15" s="22" t="s">
        <v>21</v>
      </c>
      <c r="E15" s="16">
        <v>21000</v>
      </c>
      <c r="F15" s="29">
        <v>530.55999999999995</v>
      </c>
      <c r="G15" s="29">
        <v>533.43899999999996</v>
      </c>
      <c r="H15" s="18">
        <f t="shared" si="0"/>
        <v>60459.0000000004</v>
      </c>
      <c r="I15" s="19"/>
      <c r="J15" s="20"/>
    </row>
    <row r="16" spans="1:10" ht="15.75" x14ac:dyDescent="0.25">
      <c r="A16" s="27" t="s">
        <v>26</v>
      </c>
      <c r="B16" s="16" t="s">
        <v>13</v>
      </c>
      <c r="C16" s="16">
        <v>51097622</v>
      </c>
      <c r="D16" s="22" t="s">
        <v>21</v>
      </c>
      <c r="E16" s="16">
        <v>21000</v>
      </c>
      <c r="F16" s="21">
        <v>2.3159999999999998</v>
      </c>
      <c r="G16" s="21">
        <v>2.3290000000000002</v>
      </c>
      <c r="H16" s="18">
        <f t="shared" si="0"/>
        <v>273.00000000000722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6"/>
      <c r="D17" s="22"/>
      <c r="E17" s="16"/>
      <c r="F17" s="21"/>
      <c r="G17" s="21"/>
      <c r="H17" s="23">
        <f>H11+H12+H13+H14+H15+H16</f>
        <v>197210.9999999991</v>
      </c>
      <c r="I17" s="19"/>
      <c r="J17" s="20"/>
    </row>
    <row r="18" spans="1:10" ht="15.75" x14ac:dyDescent="0.25">
      <c r="A18" s="26" t="s">
        <v>29</v>
      </c>
      <c r="B18" s="16" t="s">
        <v>13</v>
      </c>
      <c r="C18" s="16">
        <v>51097617</v>
      </c>
      <c r="D18" s="22" t="s">
        <v>30</v>
      </c>
      <c r="E18" s="16">
        <v>18000</v>
      </c>
      <c r="F18" s="30">
        <v>615.25599999999997</v>
      </c>
      <c r="G18" s="30">
        <v>618.90800000000002</v>
      </c>
      <c r="H18" s="18">
        <f>(G18-F18)*E18</f>
        <v>65736.000000000786</v>
      </c>
      <c r="I18" s="19"/>
      <c r="J18" s="20"/>
    </row>
    <row r="19" spans="1:10" ht="15.75" x14ac:dyDescent="0.25">
      <c r="A19" s="26" t="s">
        <v>31</v>
      </c>
      <c r="B19" s="16" t="s">
        <v>13</v>
      </c>
      <c r="C19" s="16">
        <v>51097655</v>
      </c>
      <c r="D19" s="22" t="s">
        <v>30</v>
      </c>
      <c r="E19" s="16">
        <v>18000</v>
      </c>
      <c r="F19" s="30">
        <v>6.07</v>
      </c>
      <c r="G19" s="30">
        <v>6.07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6"/>
      <c r="D20" s="22"/>
      <c r="E20" s="16"/>
      <c r="F20" s="30"/>
      <c r="G20" s="30"/>
      <c r="H20" s="23">
        <f>H18+H19</f>
        <v>65736.000000000786</v>
      </c>
      <c r="I20" s="24">
        <f>H20-H35</f>
        <v>3351.6000000010608</v>
      </c>
      <c r="J20" s="25">
        <f>I20/H20</f>
        <v>5.098576122674061E-2</v>
      </c>
    </row>
    <row r="21" spans="1:10" ht="15.75" x14ac:dyDescent="0.25">
      <c r="A21" s="15" t="s">
        <v>33</v>
      </c>
      <c r="B21" s="16" t="s">
        <v>13</v>
      </c>
      <c r="C21" s="16">
        <v>51217282</v>
      </c>
      <c r="D21" s="22" t="s">
        <v>34</v>
      </c>
      <c r="E21" s="16">
        <v>4800</v>
      </c>
      <c r="F21" s="21">
        <v>378.363</v>
      </c>
      <c r="G21" s="21">
        <v>378.363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6" t="s">
        <v>13</v>
      </c>
      <c r="C22" s="16">
        <v>51217274</v>
      </c>
      <c r="D22" s="22" t="s">
        <v>34</v>
      </c>
      <c r="E22" s="16">
        <v>4800</v>
      </c>
      <c r="F22" s="21">
        <v>974.83100000000002</v>
      </c>
      <c r="G22" s="21">
        <v>980.78</v>
      </c>
      <c r="H22" s="18">
        <f t="shared" si="1"/>
        <v>28555.199999999786</v>
      </c>
      <c r="I22" s="19"/>
      <c r="J22" s="20"/>
    </row>
    <row r="23" spans="1:10" ht="15.75" x14ac:dyDescent="0.25">
      <c r="A23" s="15" t="s">
        <v>36</v>
      </c>
      <c r="B23" s="16" t="s">
        <v>13</v>
      </c>
      <c r="C23" s="16">
        <v>51097664</v>
      </c>
      <c r="D23" s="22" t="s">
        <v>37</v>
      </c>
      <c r="E23" s="16">
        <v>600</v>
      </c>
      <c r="F23" s="21">
        <v>3.637</v>
      </c>
      <c r="G23" s="21">
        <v>3.6549999999999998</v>
      </c>
      <c r="H23" s="18">
        <f t="shared" si="1"/>
        <v>10.799999999999876</v>
      </c>
      <c r="I23" s="19"/>
      <c r="J23" s="20"/>
    </row>
    <row r="24" spans="1:10" ht="15.75" x14ac:dyDescent="0.25">
      <c r="A24" s="15" t="s">
        <v>38</v>
      </c>
      <c r="B24" s="16" t="s">
        <v>13</v>
      </c>
      <c r="C24" s="16">
        <v>51097615</v>
      </c>
      <c r="D24" s="22" t="s">
        <v>37</v>
      </c>
      <c r="E24" s="16">
        <v>600</v>
      </c>
      <c r="F24" s="21">
        <v>21.248999999999999</v>
      </c>
      <c r="G24" s="21">
        <v>21.62</v>
      </c>
      <c r="H24" s="18">
        <f t="shared" si="1"/>
        <v>222.60000000000133</v>
      </c>
      <c r="I24" s="19"/>
      <c r="J24" s="20"/>
    </row>
    <row r="25" spans="1:10" ht="15.75" x14ac:dyDescent="0.25">
      <c r="A25" s="15" t="s">
        <v>39</v>
      </c>
      <c r="B25" s="16" t="s">
        <v>13</v>
      </c>
      <c r="C25" s="16">
        <v>51217264</v>
      </c>
      <c r="D25" s="22" t="s">
        <v>37</v>
      </c>
      <c r="E25" s="16">
        <v>600</v>
      </c>
      <c r="F25" s="21">
        <v>60.481000000000002</v>
      </c>
      <c r="G25" s="21">
        <v>61.179000000000002</v>
      </c>
      <c r="H25" s="18">
        <f t="shared" si="1"/>
        <v>418.80000000000024</v>
      </c>
      <c r="I25" s="19"/>
      <c r="J25" s="20"/>
    </row>
    <row r="26" spans="1:10" ht="15.75" x14ac:dyDescent="0.25">
      <c r="A26" s="15" t="s">
        <v>40</v>
      </c>
      <c r="B26" s="16" t="s">
        <v>13</v>
      </c>
      <c r="C26" s="16">
        <v>51217288</v>
      </c>
      <c r="D26" s="22" t="s">
        <v>37</v>
      </c>
      <c r="E26" s="16">
        <v>600</v>
      </c>
      <c r="F26" s="21">
        <v>18.545000000000002</v>
      </c>
      <c r="G26" s="21">
        <v>18.576000000000001</v>
      </c>
      <c r="H26" s="18">
        <f t="shared" si="1"/>
        <v>18.599999999999284</v>
      </c>
      <c r="I26" s="19" t="s">
        <v>27</v>
      </c>
      <c r="J26" s="20"/>
    </row>
    <row r="27" spans="1:10" ht="15.75" x14ac:dyDescent="0.25">
      <c r="A27" s="15" t="s">
        <v>41</v>
      </c>
      <c r="B27" s="16" t="s">
        <v>13</v>
      </c>
      <c r="C27" s="16">
        <v>51217279</v>
      </c>
      <c r="D27" s="22" t="s">
        <v>37</v>
      </c>
      <c r="E27" s="16">
        <v>600</v>
      </c>
      <c r="F27" s="21">
        <v>11.923999999999999</v>
      </c>
      <c r="G27" s="21">
        <v>11.977</v>
      </c>
      <c r="H27" s="18">
        <f t="shared" si="1"/>
        <v>31.800000000000495</v>
      </c>
      <c r="I27" s="19" t="s">
        <v>27</v>
      </c>
      <c r="J27" s="20"/>
    </row>
    <row r="28" spans="1:10" ht="15.75" x14ac:dyDescent="0.25">
      <c r="A28" s="15" t="s">
        <v>42</v>
      </c>
      <c r="B28" s="16" t="s">
        <v>13</v>
      </c>
      <c r="C28" s="16">
        <v>51217272</v>
      </c>
      <c r="D28" s="22" t="s">
        <v>37</v>
      </c>
      <c r="E28" s="16">
        <v>600</v>
      </c>
      <c r="F28" s="31">
        <v>11.698</v>
      </c>
      <c r="G28" s="31">
        <v>11.750999999999999</v>
      </c>
      <c r="H28" s="18">
        <f t="shared" si="1"/>
        <v>31.799999999999429</v>
      </c>
      <c r="I28" s="19"/>
      <c r="J28" s="20"/>
    </row>
    <row r="29" spans="1:10" ht="15.75" x14ac:dyDescent="0.25">
      <c r="A29" s="15" t="s">
        <v>43</v>
      </c>
      <c r="B29" s="16" t="s">
        <v>13</v>
      </c>
      <c r="C29" s="16">
        <v>51616744</v>
      </c>
      <c r="D29" s="22">
        <f>300/5</f>
        <v>60</v>
      </c>
      <c r="E29" s="16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6" t="s">
        <v>13</v>
      </c>
      <c r="C30" s="16">
        <v>51555226</v>
      </c>
      <c r="D30" s="22">
        <f>300/5</f>
        <v>60</v>
      </c>
      <c r="E30" s="16">
        <v>3600</v>
      </c>
      <c r="F30" s="31">
        <v>258.44400000000002</v>
      </c>
      <c r="G30" s="31">
        <v>262.62099999999998</v>
      </c>
      <c r="H30" s="18">
        <f>(G30-F30)*E30</f>
        <v>15037.19999999987</v>
      </c>
      <c r="I30" s="19"/>
      <c r="J30" s="20"/>
    </row>
    <row r="31" spans="1:10" ht="15.75" x14ac:dyDescent="0.25">
      <c r="A31" s="15" t="s">
        <v>45</v>
      </c>
      <c r="B31" s="16" t="s">
        <v>13</v>
      </c>
      <c r="C31" s="16">
        <v>51097658</v>
      </c>
      <c r="D31" s="22" t="s">
        <v>34</v>
      </c>
      <c r="E31" s="16">
        <v>4800</v>
      </c>
      <c r="F31" s="31">
        <v>447.11500000000001</v>
      </c>
      <c r="G31" s="31">
        <v>450.87400000000002</v>
      </c>
      <c r="H31" s="18">
        <f t="shared" si="1"/>
        <v>18043.20000000007</v>
      </c>
      <c r="I31" s="19"/>
      <c r="J31" s="20"/>
    </row>
    <row r="32" spans="1:10" ht="15.75" x14ac:dyDescent="0.25">
      <c r="A32" s="15" t="s">
        <v>46</v>
      </c>
      <c r="B32" s="16" t="s">
        <v>13</v>
      </c>
      <c r="C32" s="16">
        <v>51097635</v>
      </c>
      <c r="D32" s="22" t="s">
        <v>34</v>
      </c>
      <c r="E32" s="16">
        <v>4800</v>
      </c>
      <c r="F32" s="31">
        <v>48.423999999999999</v>
      </c>
      <c r="G32" s="31">
        <v>48.423999999999999</v>
      </c>
      <c r="H32" s="18">
        <f t="shared" si="1"/>
        <v>0</v>
      </c>
      <c r="I32" s="19"/>
      <c r="J32" s="20"/>
    </row>
    <row r="33" spans="1:10" ht="15.75" x14ac:dyDescent="0.25">
      <c r="A33" s="15" t="s">
        <v>47</v>
      </c>
      <c r="B33" s="16" t="s">
        <v>13</v>
      </c>
      <c r="C33" s="32">
        <v>51097633</v>
      </c>
      <c r="D33" s="22" t="s">
        <v>34</v>
      </c>
      <c r="E33" s="16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6" t="s">
        <v>13</v>
      </c>
      <c r="C34" s="32">
        <v>51097662</v>
      </c>
      <c r="D34" s="22" t="s">
        <v>34</v>
      </c>
      <c r="E34" s="16">
        <v>4800</v>
      </c>
      <c r="F34" s="31">
        <v>0.14299999999999999</v>
      </c>
      <c r="G34" s="31">
        <v>0.14599999999999999</v>
      </c>
      <c r="H34" s="33">
        <f t="shared" si="1"/>
        <v>14.400000000000013</v>
      </c>
      <c r="I34" s="34"/>
      <c r="J34" s="35"/>
    </row>
    <row r="35" spans="1:10" ht="15.75" x14ac:dyDescent="0.25">
      <c r="A35" s="219" t="s">
        <v>48</v>
      </c>
      <c r="B35" s="220"/>
      <c r="C35" s="16"/>
      <c r="D35" s="22"/>
      <c r="E35" s="16"/>
      <c r="F35" s="36"/>
      <c r="G35" s="36"/>
      <c r="H35" s="23">
        <f>H21+H22+H23+H24+H25+H26+H27+H28+H29+H30+H31+H32+H33+H34</f>
        <v>62384.399999999725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6" t="s">
        <v>51</v>
      </c>
      <c r="C37" s="16">
        <v>51555209</v>
      </c>
      <c r="D37" s="22" t="s">
        <v>52</v>
      </c>
      <c r="E37" s="16">
        <v>7000</v>
      </c>
      <c r="F37" s="17">
        <v>2.9289999999999998</v>
      </c>
      <c r="G37" s="17">
        <v>2.9750000000000001</v>
      </c>
      <c r="H37" s="41">
        <f>(G37-F37)*E37</f>
        <v>322.00000000000182</v>
      </c>
      <c r="I37" s="42"/>
      <c r="J37" s="14"/>
    </row>
    <row r="38" spans="1:10" ht="15.75" x14ac:dyDescent="0.25">
      <c r="A38" s="15" t="s">
        <v>53</v>
      </c>
      <c r="B38" s="16" t="s">
        <v>51</v>
      </c>
      <c r="C38" s="16">
        <v>51555209</v>
      </c>
      <c r="D38" s="22" t="s">
        <v>52</v>
      </c>
      <c r="E38" s="16">
        <v>7000</v>
      </c>
      <c r="F38" s="21">
        <v>7.9260000000000002</v>
      </c>
      <c r="G38" s="21">
        <v>7.96</v>
      </c>
      <c r="H38" s="18">
        <f>(G38-F38)*E38</f>
        <v>237.99999999999866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6" t="s">
        <v>51</v>
      </c>
      <c r="C40" s="16">
        <v>51097674</v>
      </c>
      <c r="D40" s="16" t="s">
        <v>14</v>
      </c>
      <c r="E40" s="16">
        <v>7200</v>
      </c>
      <c r="F40" s="21">
        <v>447.709</v>
      </c>
      <c r="G40" s="21">
        <v>450.346</v>
      </c>
      <c r="H40" s="18">
        <f>(G40-F40)*E40</f>
        <v>18986.400000000001</v>
      </c>
      <c r="I40" s="47"/>
      <c r="J40" s="20"/>
    </row>
    <row r="41" spans="1:10" ht="15.75" x14ac:dyDescent="0.25">
      <c r="A41" s="27" t="s">
        <v>56</v>
      </c>
      <c r="B41" s="16" t="s">
        <v>51</v>
      </c>
      <c r="C41" s="16">
        <v>51259257</v>
      </c>
      <c r="D41" s="16" t="s">
        <v>14</v>
      </c>
      <c r="E41" s="16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6"/>
      <c r="C42" s="16"/>
      <c r="D42" s="16"/>
      <c r="E42" s="16"/>
      <c r="F42" s="21"/>
      <c r="G42" s="21"/>
      <c r="H42" s="48">
        <f>H40+H41</f>
        <v>18986.400000000001</v>
      </c>
      <c r="I42" s="24">
        <f>H42-H50</f>
        <v>-123.19999999991342</v>
      </c>
      <c r="J42" s="25">
        <f>I42/H42</f>
        <v>-6.4888551805457276E-3</v>
      </c>
    </row>
    <row r="43" spans="1:10" ht="15.75" x14ac:dyDescent="0.25">
      <c r="A43" s="15" t="s">
        <v>58</v>
      </c>
      <c r="B43" s="16"/>
      <c r="C43" s="16"/>
      <c r="D43" s="22"/>
      <c r="E43" s="16"/>
      <c r="H43" s="18"/>
      <c r="I43" s="43"/>
      <c r="J43" s="20"/>
    </row>
    <row r="44" spans="1:10" ht="15.75" x14ac:dyDescent="0.25">
      <c r="A44" s="27" t="s">
        <v>59</v>
      </c>
      <c r="B44" s="16" t="s">
        <v>51</v>
      </c>
      <c r="C44" s="32">
        <v>51097648</v>
      </c>
      <c r="D44" s="16" t="s">
        <v>52</v>
      </c>
      <c r="E44" s="16">
        <v>1200</v>
      </c>
      <c r="F44" s="21">
        <v>365.505</v>
      </c>
      <c r="G44" s="21">
        <v>367.62099999999998</v>
      </c>
      <c r="H44" s="33">
        <f>(G44-F44)*E44</f>
        <v>2539.1999999999825</v>
      </c>
      <c r="I44" s="43"/>
      <c r="J44" s="20"/>
    </row>
    <row r="45" spans="1:10" ht="15.75" x14ac:dyDescent="0.25">
      <c r="A45" s="27" t="s">
        <v>60</v>
      </c>
      <c r="B45" s="16" t="s">
        <v>51</v>
      </c>
      <c r="C45" s="32">
        <v>50555043</v>
      </c>
      <c r="D45" s="16" t="s">
        <v>52</v>
      </c>
      <c r="E45" s="16">
        <v>1200</v>
      </c>
      <c r="F45" s="21">
        <v>1542.329</v>
      </c>
      <c r="G45" s="21">
        <v>1550.62</v>
      </c>
      <c r="H45" s="33">
        <f>(G45-F45)*E45</f>
        <v>9949.199999999928</v>
      </c>
      <c r="I45" s="43"/>
      <c r="J45" s="20"/>
    </row>
    <row r="46" spans="1:10" ht="15.75" x14ac:dyDescent="0.25">
      <c r="A46" s="27" t="s">
        <v>61</v>
      </c>
      <c r="B46" s="16" t="s">
        <v>51</v>
      </c>
      <c r="C46" s="32">
        <v>51259336</v>
      </c>
      <c r="D46" s="16" t="s">
        <v>62</v>
      </c>
      <c r="E46" s="16">
        <v>2400</v>
      </c>
      <c r="F46" s="21">
        <v>3.3170000000000002</v>
      </c>
      <c r="G46" s="21">
        <v>3.33</v>
      </c>
      <c r="H46" s="33">
        <f>(G46-F46)*E46</f>
        <v>31.199999999999761</v>
      </c>
      <c r="I46" s="43"/>
      <c r="J46" s="20"/>
    </row>
    <row r="47" spans="1:10" ht="15.75" x14ac:dyDescent="0.25">
      <c r="A47" s="27" t="s">
        <v>63</v>
      </c>
      <c r="B47" s="16" t="s">
        <v>51</v>
      </c>
      <c r="C47" s="32">
        <v>51259266</v>
      </c>
      <c r="D47" s="16" t="s">
        <v>52</v>
      </c>
      <c r="E47" s="16">
        <v>1200</v>
      </c>
      <c r="F47" s="21">
        <v>740.90800000000002</v>
      </c>
      <c r="G47" s="21">
        <v>746.00400000000002</v>
      </c>
      <c r="H47" s="33">
        <f>(G47-F47)*E47</f>
        <v>6115.2000000000044</v>
      </c>
      <c r="I47" s="43"/>
      <c r="J47" s="20"/>
    </row>
    <row r="48" spans="1:10" ht="15.75" x14ac:dyDescent="0.25">
      <c r="A48" s="27" t="s">
        <v>64</v>
      </c>
      <c r="B48" s="16" t="s">
        <v>51</v>
      </c>
      <c r="C48" s="32">
        <v>51431336</v>
      </c>
      <c r="D48" s="16" t="s">
        <v>52</v>
      </c>
      <c r="E48" s="16">
        <v>1200</v>
      </c>
      <c r="F48" s="21">
        <v>37.808</v>
      </c>
      <c r="G48" s="21">
        <v>38.161999999999999</v>
      </c>
      <c r="H48" s="33">
        <f>(G48-F48)*E48</f>
        <v>424.79999999999905</v>
      </c>
      <c r="I48" s="43"/>
      <c r="J48" s="20"/>
    </row>
    <row r="49" spans="1:10" ht="15.75" x14ac:dyDescent="0.25">
      <c r="A49" s="15" t="s">
        <v>65</v>
      </c>
      <c r="B49" s="16" t="s">
        <v>66</v>
      </c>
      <c r="C49" s="16">
        <v>49174</v>
      </c>
      <c r="D49" s="22" t="s">
        <v>52</v>
      </c>
      <c r="E49" s="16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19109.599999999915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6" t="s">
        <v>51</v>
      </c>
      <c r="C52" s="16">
        <v>51097603</v>
      </c>
      <c r="D52" s="22" t="s">
        <v>52</v>
      </c>
      <c r="E52" s="16">
        <v>7000</v>
      </c>
      <c r="F52" s="17">
        <v>1484.585</v>
      </c>
      <c r="G52" s="17">
        <v>1493.0319999999999</v>
      </c>
      <c r="H52" s="18">
        <f>(G52-F52)*E52</f>
        <v>59128.999999999221</v>
      </c>
      <c r="I52" s="43"/>
      <c r="J52" s="20"/>
    </row>
    <row r="53" spans="1:10" ht="15.75" x14ac:dyDescent="0.25">
      <c r="A53" s="27" t="s">
        <v>71</v>
      </c>
      <c r="B53" s="16" t="s">
        <v>51</v>
      </c>
      <c r="C53" s="16">
        <v>51097590</v>
      </c>
      <c r="D53" s="22" t="s">
        <v>52</v>
      </c>
      <c r="E53" s="16">
        <v>7000</v>
      </c>
      <c r="F53" s="21">
        <v>8.2859999999999996</v>
      </c>
      <c r="G53" s="21">
        <v>8.3580000000000005</v>
      </c>
      <c r="H53" s="18">
        <f>(G53-F53)*E53</f>
        <v>504.00000000000665</v>
      </c>
      <c r="I53" s="43"/>
      <c r="J53" s="20"/>
    </row>
    <row r="54" spans="1:10" ht="15.75" x14ac:dyDescent="0.25">
      <c r="A54" s="15" t="s">
        <v>65</v>
      </c>
      <c r="B54" s="16" t="s">
        <v>66</v>
      </c>
      <c r="C54" s="16">
        <v>49174</v>
      </c>
      <c r="D54" s="22" t="s">
        <v>52</v>
      </c>
      <c r="E54" s="16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6"/>
      <c r="D55" s="22"/>
      <c r="E55" s="16"/>
      <c r="F55" s="21"/>
      <c r="G55" s="21"/>
      <c r="H55" s="48">
        <f>H52+H53+H54</f>
        <v>59732.999999999229</v>
      </c>
      <c r="I55" s="47"/>
      <c r="J55" s="59"/>
    </row>
    <row r="56" spans="1:10" ht="15.75" x14ac:dyDescent="0.25">
      <c r="A56" s="27" t="s">
        <v>73</v>
      </c>
      <c r="B56" s="16" t="s">
        <v>51</v>
      </c>
      <c r="C56" s="16">
        <v>51100980</v>
      </c>
      <c r="D56" s="16" t="s">
        <v>74</v>
      </c>
      <c r="E56" s="16">
        <v>12000</v>
      </c>
      <c r="F56" s="21">
        <v>872.97199999999998</v>
      </c>
      <c r="G56" s="21">
        <v>877.95100000000002</v>
      </c>
      <c r="H56" s="18">
        <f>(G56-F56)*E56</f>
        <v>59748.000000000502</v>
      </c>
      <c r="I56" s="47"/>
      <c r="J56" s="58"/>
    </row>
    <row r="57" spans="1:10" ht="15.75" x14ac:dyDescent="0.25">
      <c r="A57" s="27" t="s">
        <v>75</v>
      </c>
      <c r="B57" s="16" t="s">
        <v>51</v>
      </c>
      <c r="C57" s="16">
        <v>51097623</v>
      </c>
      <c r="D57" s="16" t="s">
        <v>74</v>
      </c>
      <c r="E57" s="16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6"/>
      <c r="C58" s="16"/>
      <c r="D58" s="16"/>
      <c r="E58" s="16"/>
      <c r="F58" s="21"/>
      <c r="G58" s="21"/>
      <c r="H58" s="48">
        <f>H56+H57</f>
        <v>59748.000000000502</v>
      </c>
      <c r="I58" s="61">
        <f>H55-H65-H54</f>
        <v>-235.00000000020373</v>
      </c>
      <c r="J58" s="25">
        <f>I58/H58</f>
        <v>-3.933186048071931E-3</v>
      </c>
    </row>
    <row r="59" spans="1:10" ht="15.75" x14ac:dyDescent="0.25">
      <c r="A59" s="27" t="s">
        <v>77</v>
      </c>
      <c r="B59" s="16" t="s">
        <v>51</v>
      </c>
      <c r="C59" s="16">
        <v>51097675</v>
      </c>
      <c r="D59" s="16" t="s">
        <v>34</v>
      </c>
      <c r="E59" s="16">
        <v>4800</v>
      </c>
      <c r="F59" s="21">
        <v>322.53500000000003</v>
      </c>
      <c r="G59" s="21">
        <v>325.56799999999998</v>
      </c>
      <c r="H59" s="18">
        <f t="shared" ref="H59:H64" si="2">(G59-F59)*E59</f>
        <v>14558.399999999801</v>
      </c>
      <c r="I59" s="62"/>
      <c r="J59" s="59"/>
    </row>
    <row r="60" spans="1:10" ht="15.75" x14ac:dyDescent="0.25">
      <c r="A60" s="27" t="s">
        <v>78</v>
      </c>
      <c r="B60" s="16" t="s">
        <v>51</v>
      </c>
      <c r="C60" s="16">
        <v>51100997</v>
      </c>
      <c r="D60" s="16" t="s">
        <v>21</v>
      </c>
      <c r="E60" s="16">
        <v>3600</v>
      </c>
      <c r="F60" s="21">
        <v>1132.5650000000001</v>
      </c>
      <c r="G60" s="21">
        <v>1138.1489999999999</v>
      </c>
      <c r="H60" s="18">
        <f t="shared" si="2"/>
        <v>20102.399999999398</v>
      </c>
      <c r="I60" s="62"/>
      <c r="J60" s="59"/>
    </row>
    <row r="61" spans="1:10" ht="15.75" x14ac:dyDescent="0.25">
      <c r="A61" s="27" t="s">
        <v>79</v>
      </c>
      <c r="B61" s="16" t="s">
        <v>51</v>
      </c>
      <c r="C61" s="16">
        <v>51555218</v>
      </c>
      <c r="D61" s="16">
        <f>400/5</f>
        <v>80</v>
      </c>
      <c r="E61" s="16">
        <v>4800</v>
      </c>
      <c r="F61" s="21">
        <v>34.191000000000003</v>
      </c>
      <c r="G61" s="21">
        <v>34.725999999999999</v>
      </c>
      <c r="H61" s="18">
        <f t="shared" si="2"/>
        <v>2567.9999999999836</v>
      </c>
      <c r="I61" s="62"/>
      <c r="J61" s="59"/>
    </row>
    <row r="62" spans="1:10" ht="15.75" x14ac:dyDescent="0.25">
      <c r="A62" s="27" t="s">
        <v>80</v>
      </c>
      <c r="B62" s="16" t="s">
        <v>51</v>
      </c>
      <c r="C62" s="16">
        <v>51555151</v>
      </c>
      <c r="D62" s="16">
        <f>400/5</f>
        <v>80</v>
      </c>
      <c r="E62" s="16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6" t="s">
        <v>51</v>
      </c>
      <c r="C63" s="16">
        <v>51097599</v>
      </c>
      <c r="D63" s="16" t="s">
        <v>21</v>
      </c>
      <c r="E63" s="16">
        <v>3600</v>
      </c>
      <c r="F63" s="21">
        <v>806.88499999999999</v>
      </c>
      <c r="G63" s="21">
        <v>810.02700000000004</v>
      </c>
      <c r="H63" s="18">
        <f t="shared" si="2"/>
        <v>11311.20000000019</v>
      </c>
      <c r="I63" s="62"/>
      <c r="J63" s="59"/>
    </row>
    <row r="64" spans="1:10" ht="15.75" x14ac:dyDescent="0.25">
      <c r="A64" s="27" t="s">
        <v>82</v>
      </c>
      <c r="B64" s="16" t="s">
        <v>51</v>
      </c>
      <c r="C64" s="16">
        <v>51097620</v>
      </c>
      <c r="D64" s="16" t="s">
        <v>34</v>
      </c>
      <c r="E64" s="16">
        <v>4800</v>
      </c>
      <c r="F64" s="21">
        <v>359.40199999999999</v>
      </c>
      <c r="G64" s="21">
        <v>361.762</v>
      </c>
      <c r="H64" s="18">
        <f t="shared" si="2"/>
        <v>11328.000000000065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59867.999999999432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6" t="s">
        <v>51</v>
      </c>
      <c r="C67" s="9">
        <v>51259238</v>
      </c>
      <c r="D67" s="74" t="s">
        <v>52</v>
      </c>
      <c r="E67" s="74">
        <v>7000</v>
      </c>
      <c r="F67" s="75">
        <v>393.334</v>
      </c>
      <c r="G67" s="75">
        <v>396.07799999999997</v>
      </c>
      <c r="H67" s="76">
        <f>(G67-F67)*E67</f>
        <v>19207.9999999998</v>
      </c>
      <c r="I67" s="77"/>
      <c r="J67" s="78"/>
    </row>
    <row r="68" spans="1:10" ht="15.75" x14ac:dyDescent="0.25">
      <c r="A68" s="27" t="s">
        <v>85</v>
      </c>
      <c r="B68" s="16" t="s">
        <v>51</v>
      </c>
      <c r="C68" s="16">
        <v>51259324</v>
      </c>
      <c r="D68" s="22" t="s">
        <v>52</v>
      </c>
      <c r="E68" s="22">
        <v>7000</v>
      </c>
      <c r="F68" s="21">
        <v>301.72500000000002</v>
      </c>
      <c r="G68" s="21">
        <v>303.899</v>
      </c>
      <c r="H68" s="18">
        <f>(G68-F68)*E68</f>
        <v>15217.999999999847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6">
        <v>51491618</v>
      </c>
      <c r="D69" s="22" t="s">
        <v>62</v>
      </c>
      <c r="E69" s="16">
        <v>40</v>
      </c>
      <c r="F69" s="28">
        <v>627.31299999999999</v>
      </c>
      <c r="G69" s="28">
        <v>637.45399999999995</v>
      </c>
      <c r="H69" s="18">
        <f>(G69-F69)*E69</f>
        <v>405.63999999999851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6">
        <v>51491624</v>
      </c>
      <c r="D70" s="22" t="s">
        <v>62</v>
      </c>
      <c r="E70" s="16">
        <v>40</v>
      </c>
      <c r="F70" s="28">
        <v>93.287999999999997</v>
      </c>
      <c r="G70" s="28">
        <v>94.644999999999996</v>
      </c>
      <c r="H70" s="18">
        <f>(G70-F70)*E70</f>
        <v>54.279999999999973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34425.999999999651</v>
      </c>
      <c r="I71" s="85">
        <f>H71-H74-H69-H70</f>
        <v>-1133.9200000004787</v>
      </c>
      <c r="J71" s="25">
        <f>I71/H71</f>
        <v>-3.2937895776462271E-2</v>
      </c>
    </row>
    <row r="72" spans="1:10" ht="15.75" x14ac:dyDescent="0.25">
      <c r="A72" s="27" t="s">
        <v>90</v>
      </c>
      <c r="B72" s="16" t="s">
        <v>51</v>
      </c>
      <c r="C72" s="86">
        <v>51097588</v>
      </c>
      <c r="D72" s="22" t="s">
        <v>74</v>
      </c>
      <c r="E72" s="16">
        <v>12000</v>
      </c>
      <c r="F72" s="21">
        <v>239.16499999999999</v>
      </c>
      <c r="G72" s="21">
        <v>240.774</v>
      </c>
      <c r="H72" s="18">
        <f>(G72-F72)*E72</f>
        <v>19308.000000000106</v>
      </c>
      <c r="I72" s="51"/>
      <c r="J72" s="58"/>
    </row>
    <row r="73" spans="1:10" ht="15.75" x14ac:dyDescent="0.25">
      <c r="A73" s="27" t="s">
        <v>91</v>
      </c>
      <c r="B73" s="16" t="s">
        <v>51</v>
      </c>
      <c r="C73" s="86">
        <v>51431335</v>
      </c>
      <c r="D73" s="22" t="s">
        <v>74</v>
      </c>
      <c r="E73" s="16">
        <v>12000</v>
      </c>
      <c r="F73" s="21">
        <v>185.68799999999999</v>
      </c>
      <c r="G73" s="21">
        <v>187.00399999999999</v>
      </c>
      <c r="H73" s="18">
        <f>(G73-F73)*E73</f>
        <v>15792.000000000029</v>
      </c>
      <c r="I73" s="51"/>
      <c r="J73" s="58"/>
    </row>
    <row r="74" spans="1:10" ht="15.75" x14ac:dyDescent="0.25">
      <c r="A74" s="87" t="s">
        <v>92</v>
      </c>
      <c r="B74" s="16" t="s">
        <v>27</v>
      </c>
      <c r="C74" s="16"/>
      <c r="D74" s="22"/>
      <c r="E74" s="16"/>
      <c r="F74" s="21"/>
      <c r="G74" s="21"/>
      <c r="H74" s="48">
        <f>H72+ H73</f>
        <v>35100.000000000131</v>
      </c>
      <c r="I74" s="85">
        <f>H74-H82</f>
        <v>-101.99999999985448</v>
      </c>
      <c r="J74" s="25">
        <f>I74/H74</f>
        <v>-2.9059829059787491E-3</v>
      </c>
    </row>
    <row r="75" spans="1:10" ht="15.75" x14ac:dyDescent="0.25">
      <c r="A75" s="27" t="s">
        <v>93</v>
      </c>
      <c r="B75" s="16" t="s">
        <v>51</v>
      </c>
      <c r="C75" s="86">
        <v>51097676</v>
      </c>
      <c r="D75" s="88" t="s">
        <v>62</v>
      </c>
      <c r="E75" s="16">
        <v>2400</v>
      </c>
      <c r="F75" s="21">
        <v>470.85500000000002</v>
      </c>
      <c r="G75" s="21">
        <v>474.77</v>
      </c>
      <c r="H75" s="18">
        <f>(G75-F75)*E75</f>
        <v>9395.9999999999127</v>
      </c>
      <c r="I75" s="51"/>
      <c r="J75" s="58"/>
    </row>
    <row r="76" spans="1:10" ht="15.75" x14ac:dyDescent="0.25">
      <c r="A76" s="27" t="s">
        <v>94</v>
      </c>
      <c r="B76" s="16" t="s">
        <v>51</v>
      </c>
      <c r="C76" s="86">
        <v>51431355</v>
      </c>
      <c r="D76" s="22" t="s">
        <v>21</v>
      </c>
      <c r="E76" s="22">
        <v>3600</v>
      </c>
      <c r="F76" s="21">
        <v>286.34199999999998</v>
      </c>
      <c r="G76" s="21">
        <v>287.77</v>
      </c>
      <c r="H76" s="18">
        <f>(G76-F76)*E76</f>
        <v>5140.7999999999902</v>
      </c>
      <c r="I76" s="51"/>
      <c r="J76" s="52"/>
    </row>
    <row r="77" spans="1:10" ht="15.75" x14ac:dyDescent="0.25">
      <c r="A77" s="27" t="s">
        <v>95</v>
      </c>
      <c r="B77" s="16" t="s">
        <v>51</v>
      </c>
      <c r="C77" s="86">
        <v>51259331</v>
      </c>
      <c r="D77" s="88" t="s">
        <v>37</v>
      </c>
      <c r="E77" s="16">
        <v>600</v>
      </c>
      <c r="F77" s="21">
        <v>106.114</v>
      </c>
      <c r="G77" s="21">
        <v>106.956</v>
      </c>
      <c r="H77" s="18">
        <f>(G77-F77)*E77</f>
        <v>505.19999999999925</v>
      </c>
      <c r="I77" s="51"/>
      <c r="J77" s="52"/>
    </row>
    <row r="78" spans="1:10" ht="15.75" x14ac:dyDescent="0.25">
      <c r="A78" s="27" t="s">
        <v>96</v>
      </c>
      <c r="B78" s="16" t="s">
        <v>51</v>
      </c>
      <c r="C78" s="86">
        <v>51259326</v>
      </c>
      <c r="D78" s="88" t="s">
        <v>14</v>
      </c>
      <c r="E78" s="16">
        <v>7200</v>
      </c>
      <c r="F78" s="21">
        <v>245.839</v>
      </c>
      <c r="G78" s="21">
        <v>247.227</v>
      </c>
      <c r="H78" s="18">
        <f>(G78-F78)*E78</f>
        <v>9993.6000000000386</v>
      </c>
      <c r="I78" s="51"/>
      <c r="J78" s="52"/>
    </row>
    <row r="79" spans="1:10" ht="15.75" x14ac:dyDescent="0.25">
      <c r="A79" s="27" t="s">
        <v>97</v>
      </c>
      <c r="B79" s="16" t="s">
        <v>51</v>
      </c>
      <c r="C79" s="86">
        <v>51431351</v>
      </c>
      <c r="D79" s="88" t="s">
        <v>14</v>
      </c>
      <c r="E79" s="16">
        <v>7200</v>
      </c>
      <c r="F79" s="21">
        <v>154.517</v>
      </c>
      <c r="G79" s="21">
        <v>155.929</v>
      </c>
      <c r="H79" s="18">
        <f>(G79-F79)*E79</f>
        <v>10166.400000000045</v>
      </c>
      <c r="I79" s="51"/>
      <c r="J79" s="52"/>
    </row>
    <row r="80" spans="1:10" ht="15.75" x14ac:dyDescent="0.25">
      <c r="A80" s="89" t="s">
        <v>98</v>
      </c>
      <c r="B80" s="16" t="s">
        <v>51</v>
      </c>
      <c r="C80" s="90">
        <v>51097666</v>
      </c>
      <c r="D80" s="88" t="s">
        <v>62</v>
      </c>
      <c r="E80" s="16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6" t="s">
        <v>51</v>
      </c>
      <c r="C81" s="90">
        <v>51259323</v>
      </c>
      <c r="D81" s="88" t="s">
        <v>62</v>
      </c>
      <c r="E81" s="16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35201.999999999985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6" t="s">
        <v>51</v>
      </c>
      <c r="C84" s="106">
        <v>51431297</v>
      </c>
      <c r="D84" s="22" t="s">
        <v>52</v>
      </c>
      <c r="E84" s="100">
        <v>7000</v>
      </c>
      <c r="F84" s="17">
        <v>190.488</v>
      </c>
      <c r="G84" s="17">
        <v>191.30199999999999</v>
      </c>
      <c r="H84" s="18">
        <f>(G84-F84)*E84</f>
        <v>5697.9999999999509</v>
      </c>
      <c r="I84" s="107"/>
      <c r="J84" s="108"/>
    </row>
    <row r="85" spans="1:10" ht="15.75" x14ac:dyDescent="0.25">
      <c r="A85" s="105" t="s">
        <v>85</v>
      </c>
      <c r="B85" s="16" t="s">
        <v>51</v>
      </c>
      <c r="C85" s="106">
        <v>51431332</v>
      </c>
      <c r="D85" s="22" t="s">
        <v>52</v>
      </c>
      <c r="E85" s="100">
        <v>7000</v>
      </c>
      <c r="F85" s="21">
        <v>290.75099999999998</v>
      </c>
      <c r="G85" s="21">
        <v>292.45100000000002</v>
      </c>
      <c r="H85" s="18">
        <f>(G85-F85)*E85</f>
        <v>11900.000000000318</v>
      </c>
      <c r="I85" s="16"/>
      <c r="J85" s="58"/>
    </row>
    <row r="86" spans="1:10" ht="15.75" x14ac:dyDescent="0.25">
      <c r="A86" s="27" t="s">
        <v>86</v>
      </c>
      <c r="B86" s="16" t="s">
        <v>102</v>
      </c>
      <c r="C86" s="109">
        <v>150773</v>
      </c>
      <c r="D86" s="22" t="s">
        <v>52</v>
      </c>
      <c r="E86" s="109">
        <v>20</v>
      </c>
      <c r="F86" s="17">
        <v>15176.5</v>
      </c>
      <c r="G86" s="17">
        <v>15184.4</v>
      </c>
      <c r="H86" s="18">
        <f>(G86-F86)*E86</f>
        <v>157.99999999999272</v>
      </c>
      <c r="I86" s="51"/>
      <c r="J86" s="58"/>
    </row>
    <row r="87" spans="1:10" ht="15.75" x14ac:dyDescent="0.25">
      <c r="A87" s="27" t="s">
        <v>88</v>
      </c>
      <c r="B87" s="16" t="s">
        <v>102</v>
      </c>
      <c r="C87" s="109">
        <v>150791</v>
      </c>
      <c r="D87" s="22" t="s">
        <v>52</v>
      </c>
      <c r="E87" s="109">
        <v>20</v>
      </c>
      <c r="F87" s="21">
        <v>231.4</v>
      </c>
      <c r="G87" s="21">
        <v>231.7</v>
      </c>
      <c r="H87" s="18">
        <f>(G87-F87)*E87</f>
        <v>5.9999999999996589</v>
      </c>
      <c r="I87" s="51"/>
      <c r="J87" s="58"/>
    </row>
    <row r="88" spans="1:10" ht="15.75" x14ac:dyDescent="0.25">
      <c r="A88" s="110" t="s">
        <v>89</v>
      </c>
      <c r="B88" s="111"/>
      <c r="C88" s="32"/>
      <c r="D88" s="82"/>
      <c r="E88" s="82"/>
      <c r="F88" s="21"/>
      <c r="G88" s="21"/>
      <c r="H88" s="48">
        <f>H84+H85</f>
        <v>17598.000000000269</v>
      </c>
      <c r="I88" s="85">
        <f>H88-H91-H86-H87</f>
        <v>418.00000000020043</v>
      </c>
      <c r="J88" s="25">
        <f>I88/H88</f>
        <v>2.3752699170371296E-2</v>
      </c>
    </row>
    <row r="89" spans="1:10" ht="15.75" x14ac:dyDescent="0.25">
      <c r="A89" s="27" t="s">
        <v>103</v>
      </c>
      <c r="B89" s="16" t="s">
        <v>51</v>
      </c>
      <c r="C89" s="106">
        <v>51431342</v>
      </c>
      <c r="D89" s="88" t="s">
        <v>34</v>
      </c>
      <c r="E89" s="16">
        <v>4800</v>
      </c>
      <c r="F89" s="21">
        <v>269.09500000000003</v>
      </c>
      <c r="G89" s="21">
        <v>270.245</v>
      </c>
      <c r="H89" s="18">
        <f>(G89-F89)*E89</f>
        <v>5519.9999999998909</v>
      </c>
      <c r="I89" s="51"/>
      <c r="J89" s="52"/>
    </row>
    <row r="90" spans="1:10" ht="15.75" x14ac:dyDescent="0.25">
      <c r="A90" s="27" t="s">
        <v>104</v>
      </c>
      <c r="B90" s="16" t="s">
        <v>51</v>
      </c>
      <c r="C90" s="106">
        <v>51431343</v>
      </c>
      <c r="D90" s="88" t="s">
        <v>34</v>
      </c>
      <c r="E90" s="16">
        <v>4800</v>
      </c>
      <c r="F90" s="21">
        <v>412.80599999999998</v>
      </c>
      <c r="G90" s="21">
        <v>415.20100000000002</v>
      </c>
      <c r="H90" s="18">
        <f>(G90-F90)*E90</f>
        <v>11496.000000000186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17016.000000000076</v>
      </c>
      <c r="I91" s="85">
        <f>H91-H99</f>
        <v>-136.99999999994907</v>
      </c>
      <c r="J91" s="25">
        <f>I91/H91</f>
        <v>-8.0512458862217005E-3</v>
      </c>
    </row>
    <row r="92" spans="1:10" ht="15.75" x14ac:dyDescent="0.25">
      <c r="A92" s="27" t="s">
        <v>106</v>
      </c>
      <c r="B92" s="16" t="s">
        <v>51</v>
      </c>
      <c r="C92" s="106">
        <v>51431347</v>
      </c>
      <c r="D92" s="22" t="s">
        <v>52</v>
      </c>
      <c r="E92" s="16">
        <v>1200</v>
      </c>
      <c r="F92" s="21">
        <v>891.33299999999997</v>
      </c>
      <c r="G92" s="21">
        <v>899.54499999999996</v>
      </c>
      <c r="H92" s="18">
        <f t="shared" ref="H92:H100" si="4">(G92-F92)*E92</f>
        <v>9854.3999999999869</v>
      </c>
      <c r="I92" s="51"/>
      <c r="J92" s="52"/>
    </row>
    <row r="93" spans="1:10" ht="15.75" x14ac:dyDescent="0.25">
      <c r="A93" s="27" t="s">
        <v>107</v>
      </c>
      <c r="B93" s="16" t="s">
        <v>51</v>
      </c>
      <c r="C93" s="106">
        <v>51431339</v>
      </c>
      <c r="D93" s="22" t="s">
        <v>52</v>
      </c>
      <c r="E93" s="16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6" t="s">
        <v>51</v>
      </c>
      <c r="C94" s="106">
        <v>51217244</v>
      </c>
      <c r="D94" s="16" t="s">
        <v>37</v>
      </c>
      <c r="E94" s="16">
        <v>600</v>
      </c>
      <c r="F94" s="30">
        <v>224.8</v>
      </c>
      <c r="G94" s="30">
        <v>227.42599999999999</v>
      </c>
      <c r="H94" s="18">
        <f t="shared" si="4"/>
        <v>1575.5999999999858</v>
      </c>
      <c r="I94" s="51"/>
      <c r="J94" s="52"/>
    </row>
    <row r="95" spans="1:10" ht="15.75" x14ac:dyDescent="0.25">
      <c r="A95" s="27" t="s">
        <v>109</v>
      </c>
      <c r="B95" s="16" t="s">
        <v>51</v>
      </c>
      <c r="C95" s="106">
        <v>51217267</v>
      </c>
      <c r="D95" s="88" t="s">
        <v>62</v>
      </c>
      <c r="E95" s="16">
        <v>2400</v>
      </c>
      <c r="F95" s="30">
        <v>18.398</v>
      </c>
      <c r="G95" s="30">
        <v>18.431000000000001</v>
      </c>
      <c r="H95" s="18">
        <f t="shared" si="4"/>
        <v>79.200000000003001</v>
      </c>
      <c r="I95" s="51"/>
      <c r="J95" s="52"/>
    </row>
    <row r="96" spans="1:10" ht="15.75" x14ac:dyDescent="0.25">
      <c r="A96" s="27" t="s">
        <v>110</v>
      </c>
      <c r="B96" s="16" t="s">
        <v>51</v>
      </c>
      <c r="C96" s="16">
        <v>51555165</v>
      </c>
      <c r="D96" s="22" t="s">
        <v>52</v>
      </c>
      <c r="E96" s="16">
        <v>1200</v>
      </c>
      <c r="F96" s="30">
        <v>649.726</v>
      </c>
      <c r="G96" s="30">
        <v>649.726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16" t="s">
        <v>51</v>
      </c>
      <c r="C97" s="106">
        <v>51431346</v>
      </c>
      <c r="D97" s="114" t="s">
        <v>37</v>
      </c>
      <c r="E97" s="114">
        <v>600</v>
      </c>
      <c r="F97" s="30">
        <v>276.59100000000001</v>
      </c>
      <c r="G97" s="30">
        <v>276.988</v>
      </c>
      <c r="H97" s="115">
        <f t="shared" si="4"/>
        <v>238.19999999999482</v>
      </c>
      <c r="I97" s="116"/>
      <c r="J97" s="117"/>
    </row>
    <row r="98" spans="1:10" ht="15.75" x14ac:dyDescent="0.25">
      <c r="A98" s="27" t="s">
        <v>112</v>
      </c>
      <c r="B98" s="16" t="s">
        <v>51</v>
      </c>
      <c r="C98" s="106">
        <v>51431352</v>
      </c>
      <c r="D98" s="88" t="s">
        <v>21</v>
      </c>
      <c r="E98" s="16">
        <v>3600</v>
      </c>
      <c r="F98" s="21">
        <v>136.89699999999999</v>
      </c>
      <c r="G98" s="21">
        <v>138.35300000000001</v>
      </c>
      <c r="H98" s="18">
        <f t="shared" si="4"/>
        <v>5241.6000000000622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17153.000000000025</v>
      </c>
      <c r="I99" s="51"/>
      <c r="J99" s="52"/>
    </row>
    <row r="100" spans="1:10" ht="15.75" x14ac:dyDescent="0.25">
      <c r="A100" s="45" t="s">
        <v>113</v>
      </c>
      <c r="B100" s="16" t="s">
        <v>51</v>
      </c>
      <c r="C100" s="120">
        <v>51431357</v>
      </c>
      <c r="D100" s="22" t="s">
        <v>62</v>
      </c>
      <c r="E100" s="22">
        <v>14000</v>
      </c>
      <c r="F100" s="28">
        <v>629.59500000000003</v>
      </c>
      <c r="G100" s="28">
        <v>633.29300000000001</v>
      </c>
      <c r="H100" s="121">
        <f t="shared" si="4"/>
        <v>51771.999999999709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D1" zoomScale="85" zoomScaleNormal="85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117</v>
      </c>
      <c r="G3" s="4" t="s">
        <v>118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24" t="s">
        <v>13</v>
      </c>
      <c r="C5" s="124">
        <v>51555166</v>
      </c>
      <c r="D5" s="124" t="s">
        <v>14</v>
      </c>
      <c r="E5" s="124">
        <v>132000</v>
      </c>
      <c r="F5" s="17">
        <v>2.1970000000000001</v>
      </c>
      <c r="G5" s="17">
        <v>2.2090000000000001</v>
      </c>
      <c r="H5" s="18">
        <f>(G5-F5)*E5</f>
        <v>1584.0000000000014</v>
      </c>
      <c r="I5" s="19"/>
      <c r="J5" s="20"/>
    </row>
    <row r="6" spans="1:10" ht="15.75" x14ac:dyDescent="0.25">
      <c r="A6" s="15" t="s">
        <v>15</v>
      </c>
      <c r="B6" s="124" t="s">
        <v>13</v>
      </c>
      <c r="C6" s="124">
        <v>51555191</v>
      </c>
      <c r="D6" s="124" t="s">
        <v>14</v>
      </c>
      <c r="E6" s="124">
        <v>132000</v>
      </c>
      <c r="F6" s="21">
        <v>254.114</v>
      </c>
      <c r="G6" s="21">
        <v>256.03100000000001</v>
      </c>
      <c r="H6" s="18">
        <f>(G6-F6)*E6</f>
        <v>253044.0000000002</v>
      </c>
      <c r="I6" s="19"/>
      <c r="J6" s="20"/>
    </row>
    <row r="7" spans="1:10" ht="15.75" x14ac:dyDescent="0.25">
      <c r="A7" s="219" t="s">
        <v>16</v>
      </c>
      <c r="B7" s="220"/>
      <c r="C7" s="124"/>
      <c r="D7" s="125"/>
      <c r="E7" s="124"/>
      <c r="H7" s="23">
        <f>H5+H6</f>
        <v>254628.0000000002</v>
      </c>
      <c r="I7" s="24">
        <f>H7-H10-H20</f>
        <v>2802.0000000009823</v>
      </c>
      <c r="J7" s="25">
        <f>I7/H7</f>
        <v>1.1004288609269129E-2</v>
      </c>
    </row>
    <row r="8" spans="1:10" ht="15.75" x14ac:dyDescent="0.25">
      <c r="A8" s="26" t="s">
        <v>17</v>
      </c>
      <c r="B8" s="124" t="s">
        <v>13</v>
      </c>
      <c r="C8" s="124">
        <v>51097629</v>
      </c>
      <c r="D8" s="125" t="s">
        <v>14</v>
      </c>
      <c r="E8" s="124">
        <v>42000</v>
      </c>
      <c r="F8" s="21">
        <v>837.16300000000001</v>
      </c>
      <c r="G8" s="21">
        <v>841.64499999999998</v>
      </c>
      <c r="H8" s="18">
        <f>(G8-F8)*E8</f>
        <v>188243.99999999878</v>
      </c>
      <c r="I8" s="19"/>
      <c r="J8" s="20"/>
    </row>
    <row r="9" spans="1:10" ht="15.75" x14ac:dyDescent="0.25">
      <c r="A9" s="26" t="s">
        <v>18</v>
      </c>
      <c r="B9" s="124" t="s">
        <v>13</v>
      </c>
      <c r="C9" s="124">
        <v>51616820</v>
      </c>
      <c r="D9" s="125" t="s">
        <v>14</v>
      </c>
      <c r="E9" s="124">
        <v>42000</v>
      </c>
      <c r="F9" s="21">
        <v>3.5289999999999999</v>
      </c>
      <c r="G9" s="21">
        <v>3.5329999999999999</v>
      </c>
      <c r="H9" s="18">
        <f>(G9-F9)*E9</f>
        <v>168.00000000000014</v>
      </c>
      <c r="I9" s="19"/>
      <c r="J9" s="20"/>
    </row>
    <row r="10" spans="1:10" ht="15.75" x14ac:dyDescent="0.25">
      <c r="A10" s="219" t="s">
        <v>19</v>
      </c>
      <c r="B10" s="220"/>
      <c r="C10" s="124"/>
      <c r="D10" s="125"/>
      <c r="E10" s="124"/>
      <c r="F10" s="21"/>
      <c r="G10" s="21"/>
      <c r="H10" s="23">
        <f>H8+H9</f>
        <v>188411.99999999878</v>
      </c>
      <c r="I10" s="24">
        <f>H10-H17</f>
        <v>-819.00000000209548</v>
      </c>
      <c r="J10" s="25">
        <f>I10/H10</f>
        <v>-4.3468568881074492E-3</v>
      </c>
    </row>
    <row r="11" spans="1:10" ht="15.75" x14ac:dyDescent="0.25">
      <c r="A11" s="27" t="s">
        <v>20</v>
      </c>
      <c r="B11" s="124" t="s">
        <v>13</v>
      </c>
      <c r="C11" s="124">
        <v>51217286</v>
      </c>
      <c r="D11" s="125" t="s">
        <v>21</v>
      </c>
      <c r="E11" s="124">
        <v>21000</v>
      </c>
      <c r="F11" s="21">
        <v>665.94799999999998</v>
      </c>
      <c r="G11" s="21">
        <v>669.66899999999998</v>
      </c>
      <c r="H11" s="18">
        <f t="shared" ref="H11:H16" si="0">(G11-F11)*E11</f>
        <v>78141.000000000073</v>
      </c>
      <c r="I11" s="19"/>
      <c r="J11" s="20"/>
    </row>
    <row r="12" spans="1:10" ht="15.75" x14ac:dyDescent="0.25">
      <c r="A12" s="27" t="s">
        <v>22</v>
      </c>
      <c r="B12" s="124" t="s">
        <v>13</v>
      </c>
      <c r="C12" s="124">
        <v>51217292</v>
      </c>
      <c r="D12" s="125" t="s">
        <v>21</v>
      </c>
      <c r="E12" s="124">
        <v>21000</v>
      </c>
      <c r="F12" s="28">
        <v>2.4620000000000002</v>
      </c>
      <c r="G12" s="28">
        <v>2.4849999999999999</v>
      </c>
      <c r="H12" s="18">
        <f>(G12-F12)*E12</f>
        <v>482.99999999999341</v>
      </c>
      <c r="I12" s="19"/>
      <c r="J12" s="20"/>
    </row>
    <row r="13" spans="1:10" ht="15.75" x14ac:dyDescent="0.25">
      <c r="A13" s="27" t="s">
        <v>23</v>
      </c>
      <c r="B13" s="124" t="s">
        <v>13</v>
      </c>
      <c r="C13" s="124">
        <v>51217271</v>
      </c>
      <c r="D13" s="125" t="s">
        <v>21</v>
      </c>
      <c r="E13" s="124">
        <v>21000</v>
      </c>
      <c r="F13" s="21">
        <v>479.44200000000001</v>
      </c>
      <c r="G13" s="21">
        <v>481.89100000000002</v>
      </c>
      <c r="H13" s="18">
        <f t="shared" si="0"/>
        <v>51429.000000000255</v>
      </c>
      <c r="I13" s="19"/>
      <c r="J13" s="20"/>
    </row>
    <row r="14" spans="1:10" ht="15.75" x14ac:dyDescent="0.25">
      <c r="A14" s="27" t="s">
        <v>24</v>
      </c>
      <c r="B14" s="124" t="s">
        <v>13</v>
      </c>
      <c r="C14" s="124">
        <v>51217276</v>
      </c>
      <c r="D14" s="125" t="s">
        <v>21</v>
      </c>
      <c r="E14" s="124">
        <v>21000</v>
      </c>
      <c r="F14" s="28">
        <v>0.29699999999999999</v>
      </c>
      <c r="G14" s="28">
        <v>0.30599999999999999</v>
      </c>
      <c r="H14" s="18">
        <f>(G14-F14)*E14</f>
        <v>189.00000000000017</v>
      </c>
      <c r="I14" s="19"/>
      <c r="J14" s="20"/>
    </row>
    <row r="15" spans="1:10" ht="15.75" x14ac:dyDescent="0.25">
      <c r="A15" s="27" t="s">
        <v>25</v>
      </c>
      <c r="B15" s="124" t="s">
        <v>13</v>
      </c>
      <c r="C15" s="124">
        <v>51100990</v>
      </c>
      <c r="D15" s="125" t="s">
        <v>21</v>
      </c>
      <c r="E15" s="124">
        <v>21000</v>
      </c>
      <c r="F15" s="29">
        <v>533.43899999999996</v>
      </c>
      <c r="G15" s="29">
        <v>536.23599999999999</v>
      </c>
      <c r="H15" s="18">
        <f t="shared" si="0"/>
        <v>58737.000000000538</v>
      </c>
      <c r="I15" s="19"/>
      <c r="J15" s="20"/>
    </row>
    <row r="16" spans="1:10" ht="15.75" x14ac:dyDescent="0.25">
      <c r="A16" s="27" t="s">
        <v>26</v>
      </c>
      <c r="B16" s="124" t="s">
        <v>13</v>
      </c>
      <c r="C16" s="124">
        <v>51097622</v>
      </c>
      <c r="D16" s="125" t="s">
        <v>21</v>
      </c>
      <c r="E16" s="124">
        <v>21000</v>
      </c>
      <c r="F16" s="21">
        <v>2.3290000000000002</v>
      </c>
      <c r="G16" s="21">
        <v>2.3410000000000002</v>
      </c>
      <c r="H16" s="18">
        <f t="shared" si="0"/>
        <v>252.00000000000023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24"/>
      <c r="D17" s="125"/>
      <c r="E17" s="124"/>
      <c r="F17" s="21"/>
      <c r="G17" s="21"/>
      <c r="H17" s="23">
        <f>H11+H12+H13+H14+H15+H16</f>
        <v>189231.00000000087</v>
      </c>
      <c r="I17" s="19"/>
      <c r="J17" s="20"/>
    </row>
    <row r="18" spans="1:10" ht="15.75" x14ac:dyDescent="0.25">
      <c r="A18" s="26" t="s">
        <v>29</v>
      </c>
      <c r="B18" s="124" t="s">
        <v>13</v>
      </c>
      <c r="C18" s="124">
        <v>51097617</v>
      </c>
      <c r="D18" s="125" t="s">
        <v>30</v>
      </c>
      <c r="E18" s="124">
        <v>18000</v>
      </c>
      <c r="F18" s="30">
        <v>618.90800000000002</v>
      </c>
      <c r="G18" s="30">
        <v>622.43100000000004</v>
      </c>
      <c r="H18" s="18">
        <f>(G18-F18)*E18</f>
        <v>63414.000000000444</v>
      </c>
      <c r="I18" s="19"/>
      <c r="J18" s="20"/>
    </row>
    <row r="19" spans="1:10" ht="15.75" x14ac:dyDescent="0.25">
      <c r="A19" s="26" t="s">
        <v>31</v>
      </c>
      <c r="B19" s="124" t="s">
        <v>13</v>
      </c>
      <c r="C19" s="124">
        <v>51097655</v>
      </c>
      <c r="D19" s="125" t="s">
        <v>30</v>
      </c>
      <c r="E19" s="124">
        <v>18000</v>
      </c>
      <c r="F19" s="30">
        <v>6.07</v>
      </c>
      <c r="G19" s="30">
        <v>6.07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24"/>
      <c r="D20" s="125"/>
      <c r="E20" s="124"/>
      <c r="F20" s="30"/>
      <c r="G20" s="30"/>
      <c r="H20" s="23">
        <f>H18+H19</f>
        <v>63414.000000000444</v>
      </c>
      <c r="I20" s="24">
        <f>H20-H35</f>
        <v>3301.8000000002794</v>
      </c>
      <c r="J20" s="25">
        <f>I20/H20</f>
        <v>5.2067366827518467E-2</v>
      </c>
    </row>
    <row r="21" spans="1:10" ht="15.75" x14ac:dyDescent="0.25">
      <c r="A21" s="15" t="s">
        <v>33</v>
      </c>
      <c r="B21" s="124" t="s">
        <v>13</v>
      </c>
      <c r="C21" s="124">
        <v>51217282</v>
      </c>
      <c r="D21" s="125" t="s">
        <v>34</v>
      </c>
      <c r="E21" s="124">
        <v>4800</v>
      </c>
      <c r="F21" s="21">
        <v>378.363</v>
      </c>
      <c r="G21" s="21">
        <v>378.36599999999999</v>
      </c>
      <c r="H21" s="18">
        <f t="shared" ref="H21:H34" si="1">(G21-F21)*E21</f>
        <v>14.399999999932334</v>
      </c>
      <c r="I21" s="19" t="s">
        <v>27</v>
      </c>
      <c r="J21" s="20"/>
    </row>
    <row r="22" spans="1:10" ht="15.75" x14ac:dyDescent="0.25">
      <c r="A22" s="15" t="s">
        <v>35</v>
      </c>
      <c r="B22" s="124" t="s">
        <v>13</v>
      </c>
      <c r="C22" s="124">
        <v>51217274</v>
      </c>
      <c r="D22" s="125" t="s">
        <v>34</v>
      </c>
      <c r="E22" s="124">
        <v>4800</v>
      </c>
      <c r="F22" s="21">
        <v>980.78</v>
      </c>
      <c r="G22" s="21">
        <v>986.577</v>
      </c>
      <c r="H22" s="18">
        <f t="shared" si="1"/>
        <v>27825.600000000122</v>
      </c>
      <c r="I22" s="19"/>
      <c r="J22" s="20"/>
    </row>
    <row r="23" spans="1:10" ht="15.75" x14ac:dyDescent="0.25">
      <c r="A23" s="15" t="s">
        <v>36</v>
      </c>
      <c r="B23" s="124" t="s">
        <v>13</v>
      </c>
      <c r="C23" s="124">
        <v>51097664</v>
      </c>
      <c r="D23" s="125" t="s">
        <v>37</v>
      </c>
      <c r="E23" s="124">
        <v>600</v>
      </c>
      <c r="F23" s="21">
        <v>3.6549999999999998</v>
      </c>
      <c r="G23" s="21">
        <v>3.669</v>
      </c>
      <c r="H23" s="18">
        <f t="shared" si="1"/>
        <v>8.4000000000001407</v>
      </c>
      <c r="I23" s="19"/>
      <c r="J23" s="20"/>
    </row>
    <row r="24" spans="1:10" ht="15.75" x14ac:dyDescent="0.25">
      <c r="A24" s="15" t="s">
        <v>38</v>
      </c>
      <c r="B24" s="124" t="s">
        <v>13</v>
      </c>
      <c r="C24" s="124">
        <v>51097615</v>
      </c>
      <c r="D24" s="125" t="s">
        <v>37</v>
      </c>
      <c r="E24" s="124">
        <v>600</v>
      </c>
      <c r="F24" s="21">
        <v>21.62</v>
      </c>
      <c r="G24" s="21">
        <v>21.989000000000001</v>
      </c>
      <c r="H24" s="18">
        <f t="shared" si="1"/>
        <v>221.39999999999986</v>
      </c>
      <c r="I24" s="19"/>
      <c r="J24" s="20"/>
    </row>
    <row r="25" spans="1:10" ht="15.75" x14ac:dyDescent="0.25">
      <c r="A25" s="15" t="s">
        <v>39</v>
      </c>
      <c r="B25" s="124" t="s">
        <v>13</v>
      </c>
      <c r="C25" s="124">
        <v>51217264</v>
      </c>
      <c r="D25" s="125" t="s">
        <v>37</v>
      </c>
      <c r="E25" s="124">
        <v>600</v>
      </c>
      <c r="F25" s="21">
        <v>61.179000000000002</v>
      </c>
      <c r="G25" s="21">
        <v>61.817</v>
      </c>
      <c r="H25" s="18">
        <f t="shared" si="1"/>
        <v>382.79999999999887</v>
      </c>
      <c r="I25" s="19"/>
      <c r="J25" s="20"/>
    </row>
    <row r="26" spans="1:10" ht="15.75" x14ac:dyDescent="0.25">
      <c r="A26" s="15" t="s">
        <v>40</v>
      </c>
      <c r="B26" s="124" t="s">
        <v>13</v>
      </c>
      <c r="C26" s="124">
        <v>51217288</v>
      </c>
      <c r="D26" s="125" t="s">
        <v>37</v>
      </c>
      <c r="E26" s="124">
        <v>600</v>
      </c>
      <c r="F26" s="21">
        <v>18.576000000000001</v>
      </c>
      <c r="G26" s="21">
        <v>18.606999999999999</v>
      </c>
      <c r="H26" s="18">
        <f t="shared" si="1"/>
        <v>18.599999999999284</v>
      </c>
      <c r="I26" s="19" t="s">
        <v>27</v>
      </c>
      <c r="J26" s="20"/>
    </row>
    <row r="27" spans="1:10" ht="15.75" x14ac:dyDescent="0.25">
      <c r="A27" s="15" t="s">
        <v>41</v>
      </c>
      <c r="B27" s="124" t="s">
        <v>13</v>
      </c>
      <c r="C27" s="124">
        <v>51217279</v>
      </c>
      <c r="D27" s="125" t="s">
        <v>37</v>
      </c>
      <c r="E27" s="124">
        <v>600</v>
      </c>
      <c r="F27" s="21">
        <v>11.977</v>
      </c>
      <c r="G27" s="21">
        <v>12.031000000000001</v>
      </c>
      <c r="H27" s="18">
        <f t="shared" si="1"/>
        <v>32.400000000000162</v>
      </c>
      <c r="I27" s="19" t="s">
        <v>27</v>
      </c>
      <c r="J27" s="20"/>
    </row>
    <row r="28" spans="1:10" ht="15.75" x14ac:dyDescent="0.25">
      <c r="A28" s="15" t="s">
        <v>42</v>
      </c>
      <c r="B28" s="124" t="s">
        <v>13</v>
      </c>
      <c r="C28" s="124">
        <v>51217272</v>
      </c>
      <c r="D28" s="125" t="s">
        <v>37</v>
      </c>
      <c r="E28" s="124">
        <v>600</v>
      </c>
      <c r="F28" s="31">
        <v>11.750999999999999</v>
      </c>
      <c r="G28" s="31">
        <v>11.804</v>
      </c>
      <c r="H28" s="18">
        <f t="shared" si="1"/>
        <v>31.800000000000495</v>
      </c>
      <c r="I28" s="19"/>
      <c r="J28" s="20"/>
    </row>
    <row r="29" spans="1:10" ht="15.75" x14ac:dyDescent="0.25">
      <c r="A29" s="15" t="s">
        <v>43</v>
      </c>
      <c r="B29" s="124" t="s">
        <v>13</v>
      </c>
      <c r="C29" s="124">
        <v>51616744</v>
      </c>
      <c r="D29" s="125">
        <f>300/5</f>
        <v>60</v>
      </c>
      <c r="E29" s="124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24" t="s">
        <v>13</v>
      </c>
      <c r="C30" s="124">
        <v>51555226</v>
      </c>
      <c r="D30" s="125">
        <f>300/5</f>
        <v>60</v>
      </c>
      <c r="E30" s="124">
        <v>3600</v>
      </c>
      <c r="F30" s="31">
        <v>262.62099999999998</v>
      </c>
      <c r="G30" s="31">
        <v>266.51100000000002</v>
      </c>
      <c r="H30" s="18">
        <f>(G30-F30)*E30</f>
        <v>14004.000000000156</v>
      </c>
      <c r="I30" s="19"/>
      <c r="J30" s="20"/>
    </row>
    <row r="31" spans="1:10" ht="15.75" x14ac:dyDescent="0.25">
      <c r="A31" s="15" t="s">
        <v>45</v>
      </c>
      <c r="B31" s="124" t="s">
        <v>13</v>
      </c>
      <c r="C31" s="124">
        <v>51097658</v>
      </c>
      <c r="D31" s="125" t="s">
        <v>34</v>
      </c>
      <c r="E31" s="124">
        <v>4800</v>
      </c>
      <c r="F31" s="31">
        <v>450.87400000000002</v>
      </c>
      <c r="G31" s="31">
        <v>454.53300000000002</v>
      </c>
      <c r="H31" s="18">
        <f t="shared" si="1"/>
        <v>17563.199999999961</v>
      </c>
      <c r="I31" s="19"/>
      <c r="J31" s="20"/>
    </row>
    <row r="32" spans="1:10" ht="15.75" x14ac:dyDescent="0.25">
      <c r="A32" s="15" t="s">
        <v>46</v>
      </c>
      <c r="B32" s="124" t="s">
        <v>13</v>
      </c>
      <c r="C32" s="124">
        <v>51097635</v>
      </c>
      <c r="D32" s="125" t="s">
        <v>34</v>
      </c>
      <c r="E32" s="124">
        <v>4800</v>
      </c>
      <c r="F32" s="31">
        <v>48.423999999999999</v>
      </c>
      <c r="G32" s="31">
        <v>48.424999999999997</v>
      </c>
      <c r="H32" s="18">
        <f t="shared" si="1"/>
        <v>4.7999999999888132</v>
      </c>
      <c r="I32" s="19"/>
      <c r="J32" s="20"/>
    </row>
    <row r="33" spans="1:10" ht="15.75" x14ac:dyDescent="0.25">
      <c r="A33" s="15" t="s">
        <v>47</v>
      </c>
      <c r="B33" s="124" t="s">
        <v>13</v>
      </c>
      <c r="C33" s="32">
        <v>51097633</v>
      </c>
      <c r="D33" s="125" t="s">
        <v>34</v>
      </c>
      <c r="E33" s="124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24" t="s">
        <v>13</v>
      </c>
      <c r="C34" s="32">
        <v>51097662</v>
      </c>
      <c r="D34" s="125" t="s">
        <v>34</v>
      </c>
      <c r="E34" s="124">
        <v>4800</v>
      </c>
      <c r="F34" s="31">
        <v>0.14599999999999999</v>
      </c>
      <c r="G34" s="31">
        <v>0.14699999999999999</v>
      </c>
      <c r="H34" s="33">
        <f t="shared" si="1"/>
        <v>4.8000000000000043</v>
      </c>
      <c r="I34" s="34"/>
      <c r="J34" s="35"/>
    </row>
    <row r="35" spans="1:10" ht="15.75" x14ac:dyDescent="0.25">
      <c r="A35" s="219" t="s">
        <v>48</v>
      </c>
      <c r="B35" s="220"/>
      <c r="C35" s="124"/>
      <c r="D35" s="125"/>
      <c r="E35" s="124"/>
      <c r="F35" s="36"/>
      <c r="G35" s="36"/>
      <c r="H35" s="23">
        <f>H21+H22+H23+H24+H25+H26+H27+H28+H29+H30+H31+H32+H33+H34</f>
        <v>60112.200000000164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24" t="s">
        <v>51</v>
      </c>
      <c r="C37" s="124">
        <v>51555209</v>
      </c>
      <c r="D37" s="125" t="s">
        <v>52</v>
      </c>
      <c r="E37" s="124">
        <v>7000</v>
      </c>
      <c r="F37" s="17">
        <v>2.9750000000000001</v>
      </c>
      <c r="G37" s="17">
        <v>3.0219999999999998</v>
      </c>
      <c r="H37" s="41">
        <f>(G37-F37)*E37</f>
        <v>328.99999999999795</v>
      </c>
      <c r="I37" s="42"/>
      <c r="J37" s="14"/>
    </row>
    <row r="38" spans="1:10" ht="15.75" x14ac:dyDescent="0.25">
      <c r="A38" s="15" t="s">
        <v>53</v>
      </c>
      <c r="B38" s="124" t="s">
        <v>51</v>
      </c>
      <c r="C38" s="124">
        <v>51555209</v>
      </c>
      <c r="D38" s="125" t="s">
        <v>52</v>
      </c>
      <c r="E38" s="124">
        <v>7000</v>
      </c>
      <c r="F38" s="21">
        <v>7.96</v>
      </c>
      <c r="G38" s="21">
        <v>7.9930000000000003</v>
      </c>
      <c r="H38" s="18">
        <f>(G38-F38)*E38</f>
        <v>231.00000000000253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24" t="s">
        <v>51</v>
      </c>
      <c r="C40" s="124">
        <v>51097674</v>
      </c>
      <c r="D40" s="124" t="s">
        <v>14</v>
      </c>
      <c r="E40" s="124">
        <v>7200</v>
      </c>
      <c r="F40" s="21">
        <v>450.346</v>
      </c>
      <c r="G40" s="21">
        <v>452.94600000000003</v>
      </c>
      <c r="H40" s="18">
        <f>(G40-F40)*E40</f>
        <v>18720.000000000164</v>
      </c>
      <c r="I40" s="47"/>
      <c r="J40" s="20"/>
    </row>
    <row r="41" spans="1:10" ht="15.75" x14ac:dyDescent="0.25">
      <c r="A41" s="27" t="s">
        <v>56</v>
      </c>
      <c r="B41" s="124" t="s">
        <v>51</v>
      </c>
      <c r="C41" s="124">
        <v>51259257</v>
      </c>
      <c r="D41" s="124" t="s">
        <v>14</v>
      </c>
      <c r="E41" s="124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24"/>
      <c r="C42" s="124"/>
      <c r="D42" s="124"/>
      <c r="E42" s="124"/>
      <c r="F42" s="21"/>
      <c r="G42" s="21"/>
      <c r="H42" s="48">
        <f>H40+H41</f>
        <v>18720.000000000164</v>
      </c>
      <c r="I42" s="24">
        <f>H42-H50</f>
        <v>-96.799999999955617</v>
      </c>
      <c r="J42" s="25">
        <f>I42/H42</f>
        <v>-5.170940170937755E-3</v>
      </c>
    </row>
    <row r="43" spans="1:10" ht="15.75" x14ac:dyDescent="0.25">
      <c r="A43" s="15" t="s">
        <v>58</v>
      </c>
      <c r="B43" s="124"/>
      <c r="C43" s="124"/>
      <c r="D43" s="125"/>
      <c r="E43" s="124"/>
      <c r="H43" s="18"/>
      <c r="I43" s="43"/>
      <c r="J43" s="20"/>
    </row>
    <row r="44" spans="1:10" ht="15.75" x14ac:dyDescent="0.25">
      <c r="A44" s="27" t="s">
        <v>59</v>
      </c>
      <c r="B44" s="124" t="s">
        <v>51</v>
      </c>
      <c r="C44" s="32">
        <v>51097648</v>
      </c>
      <c r="D44" s="124" t="s">
        <v>52</v>
      </c>
      <c r="E44" s="124">
        <v>1200</v>
      </c>
      <c r="F44" s="21">
        <v>367.62099999999998</v>
      </c>
      <c r="G44" s="21">
        <v>369.81599999999997</v>
      </c>
      <c r="H44" s="33">
        <f>(G44-F44)*E44</f>
        <v>2633.9999999999918</v>
      </c>
      <c r="I44" s="43"/>
      <c r="J44" s="20"/>
    </row>
    <row r="45" spans="1:10" ht="15.75" x14ac:dyDescent="0.25">
      <c r="A45" s="27" t="s">
        <v>60</v>
      </c>
      <c r="B45" s="124" t="s">
        <v>51</v>
      </c>
      <c r="C45" s="32">
        <v>50555043</v>
      </c>
      <c r="D45" s="124" t="s">
        <v>52</v>
      </c>
      <c r="E45" s="124">
        <v>1200</v>
      </c>
      <c r="F45" s="21">
        <v>1550.62</v>
      </c>
      <c r="G45" s="21">
        <v>1558.703</v>
      </c>
      <c r="H45" s="33">
        <f>(G45-F45)*E45</f>
        <v>9699.6000000001004</v>
      </c>
      <c r="I45" s="43"/>
      <c r="J45" s="20"/>
    </row>
    <row r="46" spans="1:10" ht="15.75" x14ac:dyDescent="0.25">
      <c r="A46" s="27" t="s">
        <v>61</v>
      </c>
      <c r="B46" s="124" t="s">
        <v>51</v>
      </c>
      <c r="C46" s="32">
        <v>51259336</v>
      </c>
      <c r="D46" s="124" t="s">
        <v>62</v>
      </c>
      <c r="E46" s="124">
        <v>2400</v>
      </c>
      <c r="F46" s="21">
        <v>3.33</v>
      </c>
      <c r="G46" s="21">
        <v>3.3340000000000001</v>
      </c>
      <c r="H46" s="33">
        <f>(G46-F46)*E46</f>
        <v>9.6000000000000085</v>
      </c>
      <c r="I46" s="43"/>
      <c r="J46" s="20"/>
    </row>
    <row r="47" spans="1:10" ht="15.75" x14ac:dyDescent="0.25">
      <c r="A47" s="27" t="s">
        <v>63</v>
      </c>
      <c r="B47" s="124" t="s">
        <v>51</v>
      </c>
      <c r="C47" s="32">
        <v>51259266</v>
      </c>
      <c r="D47" s="124" t="s">
        <v>52</v>
      </c>
      <c r="E47" s="124">
        <v>1200</v>
      </c>
      <c r="F47" s="21">
        <v>746.00400000000002</v>
      </c>
      <c r="G47" s="21">
        <v>751.02700000000004</v>
      </c>
      <c r="H47" s="33">
        <f>(G47-F47)*E47</f>
        <v>6027.6000000000295</v>
      </c>
      <c r="I47" s="43"/>
      <c r="J47" s="20"/>
    </row>
    <row r="48" spans="1:10" ht="15.75" x14ac:dyDescent="0.25">
      <c r="A48" s="27" t="s">
        <v>64</v>
      </c>
      <c r="B48" s="124" t="s">
        <v>51</v>
      </c>
      <c r="C48" s="32">
        <v>51431336</v>
      </c>
      <c r="D48" s="124" t="s">
        <v>52</v>
      </c>
      <c r="E48" s="124">
        <v>1200</v>
      </c>
      <c r="F48" s="21">
        <v>38.161999999999999</v>
      </c>
      <c r="G48" s="21">
        <v>38.491999999999997</v>
      </c>
      <c r="H48" s="33">
        <f>(G48-F48)*E48</f>
        <v>395.99999999999795</v>
      </c>
      <c r="I48" s="43"/>
      <c r="J48" s="20"/>
    </row>
    <row r="49" spans="1:10" ht="15.75" x14ac:dyDescent="0.25">
      <c r="A49" s="15" t="s">
        <v>65</v>
      </c>
      <c r="B49" s="124" t="s">
        <v>66</v>
      </c>
      <c r="C49" s="124">
        <v>49174</v>
      </c>
      <c r="D49" s="125" t="s">
        <v>52</v>
      </c>
      <c r="E49" s="124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18816.800000000119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24" t="s">
        <v>51</v>
      </c>
      <c r="C52" s="124">
        <v>51097603</v>
      </c>
      <c r="D52" s="125" t="s">
        <v>52</v>
      </c>
      <c r="E52" s="124">
        <v>7000</v>
      </c>
      <c r="F52" s="17">
        <v>1493.0319999999999</v>
      </c>
      <c r="G52" s="17">
        <v>1501.29</v>
      </c>
      <c r="H52" s="18">
        <f>(G52-F52)*E52</f>
        <v>57806.000000000269</v>
      </c>
      <c r="I52" s="43"/>
      <c r="J52" s="20"/>
    </row>
    <row r="53" spans="1:10" ht="15.75" x14ac:dyDescent="0.25">
      <c r="A53" s="27" t="s">
        <v>71</v>
      </c>
      <c r="B53" s="124" t="s">
        <v>51</v>
      </c>
      <c r="C53" s="124">
        <v>51097590</v>
      </c>
      <c r="D53" s="125" t="s">
        <v>52</v>
      </c>
      <c r="E53" s="124">
        <v>7000</v>
      </c>
      <c r="F53" s="21">
        <v>8.3580000000000005</v>
      </c>
      <c r="G53" s="21">
        <v>8.4269999999999996</v>
      </c>
      <c r="H53" s="18">
        <f>(G53-F53)*E53</f>
        <v>482.99999999999341</v>
      </c>
      <c r="I53" s="43"/>
      <c r="J53" s="20"/>
    </row>
    <row r="54" spans="1:10" ht="15.75" x14ac:dyDescent="0.25">
      <c r="A54" s="15" t="s">
        <v>65</v>
      </c>
      <c r="B54" s="124" t="s">
        <v>66</v>
      </c>
      <c r="C54" s="124">
        <v>49174</v>
      </c>
      <c r="D54" s="125" t="s">
        <v>52</v>
      </c>
      <c r="E54" s="124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24"/>
      <c r="D55" s="125"/>
      <c r="E55" s="124"/>
      <c r="F55" s="21"/>
      <c r="G55" s="21"/>
      <c r="H55" s="48">
        <f>H52+H53+H54</f>
        <v>58389.000000000262</v>
      </c>
      <c r="I55" s="47"/>
      <c r="J55" s="59"/>
    </row>
    <row r="56" spans="1:10" ht="15.75" x14ac:dyDescent="0.25">
      <c r="A56" s="27" t="s">
        <v>73</v>
      </c>
      <c r="B56" s="124" t="s">
        <v>51</v>
      </c>
      <c r="C56" s="124">
        <v>51100980</v>
      </c>
      <c r="D56" s="124" t="s">
        <v>74</v>
      </c>
      <c r="E56" s="124">
        <v>12000</v>
      </c>
      <c r="F56" s="21">
        <v>877.95100000000002</v>
      </c>
      <c r="G56" s="21">
        <v>882.81299999999999</v>
      </c>
      <c r="H56" s="18">
        <f>(G56-F56)*E56</f>
        <v>58343.999999999593</v>
      </c>
      <c r="I56" s="47"/>
      <c r="J56" s="58"/>
    </row>
    <row r="57" spans="1:10" ht="15.75" x14ac:dyDescent="0.25">
      <c r="A57" s="27" t="s">
        <v>75</v>
      </c>
      <c r="B57" s="124" t="s">
        <v>51</v>
      </c>
      <c r="C57" s="124">
        <v>51097623</v>
      </c>
      <c r="D57" s="124" t="s">
        <v>74</v>
      </c>
      <c r="E57" s="124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24"/>
      <c r="C58" s="124"/>
      <c r="D58" s="124"/>
      <c r="E58" s="124"/>
      <c r="F58" s="21"/>
      <c r="G58" s="21"/>
      <c r="H58" s="48">
        <f>H56+H57</f>
        <v>58343.999999999593</v>
      </c>
      <c r="I58" s="61">
        <f>H55-H65-H54</f>
        <v>-196.59999999980209</v>
      </c>
      <c r="J58" s="25">
        <f>I58/H58</f>
        <v>-3.3696695461367661E-3</v>
      </c>
    </row>
    <row r="59" spans="1:10" ht="15.75" x14ac:dyDescent="0.25">
      <c r="A59" s="27" t="s">
        <v>77</v>
      </c>
      <c r="B59" s="124" t="s">
        <v>51</v>
      </c>
      <c r="C59" s="124">
        <v>51097675</v>
      </c>
      <c r="D59" s="124" t="s">
        <v>34</v>
      </c>
      <c r="E59" s="124">
        <v>4800</v>
      </c>
      <c r="F59" s="21">
        <v>325.56799999999998</v>
      </c>
      <c r="G59" s="21">
        <v>328.43799999999999</v>
      </c>
      <c r="H59" s="18">
        <f t="shared" ref="H59:H64" si="2">(G59-F59)*E59</f>
        <v>13776.000000000022</v>
      </c>
      <c r="I59" s="62"/>
      <c r="J59" s="59"/>
    </row>
    <row r="60" spans="1:10" ht="15.75" x14ac:dyDescent="0.25">
      <c r="A60" s="27" t="s">
        <v>78</v>
      </c>
      <c r="B60" s="124" t="s">
        <v>51</v>
      </c>
      <c r="C60" s="124">
        <v>51100997</v>
      </c>
      <c r="D60" s="124" t="s">
        <v>21</v>
      </c>
      <c r="E60" s="124">
        <v>3600</v>
      </c>
      <c r="F60" s="21">
        <v>1138.1489999999999</v>
      </c>
      <c r="G60" s="21">
        <v>1143.673</v>
      </c>
      <c r="H60" s="18">
        <f t="shared" si="2"/>
        <v>19886.400000000413</v>
      </c>
      <c r="I60" s="62"/>
      <c r="J60" s="59"/>
    </row>
    <row r="61" spans="1:10" ht="15.75" x14ac:dyDescent="0.25">
      <c r="A61" s="27" t="s">
        <v>79</v>
      </c>
      <c r="B61" s="124" t="s">
        <v>51</v>
      </c>
      <c r="C61" s="124">
        <v>51555218</v>
      </c>
      <c r="D61" s="124">
        <f>400/5</f>
        <v>80</v>
      </c>
      <c r="E61" s="124">
        <v>4800</v>
      </c>
      <c r="F61" s="21">
        <v>34.725999999999999</v>
      </c>
      <c r="G61" s="21">
        <v>35.213999999999999</v>
      </c>
      <c r="H61" s="18">
        <f t="shared" si="2"/>
        <v>2342.3999999999978</v>
      </c>
      <c r="I61" s="62"/>
      <c r="J61" s="59"/>
    </row>
    <row r="62" spans="1:10" ht="15.75" x14ac:dyDescent="0.25">
      <c r="A62" s="27" t="s">
        <v>80</v>
      </c>
      <c r="B62" s="124" t="s">
        <v>51</v>
      </c>
      <c r="C62" s="124">
        <v>51555151</v>
      </c>
      <c r="D62" s="124">
        <f>400/5</f>
        <v>80</v>
      </c>
      <c r="E62" s="124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24" t="s">
        <v>51</v>
      </c>
      <c r="C63" s="124">
        <v>51097599</v>
      </c>
      <c r="D63" s="124" t="s">
        <v>21</v>
      </c>
      <c r="E63" s="124">
        <v>3600</v>
      </c>
      <c r="F63" s="21">
        <v>810.02700000000004</v>
      </c>
      <c r="G63" s="21">
        <v>813.09699999999998</v>
      </c>
      <c r="H63" s="18">
        <f t="shared" si="2"/>
        <v>11051.999999999771</v>
      </c>
      <c r="I63" s="62"/>
      <c r="J63" s="59"/>
    </row>
    <row r="64" spans="1:10" ht="15.75" x14ac:dyDescent="0.25">
      <c r="A64" s="27" t="s">
        <v>82</v>
      </c>
      <c r="B64" s="124" t="s">
        <v>51</v>
      </c>
      <c r="C64" s="124">
        <v>51097620</v>
      </c>
      <c r="D64" s="124" t="s">
        <v>34</v>
      </c>
      <c r="E64" s="124">
        <v>4800</v>
      </c>
      <c r="F64" s="21">
        <v>361.762</v>
      </c>
      <c r="G64" s="21">
        <v>364.14299999999997</v>
      </c>
      <c r="H64" s="18">
        <f t="shared" si="2"/>
        <v>11428.799999999865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58485.600000000064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24" t="s">
        <v>51</v>
      </c>
      <c r="C67" s="9">
        <v>51259238</v>
      </c>
      <c r="D67" s="74" t="s">
        <v>52</v>
      </c>
      <c r="E67" s="74">
        <v>7000</v>
      </c>
      <c r="F67" s="75">
        <v>396.07799999999997</v>
      </c>
      <c r="G67" s="75">
        <v>398.67599999999999</v>
      </c>
      <c r="H67" s="76">
        <f>(G67-F67)*E67</f>
        <v>18186.000000000091</v>
      </c>
      <c r="I67" s="77"/>
      <c r="J67" s="78"/>
    </row>
    <row r="68" spans="1:10" ht="15.75" x14ac:dyDescent="0.25">
      <c r="A68" s="27" t="s">
        <v>85</v>
      </c>
      <c r="B68" s="124" t="s">
        <v>51</v>
      </c>
      <c r="C68" s="124">
        <v>51259324</v>
      </c>
      <c r="D68" s="125" t="s">
        <v>52</v>
      </c>
      <c r="E68" s="125">
        <v>7000</v>
      </c>
      <c r="F68" s="21">
        <v>303.899</v>
      </c>
      <c r="G68" s="21">
        <v>306.11399999999998</v>
      </c>
      <c r="H68" s="18">
        <f>(G68-F68)*E68</f>
        <v>15504.999999999825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24">
        <v>51491618</v>
      </c>
      <c r="D69" s="125" t="s">
        <v>62</v>
      </c>
      <c r="E69" s="124">
        <v>40</v>
      </c>
      <c r="F69" s="28">
        <v>637.45399999999995</v>
      </c>
      <c r="G69" s="28">
        <v>647.37300000000005</v>
      </c>
      <c r="H69" s="18">
        <f>(G69-F69)*E69</f>
        <v>396.76000000000386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24">
        <v>51491624</v>
      </c>
      <c r="D70" s="125" t="s">
        <v>62</v>
      </c>
      <c r="E70" s="124">
        <v>40</v>
      </c>
      <c r="F70" s="28">
        <v>94.644999999999996</v>
      </c>
      <c r="G70" s="28">
        <v>95.7</v>
      </c>
      <c r="H70" s="18">
        <f>(G70-F70)*E70</f>
        <v>42.200000000000273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33690.999999999913</v>
      </c>
      <c r="I71" s="85">
        <f>H71-H74-H69-H70</f>
        <v>-1187.9600000001496</v>
      </c>
      <c r="J71" s="25">
        <f>I71/H71</f>
        <v>-3.5260455314480209E-2</v>
      </c>
    </row>
    <row r="72" spans="1:10" ht="15.75" x14ac:dyDescent="0.25">
      <c r="A72" s="27" t="s">
        <v>90</v>
      </c>
      <c r="B72" s="124" t="s">
        <v>51</v>
      </c>
      <c r="C72" s="86">
        <v>51097588</v>
      </c>
      <c r="D72" s="125" t="s">
        <v>74</v>
      </c>
      <c r="E72" s="124">
        <v>12000</v>
      </c>
      <c r="F72" s="21">
        <v>240.774</v>
      </c>
      <c r="G72" s="21">
        <v>242.30699999999999</v>
      </c>
      <c r="H72" s="18">
        <f>(G72-F72)*E72</f>
        <v>18395.999999999844</v>
      </c>
      <c r="I72" s="51"/>
      <c r="J72" s="58"/>
    </row>
    <row r="73" spans="1:10" ht="15.75" x14ac:dyDescent="0.25">
      <c r="A73" s="27" t="s">
        <v>91</v>
      </c>
      <c r="B73" s="124" t="s">
        <v>51</v>
      </c>
      <c r="C73" s="86">
        <v>51431335</v>
      </c>
      <c r="D73" s="125" t="s">
        <v>74</v>
      </c>
      <c r="E73" s="124">
        <v>12000</v>
      </c>
      <c r="F73" s="21">
        <v>187.00399999999999</v>
      </c>
      <c r="G73" s="21">
        <v>188.34100000000001</v>
      </c>
      <c r="H73" s="18">
        <f>(G73-F73)*E73</f>
        <v>16044.000000000211</v>
      </c>
      <c r="I73" s="51"/>
      <c r="J73" s="58"/>
    </row>
    <row r="74" spans="1:10" ht="15.75" x14ac:dyDescent="0.25">
      <c r="A74" s="87" t="s">
        <v>92</v>
      </c>
      <c r="B74" s="124" t="s">
        <v>27</v>
      </c>
      <c r="C74" s="124"/>
      <c r="D74" s="125"/>
      <c r="E74" s="124"/>
      <c r="F74" s="21"/>
      <c r="G74" s="21"/>
      <c r="H74" s="48">
        <f>H72+ H73</f>
        <v>34440.000000000058</v>
      </c>
      <c r="I74" s="85">
        <f>H74-H82</f>
        <v>-61.199999999909778</v>
      </c>
      <c r="J74" s="25">
        <f>I74/H74</f>
        <v>-1.7770034843179348E-3</v>
      </c>
    </row>
    <row r="75" spans="1:10" ht="15.75" x14ac:dyDescent="0.25">
      <c r="A75" s="27" t="s">
        <v>93</v>
      </c>
      <c r="B75" s="124" t="s">
        <v>51</v>
      </c>
      <c r="C75" s="86">
        <v>51097676</v>
      </c>
      <c r="D75" s="88" t="s">
        <v>62</v>
      </c>
      <c r="E75" s="124">
        <v>2400</v>
      </c>
      <c r="F75" s="21">
        <v>474.77</v>
      </c>
      <c r="G75" s="21">
        <v>478.37299999999999</v>
      </c>
      <c r="H75" s="18">
        <f>(G75-F75)*E75</f>
        <v>8647.2000000000207</v>
      </c>
      <c r="I75" s="51"/>
      <c r="J75" s="58"/>
    </row>
    <row r="76" spans="1:10" ht="15.75" x14ac:dyDescent="0.25">
      <c r="A76" s="27" t="s">
        <v>94</v>
      </c>
      <c r="B76" s="124" t="s">
        <v>51</v>
      </c>
      <c r="C76" s="86">
        <v>51431355</v>
      </c>
      <c r="D76" s="125" t="s">
        <v>21</v>
      </c>
      <c r="E76" s="125">
        <v>3600</v>
      </c>
      <c r="F76" s="21">
        <v>287.77</v>
      </c>
      <c r="G76" s="21">
        <v>289.101</v>
      </c>
      <c r="H76" s="18">
        <f>(G76-F76)*E76</f>
        <v>4791.6000000000622</v>
      </c>
      <c r="I76" s="51"/>
      <c r="J76" s="52"/>
    </row>
    <row r="77" spans="1:10" ht="15.75" x14ac:dyDescent="0.25">
      <c r="A77" s="27" t="s">
        <v>95</v>
      </c>
      <c r="B77" s="124" t="s">
        <v>51</v>
      </c>
      <c r="C77" s="86">
        <v>51259331</v>
      </c>
      <c r="D77" s="88" t="s">
        <v>37</v>
      </c>
      <c r="E77" s="124">
        <v>600</v>
      </c>
      <c r="F77" s="21">
        <v>106.956</v>
      </c>
      <c r="G77" s="21">
        <v>107.74</v>
      </c>
      <c r="H77" s="18">
        <f>(G77-F77)*E77</f>
        <v>470.39999999999509</v>
      </c>
      <c r="I77" s="51"/>
      <c r="J77" s="52"/>
    </row>
    <row r="78" spans="1:10" ht="15.75" x14ac:dyDescent="0.25">
      <c r="A78" s="27" t="s">
        <v>96</v>
      </c>
      <c r="B78" s="124" t="s">
        <v>51</v>
      </c>
      <c r="C78" s="86">
        <v>51259326</v>
      </c>
      <c r="D78" s="88" t="s">
        <v>14</v>
      </c>
      <c r="E78" s="124">
        <v>7200</v>
      </c>
      <c r="F78" s="21">
        <v>247.227</v>
      </c>
      <c r="G78" s="21">
        <v>248.589</v>
      </c>
      <c r="H78" s="18">
        <f>(G78-F78)*E78</f>
        <v>9806.3999999999614</v>
      </c>
      <c r="I78" s="51"/>
      <c r="J78" s="52"/>
    </row>
    <row r="79" spans="1:10" ht="15.75" x14ac:dyDescent="0.25">
      <c r="A79" s="27" t="s">
        <v>97</v>
      </c>
      <c r="B79" s="124" t="s">
        <v>51</v>
      </c>
      <c r="C79" s="86">
        <v>51431351</v>
      </c>
      <c r="D79" s="88" t="s">
        <v>14</v>
      </c>
      <c r="E79" s="124">
        <v>7200</v>
      </c>
      <c r="F79" s="21">
        <v>155.929</v>
      </c>
      <c r="G79" s="21">
        <v>157.42699999999999</v>
      </c>
      <c r="H79" s="18">
        <f>(G79-F79)*E79</f>
        <v>10785.599999999931</v>
      </c>
      <c r="I79" s="51"/>
      <c r="J79" s="52"/>
    </row>
    <row r="80" spans="1:10" ht="15.75" x14ac:dyDescent="0.25">
      <c r="A80" s="89" t="s">
        <v>98</v>
      </c>
      <c r="B80" s="124" t="s">
        <v>51</v>
      </c>
      <c r="C80" s="90">
        <v>51097666</v>
      </c>
      <c r="D80" s="88" t="s">
        <v>62</v>
      </c>
      <c r="E80" s="124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24" t="s">
        <v>51</v>
      </c>
      <c r="C81" s="90">
        <v>51259323</v>
      </c>
      <c r="D81" s="88" t="s">
        <v>62</v>
      </c>
      <c r="E81" s="124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34501.199999999968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24" t="s">
        <v>51</v>
      </c>
      <c r="C84" s="106">
        <v>51431297</v>
      </c>
      <c r="D84" s="125" t="s">
        <v>52</v>
      </c>
      <c r="E84" s="100">
        <v>7000</v>
      </c>
      <c r="F84" s="17">
        <v>191.30199999999999</v>
      </c>
      <c r="G84" s="17">
        <v>192.12200000000001</v>
      </c>
      <c r="H84" s="18">
        <f>(G84-F84)*E84</f>
        <v>5740.000000000151</v>
      </c>
      <c r="I84" s="107"/>
      <c r="J84" s="108"/>
    </row>
    <row r="85" spans="1:10" ht="15.75" x14ac:dyDescent="0.25">
      <c r="A85" s="105" t="s">
        <v>85</v>
      </c>
      <c r="B85" s="124" t="s">
        <v>51</v>
      </c>
      <c r="C85" s="106">
        <v>51431332</v>
      </c>
      <c r="D85" s="125" t="s">
        <v>52</v>
      </c>
      <c r="E85" s="100">
        <v>7000</v>
      </c>
      <c r="F85" s="21">
        <v>292.45100000000002</v>
      </c>
      <c r="G85" s="21">
        <v>294.14</v>
      </c>
      <c r="H85" s="18">
        <f>(G85-F85)*E85</f>
        <v>11822.999999999753</v>
      </c>
      <c r="I85" s="124"/>
      <c r="J85" s="58"/>
    </row>
    <row r="86" spans="1:10" ht="15.75" x14ac:dyDescent="0.25">
      <c r="A86" s="27" t="s">
        <v>86</v>
      </c>
      <c r="B86" s="124" t="s">
        <v>102</v>
      </c>
      <c r="C86" s="109">
        <v>150773</v>
      </c>
      <c r="D86" s="125" t="s">
        <v>52</v>
      </c>
      <c r="E86" s="109">
        <v>20</v>
      </c>
      <c r="F86" s="17">
        <v>15184.4</v>
      </c>
      <c r="G86" s="17">
        <v>15191.3</v>
      </c>
      <c r="H86" s="18">
        <f>(G86-F86)*E86</f>
        <v>137.99999999999272</v>
      </c>
      <c r="I86" s="51"/>
      <c r="J86" s="58"/>
    </row>
    <row r="87" spans="1:10" ht="15.75" x14ac:dyDescent="0.25">
      <c r="A87" s="27" t="s">
        <v>88</v>
      </c>
      <c r="B87" s="124" t="s">
        <v>102</v>
      </c>
      <c r="C87" s="109">
        <v>150791</v>
      </c>
      <c r="D87" s="125" t="s">
        <v>52</v>
      </c>
      <c r="E87" s="109">
        <v>20</v>
      </c>
      <c r="F87" s="21">
        <v>231.4</v>
      </c>
      <c r="G87" s="21">
        <v>231.4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23"/>
      <c r="C88" s="32"/>
      <c r="D88" s="82"/>
      <c r="E88" s="82"/>
      <c r="F88" s="21"/>
      <c r="G88" s="21"/>
      <c r="H88" s="48">
        <f>H84+H85</f>
        <v>17562.999999999905</v>
      </c>
      <c r="I88" s="85">
        <f>H88-H91-H86-H87</f>
        <v>418.60000000015498</v>
      </c>
      <c r="J88" s="25">
        <f>I88/H88</f>
        <v>2.3834196891200664E-2</v>
      </c>
    </row>
    <row r="89" spans="1:10" ht="15.75" x14ac:dyDescent="0.25">
      <c r="A89" s="27" t="s">
        <v>103</v>
      </c>
      <c r="B89" s="124" t="s">
        <v>51</v>
      </c>
      <c r="C89" s="106">
        <v>51431342</v>
      </c>
      <c r="D89" s="88" t="s">
        <v>34</v>
      </c>
      <c r="E89" s="124">
        <v>4800</v>
      </c>
      <c r="F89" s="21">
        <v>270.245</v>
      </c>
      <c r="G89" s="21">
        <v>271.404</v>
      </c>
      <c r="H89" s="18">
        <f>(G89-F89)*E89</f>
        <v>5563.1999999999607</v>
      </c>
      <c r="I89" s="51"/>
      <c r="J89" s="52"/>
    </row>
    <row r="90" spans="1:10" ht="15.75" x14ac:dyDescent="0.25">
      <c r="A90" s="27" t="s">
        <v>104</v>
      </c>
      <c r="B90" s="124" t="s">
        <v>51</v>
      </c>
      <c r="C90" s="106">
        <v>51431343</v>
      </c>
      <c r="D90" s="88" t="s">
        <v>34</v>
      </c>
      <c r="E90" s="124">
        <v>4800</v>
      </c>
      <c r="F90" s="21">
        <v>415.20100000000002</v>
      </c>
      <c r="G90" s="21">
        <v>417.58499999999998</v>
      </c>
      <c r="H90" s="18">
        <f>(G90-F90)*E90</f>
        <v>11443.199999999797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17006.399999999758</v>
      </c>
      <c r="I91" s="85">
        <f>H91-H99</f>
        <v>-108.60000000019863</v>
      </c>
      <c r="J91" s="25">
        <f>I91/H91</f>
        <v>-6.3858312164949771E-3</v>
      </c>
    </row>
    <row r="92" spans="1:10" ht="15.75" x14ac:dyDescent="0.25">
      <c r="A92" s="27" t="s">
        <v>106</v>
      </c>
      <c r="B92" s="124" t="s">
        <v>51</v>
      </c>
      <c r="C92" s="106">
        <v>51431347</v>
      </c>
      <c r="D92" s="125" t="s">
        <v>52</v>
      </c>
      <c r="E92" s="124">
        <v>1200</v>
      </c>
      <c r="F92" s="21">
        <v>899.54499999999996</v>
      </c>
      <c r="G92" s="21">
        <v>907.75199999999995</v>
      </c>
      <c r="H92" s="18">
        <f t="shared" ref="H92:H100" si="4">(G92-F92)*E92</f>
        <v>9848.3999999999924</v>
      </c>
      <c r="I92" s="51"/>
      <c r="J92" s="52"/>
    </row>
    <row r="93" spans="1:10" ht="15.75" x14ac:dyDescent="0.25">
      <c r="A93" s="27" t="s">
        <v>107</v>
      </c>
      <c r="B93" s="124" t="s">
        <v>51</v>
      </c>
      <c r="C93" s="106">
        <v>51431339</v>
      </c>
      <c r="D93" s="125" t="s">
        <v>52</v>
      </c>
      <c r="E93" s="124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24" t="s">
        <v>51</v>
      </c>
      <c r="C94" s="106">
        <v>51217244</v>
      </c>
      <c r="D94" s="124" t="s">
        <v>37</v>
      </c>
      <c r="E94" s="124">
        <v>600</v>
      </c>
      <c r="F94" s="30">
        <v>227.42599999999999</v>
      </c>
      <c r="G94" s="30">
        <v>229.977</v>
      </c>
      <c r="H94" s="18">
        <f t="shared" si="4"/>
        <v>1530.6000000000097</v>
      </c>
      <c r="I94" s="51"/>
      <c r="J94" s="52"/>
    </row>
    <row r="95" spans="1:10" ht="15.75" x14ac:dyDescent="0.25">
      <c r="A95" s="27" t="s">
        <v>109</v>
      </c>
      <c r="B95" s="124" t="s">
        <v>51</v>
      </c>
      <c r="C95" s="106">
        <v>51217267</v>
      </c>
      <c r="D95" s="88" t="s">
        <v>62</v>
      </c>
      <c r="E95" s="124">
        <v>2400</v>
      </c>
      <c r="F95" s="30">
        <v>18.431000000000001</v>
      </c>
      <c r="G95" s="30">
        <v>18.463000000000001</v>
      </c>
      <c r="H95" s="18">
        <f t="shared" si="4"/>
        <v>76.800000000000068</v>
      </c>
      <c r="I95" s="51"/>
      <c r="J95" s="52"/>
    </row>
    <row r="96" spans="1:10" ht="15.75" x14ac:dyDescent="0.25">
      <c r="A96" s="27" t="s">
        <v>110</v>
      </c>
      <c r="B96" s="124" t="s">
        <v>51</v>
      </c>
      <c r="C96" s="124">
        <v>51555165</v>
      </c>
      <c r="D96" s="125" t="s">
        <v>52</v>
      </c>
      <c r="E96" s="124">
        <v>1200</v>
      </c>
      <c r="F96" s="30">
        <v>649.726</v>
      </c>
      <c r="G96" s="30">
        <v>649.726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124" t="s">
        <v>51</v>
      </c>
      <c r="C97" s="106">
        <v>51431346</v>
      </c>
      <c r="D97" s="114" t="s">
        <v>37</v>
      </c>
      <c r="E97" s="114">
        <v>600</v>
      </c>
      <c r="F97" s="30">
        <v>276.988</v>
      </c>
      <c r="G97" s="30">
        <v>277.33999999999997</v>
      </c>
      <c r="H97" s="115">
        <f t="shared" si="4"/>
        <v>211.19999999998527</v>
      </c>
      <c r="I97" s="116"/>
      <c r="J97" s="117"/>
    </row>
    <row r="98" spans="1:10" ht="15.75" x14ac:dyDescent="0.25">
      <c r="A98" s="27" t="s">
        <v>112</v>
      </c>
      <c r="B98" s="124" t="s">
        <v>51</v>
      </c>
      <c r="C98" s="106">
        <v>51431352</v>
      </c>
      <c r="D98" s="88" t="s">
        <v>21</v>
      </c>
      <c r="E98" s="124">
        <v>3600</v>
      </c>
      <c r="F98" s="21">
        <v>138.35300000000001</v>
      </c>
      <c r="G98" s="21">
        <v>139.828</v>
      </c>
      <c r="H98" s="18">
        <f t="shared" si="4"/>
        <v>5309.99999999998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17114.999999999956</v>
      </c>
      <c r="I99" s="51"/>
      <c r="J99" s="52"/>
    </row>
    <row r="100" spans="1:10" ht="15.75" x14ac:dyDescent="0.25">
      <c r="A100" s="45" t="s">
        <v>113</v>
      </c>
      <c r="B100" s="124" t="s">
        <v>51</v>
      </c>
      <c r="C100" s="120">
        <v>51431357</v>
      </c>
      <c r="D100" s="125" t="s">
        <v>62</v>
      </c>
      <c r="E100" s="125">
        <v>14000</v>
      </c>
      <c r="F100" s="28">
        <v>633.29300000000001</v>
      </c>
      <c r="G100" s="28">
        <v>637.27700000000004</v>
      </c>
      <c r="H100" s="121">
        <f t="shared" si="4"/>
        <v>55776.000000000524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E1" zoomScaleNormal="100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119</v>
      </c>
      <c r="G3" s="4" t="s">
        <v>120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26" t="s">
        <v>13</v>
      </c>
      <c r="C5" s="126">
        <v>51555166</v>
      </c>
      <c r="D5" s="126" t="s">
        <v>14</v>
      </c>
      <c r="E5" s="126">
        <v>132000</v>
      </c>
      <c r="F5" s="17">
        <v>2.2090000000000001</v>
      </c>
      <c r="G5" s="17">
        <v>2.2210000000000001</v>
      </c>
      <c r="H5" s="18">
        <f>(G5-F5)*E5</f>
        <v>1584.0000000000014</v>
      </c>
      <c r="I5" s="19"/>
      <c r="J5" s="20"/>
    </row>
    <row r="6" spans="1:10" ht="15.75" x14ac:dyDescent="0.25">
      <c r="A6" s="15" t="s">
        <v>15</v>
      </c>
      <c r="B6" s="126" t="s">
        <v>13</v>
      </c>
      <c r="C6" s="126">
        <v>51555191</v>
      </c>
      <c r="D6" s="126" t="s">
        <v>14</v>
      </c>
      <c r="E6" s="126">
        <v>132000</v>
      </c>
      <c r="F6" s="21">
        <v>256.03100000000001</v>
      </c>
      <c r="G6" s="21">
        <v>257.90600000000001</v>
      </c>
      <c r="H6" s="18">
        <f>(G6-F6)*E6</f>
        <v>247500</v>
      </c>
      <c r="I6" s="19"/>
      <c r="J6" s="20"/>
    </row>
    <row r="7" spans="1:10" ht="15.75" x14ac:dyDescent="0.25">
      <c r="A7" s="219" t="s">
        <v>16</v>
      </c>
      <c r="B7" s="220"/>
      <c r="C7" s="126"/>
      <c r="D7" s="127"/>
      <c r="E7" s="126"/>
      <c r="H7" s="23">
        <f>H5+H6</f>
        <v>249084</v>
      </c>
      <c r="I7" s="24">
        <f>H7-H10-H20</f>
        <v>953.9999999981228</v>
      </c>
      <c r="J7" s="25">
        <f>I7/H7</f>
        <v>3.8300332417904111E-3</v>
      </c>
    </row>
    <row r="8" spans="1:10" ht="15.75" x14ac:dyDescent="0.25">
      <c r="A8" s="26" t="s">
        <v>17</v>
      </c>
      <c r="B8" s="126" t="s">
        <v>13</v>
      </c>
      <c r="C8" s="126">
        <v>51097629</v>
      </c>
      <c r="D8" s="127" t="s">
        <v>14</v>
      </c>
      <c r="E8" s="126">
        <v>42000</v>
      </c>
      <c r="F8" s="21">
        <v>841.64499999999998</v>
      </c>
      <c r="G8" s="21">
        <v>846.01800000000003</v>
      </c>
      <c r="H8" s="18">
        <f>(G8-F8)*E8</f>
        <v>183666.00000000198</v>
      </c>
      <c r="I8" s="19"/>
      <c r="J8" s="20"/>
    </row>
    <row r="9" spans="1:10" ht="15.75" x14ac:dyDescent="0.25">
      <c r="A9" s="26" t="s">
        <v>18</v>
      </c>
      <c r="B9" s="126" t="s">
        <v>13</v>
      </c>
      <c r="C9" s="126">
        <v>51616820</v>
      </c>
      <c r="D9" s="127" t="s">
        <v>14</v>
      </c>
      <c r="E9" s="126">
        <v>42000</v>
      </c>
      <c r="F9" s="21">
        <v>3.5329999999999999</v>
      </c>
      <c r="G9" s="21">
        <v>3.5760000000000001</v>
      </c>
      <c r="H9" s="18">
        <f>(G9-F9)*E9</f>
        <v>1806.0000000000064</v>
      </c>
      <c r="I9" s="19"/>
      <c r="J9" s="20"/>
    </row>
    <row r="10" spans="1:10" ht="15.75" x14ac:dyDescent="0.25">
      <c r="A10" s="219" t="s">
        <v>19</v>
      </c>
      <c r="B10" s="220"/>
      <c r="C10" s="126"/>
      <c r="D10" s="127"/>
      <c r="E10" s="126"/>
      <c r="F10" s="21"/>
      <c r="G10" s="21"/>
      <c r="H10" s="23">
        <f>H8+H9</f>
        <v>185472.00000000198</v>
      </c>
      <c r="I10" s="24">
        <f>H10-H17</f>
        <v>861.00000000238651</v>
      </c>
      <c r="J10" s="25">
        <f>I10/H10</f>
        <v>4.6422101449403539E-3</v>
      </c>
    </row>
    <row r="11" spans="1:10" ht="15.75" x14ac:dyDescent="0.25">
      <c r="A11" s="27" t="s">
        <v>20</v>
      </c>
      <c r="B11" s="126" t="s">
        <v>13</v>
      </c>
      <c r="C11" s="126">
        <v>51217286</v>
      </c>
      <c r="D11" s="127" t="s">
        <v>21</v>
      </c>
      <c r="E11" s="126">
        <v>21000</v>
      </c>
      <c r="F11" s="21">
        <v>669.66899999999998</v>
      </c>
      <c r="G11" s="21">
        <v>673.27800000000002</v>
      </c>
      <c r="H11" s="18">
        <f t="shared" ref="H11:H16" si="0">(G11-F11)*E11</f>
        <v>75789.000000000786</v>
      </c>
      <c r="I11" s="19"/>
      <c r="J11" s="20"/>
    </row>
    <row r="12" spans="1:10" ht="15.75" x14ac:dyDescent="0.25">
      <c r="A12" s="27" t="s">
        <v>22</v>
      </c>
      <c r="B12" s="126" t="s">
        <v>13</v>
      </c>
      <c r="C12" s="126">
        <v>51217292</v>
      </c>
      <c r="D12" s="127" t="s">
        <v>21</v>
      </c>
      <c r="E12" s="126">
        <v>21000</v>
      </c>
      <c r="F12" s="28">
        <v>2.4849999999999999</v>
      </c>
      <c r="G12" s="28">
        <v>2.5089999999999999</v>
      </c>
      <c r="H12" s="18">
        <f>(G12-F12)*E12</f>
        <v>504.00000000000045</v>
      </c>
      <c r="I12" s="19"/>
      <c r="J12" s="20"/>
    </row>
    <row r="13" spans="1:10" ht="15.75" x14ac:dyDescent="0.25">
      <c r="A13" s="27" t="s">
        <v>23</v>
      </c>
      <c r="B13" s="126" t="s">
        <v>13</v>
      </c>
      <c r="C13" s="126">
        <v>51217271</v>
      </c>
      <c r="D13" s="127" t="s">
        <v>21</v>
      </c>
      <c r="E13" s="126">
        <v>21000</v>
      </c>
      <c r="F13" s="21">
        <v>481.89100000000002</v>
      </c>
      <c r="G13" s="21">
        <v>484.34899999999999</v>
      </c>
      <c r="H13" s="18">
        <f t="shared" si="0"/>
        <v>51617.999999999367</v>
      </c>
      <c r="I13" s="19"/>
      <c r="J13" s="20"/>
    </row>
    <row r="14" spans="1:10" ht="15.75" x14ac:dyDescent="0.25">
      <c r="A14" s="27" t="s">
        <v>24</v>
      </c>
      <c r="B14" s="126" t="s">
        <v>13</v>
      </c>
      <c r="C14" s="126">
        <v>51217276</v>
      </c>
      <c r="D14" s="127" t="s">
        <v>21</v>
      </c>
      <c r="E14" s="126">
        <v>21000</v>
      </c>
      <c r="F14" s="28">
        <v>0.30599999999999999</v>
      </c>
      <c r="G14" s="28">
        <v>0.314</v>
      </c>
      <c r="H14" s="18">
        <f>(G14-F14)*E14</f>
        <v>168.00000000000014</v>
      </c>
      <c r="I14" s="19"/>
      <c r="J14" s="20"/>
    </row>
    <row r="15" spans="1:10" ht="15.75" x14ac:dyDescent="0.25">
      <c r="A15" s="27" t="s">
        <v>25</v>
      </c>
      <c r="B15" s="126" t="s">
        <v>13</v>
      </c>
      <c r="C15" s="126">
        <v>51100990</v>
      </c>
      <c r="D15" s="127" t="s">
        <v>21</v>
      </c>
      <c r="E15" s="126">
        <v>21000</v>
      </c>
      <c r="F15" s="29">
        <v>536.23599999999999</v>
      </c>
      <c r="G15" s="29">
        <v>538.91499999999996</v>
      </c>
      <c r="H15" s="18">
        <f t="shared" si="0"/>
        <v>56258.999999999447</v>
      </c>
      <c r="I15" s="19"/>
      <c r="J15" s="20"/>
    </row>
    <row r="16" spans="1:10" ht="15.75" x14ac:dyDescent="0.25">
      <c r="A16" s="27" t="s">
        <v>26</v>
      </c>
      <c r="B16" s="126" t="s">
        <v>13</v>
      </c>
      <c r="C16" s="126">
        <v>51097622</v>
      </c>
      <c r="D16" s="127" t="s">
        <v>21</v>
      </c>
      <c r="E16" s="126">
        <v>21000</v>
      </c>
      <c r="F16" s="21">
        <v>2.3410000000000002</v>
      </c>
      <c r="G16" s="21">
        <v>2.3540000000000001</v>
      </c>
      <c r="H16" s="18">
        <f t="shared" si="0"/>
        <v>272.9999999999979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26"/>
      <c r="D17" s="127"/>
      <c r="E17" s="126"/>
      <c r="F17" s="21"/>
      <c r="G17" s="21"/>
      <c r="H17" s="23">
        <f>H11+H12+H13+H14+H15+H16</f>
        <v>184610.99999999959</v>
      </c>
      <c r="I17" s="19"/>
      <c r="J17" s="20"/>
    </row>
    <row r="18" spans="1:10" ht="15.75" x14ac:dyDescent="0.25">
      <c r="A18" s="26" t="s">
        <v>29</v>
      </c>
      <c r="B18" s="126" t="s">
        <v>13</v>
      </c>
      <c r="C18" s="126">
        <v>51097617</v>
      </c>
      <c r="D18" s="127" t="s">
        <v>30</v>
      </c>
      <c r="E18" s="126">
        <v>18000</v>
      </c>
      <c r="F18" s="30">
        <v>622.43100000000004</v>
      </c>
      <c r="G18" s="30">
        <v>625.91200000000003</v>
      </c>
      <c r="H18" s="18">
        <f>(G18-F18)*E18</f>
        <v>62657.999999999898</v>
      </c>
      <c r="I18" s="19"/>
      <c r="J18" s="20"/>
    </row>
    <row r="19" spans="1:10" ht="15.75" x14ac:dyDescent="0.25">
      <c r="A19" s="26" t="s">
        <v>31</v>
      </c>
      <c r="B19" s="126" t="s">
        <v>13</v>
      </c>
      <c r="C19" s="126">
        <v>51097655</v>
      </c>
      <c r="D19" s="127" t="s">
        <v>30</v>
      </c>
      <c r="E19" s="126">
        <v>18000</v>
      </c>
      <c r="F19" s="30">
        <v>6.07</v>
      </c>
      <c r="G19" s="30">
        <v>6.07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26"/>
      <c r="D20" s="127"/>
      <c r="E20" s="126"/>
      <c r="F20" s="30"/>
      <c r="G20" s="30"/>
      <c r="H20" s="23">
        <f>H18+H19</f>
        <v>62657.999999999898</v>
      </c>
      <c r="I20" s="24">
        <f>H20-H35</f>
        <v>1870.1999999996624</v>
      </c>
      <c r="J20" s="25">
        <f>I20/H20</f>
        <v>2.9847744900885209E-2</v>
      </c>
    </row>
    <row r="21" spans="1:10" ht="15.75" x14ac:dyDescent="0.25">
      <c r="A21" s="15" t="s">
        <v>33</v>
      </c>
      <c r="B21" s="126" t="s">
        <v>13</v>
      </c>
      <c r="C21" s="126">
        <v>51217282</v>
      </c>
      <c r="D21" s="127" t="s">
        <v>34</v>
      </c>
      <c r="E21" s="126">
        <v>4800</v>
      </c>
      <c r="F21" s="21">
        <v>378.36599999999999</v>
      </c>
      <c r="G21" s="21">
        <v>378.36799999999999</v>
      </c>
      <c r="H21" s="18">
        <f t="shared" ref="H21:H34" si="1">(G21-F21)*E21</f>
        <v>9.6000000000458385</v>
      </c>
      <c r="I21" s="19" t="s">
        <v>27</v>
      </c>
      <c r="J21" s="20"/>
    </row>
    <row r="22" spans="1:10" ht="15.75" x14ac:dyDescent="0.25">
      <c r="A22" s="15" t="s">
        <v>35</v>
      </c>
      <c r="B22" s="126" t="s">
        <v>13</v>
      </c>
      <c r="C22" s="126">
        <v>51217274</v>
      </c>
      <c r="D22" s="127" t="s">
        <v>34</v>
      </c>
      <c r="E22" s="126">
        <v>4800</v>
      </c>
      <c r="F22" s="21">
        <v>986.577</v>
      </c>
      <c r="G22" s="21">
        <v>992.58</v>
      </c>
      <c r="H22" s="18">
        <f t="shared" si="1"/>
        <v>28814.400000000205</v>
      </c>
      <c r="I22" s="19"/>
      <c r="J22" s="20"/>
    </row>
    <row r="23" spans="1:10" ht="15.75" x14ac:dyDescent="0.25">
      <c r="A23" s="15" t="s">
        <v>36</v>
      </c>
      <c r="B23" s="126" t="s">
        <v>13</v>
      </c>
      <c r="C23" s="126">
        <v>51097664</v>
      </c>
      <c r="D23" s="127" t="s">
        <v>37</v>
      </c>
      <c r="E23" s="126">
        <v>600</v>
      </c>
      <c r="F23" s="21">
        <v>3.669</v>
      </c>
      <c r="G23" s="21">
        <v>3.6840000000000002</v>
      </c>
      <c r="H23" s="18">
        <f t="shared" si="1"/>
        <v>9.0000000000000746</v>
      </c>
      <c r="I23" s="19"/>
      <c r="J23" s="20"/>
    </row>
    <row r="24" spans="1:10" ht="15.75" x14ac:dyDescent="0.25">
      <c r="A24" s="15" t="s">
        <v>38</v>
      </c>
      <c r="B24" s="126" t="s">
        <v>13</v>
      </c>
      <c r="C24" s="126">
        <v>51097615</v>
      </c>
      <c r="D24" s="127" t="s">
        <v>37</v>
      </c>
      <c r="E24" s="126">
        <v>600</v>
      </c>
      <c r="F24" s="21">
        <v>21.989000000000001</v>
      </c>
      <c r="G24" s="21">
        <v>22.361000000000001</v>
      </c>
      <c r="H24" s="18">
        <f t="shared" si="1"/>
        <v>223.19999999999993</v>
      </c>
      <c r="I24" s="19"/>
      <c r="J24" s="20"/>
    </row>
    <row r="25" spans="1:10" ht="15.75" x14ac:dyDescent="0.25">
      <c r="A25" s="15" t="s">
        <v>39</v>
      </c>
      <c r="B25" s="126" t="s">
        <v>13</v>
      </c>
      <c r="C25" s="126">
        <v>51217264</v>
      </c>
      <c r="D25" s="127" t="s">
        <v>37</v>
      </c>
      <c r="E25" s="126">
        <v>600</v>
      </c>
      <c r="F25" s="21">
        <v>61.817</v>
      </c>
      <c r="G25" s="21">
        <v>62.445</v>
      </c>
      <c r="H25" s="18">
        <f t="shared" si="1"/>
        <v>376.80000000000007</v>
      </c>
      <c r="I25" s="19"/>
      <c r="J25" s="20"/>
    </row>
    <row r="26" spans="1:10" ht="15.75" x14ac:dyDescent="0.25">
      <c r="A26" s="15" t="s">
        <v>40</v>
      </c>
      <c r="B26" s="126" t="s">
        <v>13</v>
      </c>
      <c r="C26" s="126">
        <v>51217288</v>
      </c>
      <c r="D26" s="127" t="s">
        <v>37</v>
      </c>
      <c r="E26" s="126">
        <v>600</v>
      </c>
      <c r="F26" s="21">
        <v>18.606999999999999</v>
      </c>
      <c r="G26" s="21">
        <v>18.638000000000002</v>
      </c>
      <c r="H26" s="18">
        <f t="shared" si="1"/>
        <v>18.600000000001415</v>
      </c>
      <c r="I26" s="19" t="s">
        <v>27</v>
      </c>
      <c r="J26" s="20"/>
    </row>
    <row r="27" spans="1:10" ht="15.75" x14ac:dyDescent="0.25">
      <c r="A27" s="15" t="s">
        <v>41</v>
      </c>
      <c r="B27" s="126" t="s">
        <v>13</v>
      </c>
      <c r="C27" s="126">
        <v>51217279</v>
      </c>
      <c r="D27" s="127" t="s">
        <v>37</v>
      </c>
      <c r="E27" s="126">
        <v>600</v>
      </c>
      <c r="F27" s="21">
        <v>12.031000000000001</v>
      </c>
      <c r="G27" s="21">
        <v>12.085000000000001</v>
      </c>
      <c r="H27" s="18">
        <f t="shared" si="1"/>
        <v>32.400000000000162</v>
      </c>
      <c r="I27" s="19" t="s">
        <v>27</v>
      </c>
      <c r="J27" s="20"/>
    </row>
    <row r="28" spans="1:10" ht="15.75" x14ac:dyDescent="0.25">
      <c r="A28" s="15" t="s">
        <v>42</v>
      </c>
      <c r="B28" s="126" t="s">
        <v>13</v>
      </c>
      <c r="C28" s="126">
        <v>51217272</v>
      </c>
      <c r="D28" s="127" t="s">
        <v>37</v>
      </c>
      <c r="E28" s="126">
        <v>600</v>
      </c>
      <c r="F28" s="31">
        <v>11.804</v>
      </c>
      <c r="G28" s="31">
        <v>11.856999999999999</v>
      </c>
      <c r="H28" s="18">
        <f t="shared" si="1"/>
        <v>31.799999999999429</v>
      </c>
      <c r="I28" s="19"/>
      <c r="J28" s="20"/>
    </row>
    <row r="29" spans="1:10" ht="15.75" x14ac:dyDescent="0.25">
      <c r="A29" s="15" t="s">
        <v>43</v>
      </c>
      <c r="B29" s="126" t="s">
        <v>13</v>
      </c>
      <c r="C29" s="126">
        <v>51616744</v>
      </c>
      <c r="D29" s="127">
        <f>300/5</f>
        <v>60</v>
      </c>
      <c r="E29" s="126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26" t="s">
        <v>13</v>
      </c>
      <c r="C30" s="126">
        <v>51555226</v>
      </c>
      <c r="D30" s="127">
        <f>300/5</f>
        <v>60</v>
      </c>
      <c r="E30" s="126">
        <v>3600</v>
      </c>
      <c r="F30" s="31">
        <v>266.51100000000002</v>
      </c>
      <c r="G30" s="31">
        <v>270.46300000000002</v>
      </c>
      <c r="H30" s="18">
        <f>(G30-F30)*E30</f>
        <v>14227.199999999993</v>
      </c>
      <c r="I30" s="19"/>
      <c r="J30" s="20"/>
    </row>
    <row r="31" spans="1:10" ht="15.75" x14ac:dyDescent="0.25">
      <c r="A31" s="15" t="s">
        <v>45</v>
      </c>
      <c r="B31" s="126" t="s">
        <v>13</v>
      </c>
      <c r="C31" s="126">
        <v>51097658</v>
      </c>
      <c r="D31" s="127" t="s">
        <v>34</v>
      </c>
      <c r="E31" s="126">
        <v>4800</v>
      </c>
      <c r="F31" s="31">
        <v>454.53300000000002</v>
      </c>
      <c r="G31" s="31">
        <v>458.06700000000001</v>
      </c>
      <c r="H31" s="18">
        <f t="shared" si="1"/>
        <v>16963.199999999961</v>
      </c>
      <c r="I31" s="19"/>
      <c r="J31" s="20"/>
    </row>
    <row r="32" spans="1:10" ht="15.75" x14ac:dyDescent="0.25">
      <c r="A32" s="15" t="s">
        <v>46</v>
      </c>
      <c r="B32" s="126" t="s">
        <v>13</v>
      </c>
      <c r="C32" s="126">
        <v>51097635</v>
      </c>
      <c r="D32" s="127" t="s">
        <v>34</v>
      </c>
      <c r="E32" s="126">
        <v>4800</v>
      </c>
      <c r="F32" s="31">
        <v>48.424999999999997</v>
      </c>
      <c r="G32" s="31">
        <v>48.426000000000002</v>
      </c>
      <c r="H32" s="18">
        <f t="shared" si="1"/>
        <v>4.8000000000229193</v>
      </c>
      <c r="I32" s="19"/>
      <c r="J32" s="20"/>
    </row>
    <row r="33" spans="1:10" ht="15.75" x14ac:dyDescent="0.25">
      <c r="A33" s="15" t="s">
        <v>47</v>
      </c>
      <c r="B33" s="126" t="s">
        <v>13</v>
      </c>
      <c r="C33" s="32">
        <v>51097633</v>
      </c>
      <c r="D33" s="127" t="s">
        <v>34</v>
      </c>
      <c r="E33" s="126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26" t="s">
        <v>13</v>
      </c>
      <c r="C34" s="32">
        <v>51097662</v>
      </c>
      <c r="D34" s="127" t="s">
        <v>34</v>
      </c>
      <c r="E34" s="126">
        <v>4800</v>
      </c>
      <c r="F34" s="31">
        <v>0.14699999999999999</v>
      </c>
      <c r="G34" s="31">
        <v>0.16300000000000001</v>
      </c>
      <c r="H34" s="33">
        <f t="shared" si="1"/>
        <v>76.800000000000068</v>
      </c>
      <c r="I34" s="34"/>
      <c r="J34" s="35"/>
    </row>
    <row r="35" spans="1:10" ht="15.75" x14ac:dyDescent="0.25">
      <c r="A35" s="219" t="s">
        <v>48</v>
      </c>
      <c r="B35" s="220"/>
      <c r="C35" s="126"/>
      <c r="D35" s="127"/>
      <c r="E35" s="126"/>
      <c r="F35" s="36"/>
      <c r="G35" s="36"/>
      <c r="H35" s="23">
        <f>H21+H22+H23+H24+H25+H26+H27+H28+H29+H30+H31+H32+H33+H34</f>
        <v>60787.800000000236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26" t="s">
        <v>51</v>
      </c>
      <c r="C37" s="126">
        <v>51555209</v>
      </c>
      <c r="D37" s="127" t="s">
        <v>52</v>
      </c>
      <c r="E37" s="126">
        <v>7000</v>
      </c>
      <c r="F37" s="17">
        <v>3.0219999999999998</v>
      </c>
      <c r="G37" s="17">
        <v>3.0640000000000001</v>
      </c>
      <c r="H37" s="41">
        <f>(G37-F37)*E37</f>
        <v>294.00000000000182</v>
      </c>
      <c r="I37" s="42"/>
      <c r="J37" s="14"/>
    </row>
    <row r="38" spans="1:10" ht="15.75" x14ac:dyDescent="0.25">
      <c r="A38" s="15" t="s">
        <v>53</v>
      </c>
      <c r="B38" s="126" t="s">
        <v>51</v>
      </c>
      <c r="C38" s="126">
        <v>51555209</v>
      </c>
      <c r="D38" s="127" t="s">
        <v>52</v>
      </c>
      <c r="E38" s="126">
        <v>7000</v>
      </c>
      <c r="F38" s="21">
        <v>7.9930000000000003</v>
      </c>
      <c r="G38" s="21">
        <v>8.0340000000000007</v>
      </c>
      <c r="H38" s="18">
        <f>(G38-F38)*E38</f>
        <v>287.00000000000261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26" t="s">
        <v>51</v>
      </c>
      <c r="C40" s="126">
        <v>51097674</v>
      </c>
      <c r="D40" s="126" t="s">
        <v>14</v>
      </c>
      <c r="E40" s="126">
        <v>7200</v>
      </c>
      <c r="F40" s="21">
        <v>452.94600000000003</v>
      </c>
      <c r="G40" s="21">
        <v>455.36599999999999</v>
      </c>
      <c r="H40" s="18">
        <f>(G40-F40)*E40</f>
        <v>17423.999999999705</v>
      </c>
      <c r="I40" s="47"/>
      <c r="J40" s="20"/>
    </row>
    <row r="41" spans="1:10" ht="15.75" x14ac:dyDescent="0.25">
      <c r="A41" s="27" t="s">
        <v>56</v>
      </c>
      <c r="B41" s="126" t="s">
        <v>51</v>
      </c>
      <c r="C41" s="126">
        <v>51259257</v>
      </c>
      <c r="D41" s="126" t="s">
        <v>14</v>
      </c>
      <c r="E41" s="126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26"/>
      <c r="C42" s="126"/>
      <c r="D42" s="126"/>
      <c r="E42" s="126"/>
      <c r="F42" s="21"/>
      <c r="G42" s="21"/>
      <c r="H42" s="48">
        <f>H40+H41</f>
        <v>17423.999999999705</v>
      </c>
      <c r="I42" s="24">
        <f>H42-H50</f>
        <v>-144.80000000035943</v>
      </c>
      <c r="J42" s="25">
        <f>I42/H42</f>
        <v>-8.3103764922154433E-3</v>
      </c>
    </row>
    <row r="43" spans="1:10" ht="15.75" x14ac:dyDescent="0.25">
      <c r="A43" s="15" t="s">
        <v>58</v>
      </c>
      <c r="B43" s="126"/>
      <c r="C43" s="126"/>
      <c r="D43" s="127"/>
      <c r="E43" s="126"/>
      <c r="H43" s="18"/>
      <c r="I43" s="43"/>
      <c r="J43" s="20"/>
    </row>
    <row r="44" spans="1:10" ht="15.75" x14ac:dyDescent="0.25">
      <c r="A44" s="27" t="s">
        <v>59</v>
      </c>
      <c r="B44" s="126" t="s">
        <v>51</v>
      </c>
      <c r="C44" s="32">
        <v>51097648</v>
      </c>
      <c r="D44" s="126" t="s">
        <v>52</v>
      </c>
      <c r="E44" s="126">
        <v>1200</v>
      </c>
      <c r="F44" s="21">
        <v>369.81599999999997</v>
      </c>
      <c r="G44" s="21">
        <v>371.78</v>
      </c>
      <c r="H44" s="33">
        <f>(G44-F44)*E44</f>
        <v>2356.7999999999984</v>
      </c>
      <c r="I44" s="43"/>
      <c r="J44" s="20"/>
    </row>
    <row r="45" spans="1:10" ht="15.75" x14ac:dyDescent="0.25">
      <c r="A45" s="27" t="s">
        <v>60</v>
      </c>
      <c r="B45" s="126" t="s">
        <v>51</v>
      </c>
      <c r="C45" s="32">
        <v>50555043</v>
      </c>
      <c r="D45" s="126" t="s">
        <v>52</v>
      </c>
      <c r="E45" s="126">
        <v>1200</v>
      </c>
      <c r="F45" s="21">
        <v>1558.703</v>
      </c>
      <c r="G45" s="21">
        <v>1566.7280000000001</v>
      </c>
      <c r="H45" s="33">
        <f>(G45-F45)*E45</f>
        <v>9630.0000000001091</v>
      </c>
      <c r="I45" s="43"/>
      <c r="J45" s="20"/>
    </row>
    <row r="46" spans="1:10" ht="15.75" x14ac:dyDescent="0.25">
      <c r="A46" s="27" t="s">
        <v>61</v>
      </c>
      <c r="B46" s="126" t="s">
        <v>51</v>
      </c>
      <c r="C46" s="32">
        <v>51259336</v>
      </c>
      <c r="D46" s="126" t="s">
        <v>62</v>
      </c>
      <c r="E46" s="126">
        <v>2400</v>
      </c>
      <c r="F46" s="21">
        <v>3.3340000000000001</v>
      </c>
      <c r="G46" s="21">
        <v>3.3580000000000001</v>
      </c>
      <c r="H46" s="33">
        <f>(G46-F46)*E46</f>
        <v>57.600000000000051</v>
      </c>
      <c r="I46" s="43"/>
      <c r="J46" s="20"/>
    </row>
    <row r="47" spans="1:10" ht="15.75" x14ac:dyDescent="0.25">
      <c r="A47" s="27" t="s">
        <v>63</v>
      </c>
      <c r="B47" s="126" t="s">
        <v>51</v>
      </c>
      <c r="C47" s="32">
        <v>51259266</v>
      </c>
      <c r="D47" s="126" t="s">
        <v>52</v>
      </c>
      <c r="E47" s="126">
        <v>1200</v>
      </c>
      <c r="F47" s="21">
        <v>751.02700000000004</v>
      </c>
      <c r="G47" s="21">
        <v>755.197</v>
      </c>
      <c r="H47" s="33">
        <f>(G47-F47)*E47</f>
        <v>5003.9999999999509</v>
      </c>
      <c r="I47" s="43"/>
      <c r="J47" s="20"/>
    </row>
    <row r="48" spans="1:10" ht="15.75" x14ac:dyDescent="0.25">
      <c r="A48" s="27" t="s">
        <v>64</v>
      </c>
      <c r="B48" s="126" t="s">
        <v>51</v>
      </c>
      <c r="C48" s="32">
        <v>51431336</v>
      </c>
      <c r="D48" s="126" t="s">
        <v>52</v>
      </c>
      <c r="E48" s="126">
        <v>1200</v>
      </c>
      <c r="F48" s="21">
        <v>38.491999999999997</v>
      </c>
      <c r="G48" s="21">
        <v>38.884</v>
      </c>
      <c r="H48" s="33">
        <f>(G48-F48)*E48</f>
        <v>470.40000000000362</v>
      </c>
      <c r="I48" s="43"/>
      <c r="J48" s="20"/>
    </row>
    <row r="49" spans="1:10" ht="15.75" x14ac:dyDescent="0.25">
      <c r="A49" s="15" t="s">
        <v>65</v>
      </c>
      <c r="B49" s="126" t="s">
        <v>66</v>
      </c>
      <c r="C49" s="126">
        <v>49174</v>
      </c>
      <c r="D49" s="127" t="s">
        <v>52</v>
      </c>
      <c r="E49" s="126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17568.800000000065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26" t="s">
        <v>51</v>
      </c>
      <c r="C52" s="126">
        <v>51097603</v>
      </c>
      <c r="D52" s="127" t="s">
        <v>52</v>
      </c>
      <c r="E52" s="126">
        <v>7000</v>
      </c>
      <c r="F52" s="17">
        <v>1501.29</v>
      </c>
      <c r="G52" s="17">
        <v>1509.4090000000001</v>
      </c>
      <c r="H52" s="18">
        <f>(G52-F52)*E52</f>
        <v>56833.00000000099</v>
      </c>
      <c r="I52" s="43"/>
      <c r="J52" s="20"/>
    </row>
    <row r="53" spans="1:10" ht="15.75" x14ac:dyDescent="0.25">
      <c r="A53" s="27" t="s">
        <v>71</v>
      </c>
      <c r="B53" s="126" t="s">
        <v>51</v>
      </c>
      <c r="C53" s="126">
        <v>51097590</v>
      </c>
      <c r="D53" s="127" t="s">
        <v>52</v>
      </c>
      <c r="E53" s="126">
        <v>7000</v>
      </c>
      <c r="F53" s="21">
        <v>8.4269999999999996</v>
      </c>
      <c r="G53" s="21">
        <v>8.4969999999999999</v>
      </c>
      <c r="H53" s="18">
        <f>(G53-F53)*E53</f>
        <v>490.00000000000199</v>
      </c>
      <c r="I53" s="43"/>
      <c r="J53" s="20"/>
    </row>
    <row r="54" spans="1:10" ht="15.75" x14ac:dyDescent="0.25">
      <c r="A54" s="15" t="s">
        <v>65</v>
      </c>
      <c r="B54" s="126" t="s">
        <v>66</v>
      </c>
      <c r="C54" s="126">
        <v>49174</v>
      </c>
      <c r="D54" s="127" t="s">
        <v>52</v>
      </c>
      <c r="E54" s="126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26"/>
      <c r="D55" s="127"/>
      <c r="E55" s="126"/>
      <c r="F55" s="21"/>
      <c r="G55" s="21"/>
      <c r="H55" s="48">
        <f>H52+H53+H54</f>
        <v>57423.00000000099</v>
      </c>
      <c r="I55" s="47"/>
      <c r="J55" s="59"/>
    </row>
    <row r="56" spans="1:10" ht="15.75" x14ac:dyDescent="0.25">
      <c r="A56" s="27" t="s">
        <v>73</v>
      </c>
      <c r="B56" s="126" t="s">
        <v>51</v>
      </c>
      <c r="C56" s="126">
        <v>51100980</v>
      </c>
      <c r="D56" s="126" t="s">
        <v>74</v>
      </c>
      <c r="E56" s="126">
        <v>12000</v>
      </c>
      <c r="F56" s="21">
        <v>882.81299999999999</v>
      </c>
      <c r="G56" s="21">
        <v>887.59299999999996</v>
      </c>
      <c r="H56" s="18">
        <f>(G56-F56)*E56</f>
        <v>57359.999999999673</v>
      </c>
      <c r="I56" s="47"/>
      <c r="J56" s="58"/>
    </row>
    <row r="57" spans="1:10" ht="15.75" x14ac:dyDescent="0.25">
      <c r="A57" s="27" t="s">
        <v>75</v>
      </c>
      <c r="B57" s="126" t="s">
        <v>51</v>
      </c>
      <c r="C57" s="126">
        <v>51097623</v>
      </c>
      <c r="D57" s="126" t="s">
        <v>74</v>
      </c>
      <c r="E57" s="126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26"/>
      <c r="C58" s="126"/>
      <c r="D58" s="126"/>
      <c r="E58" s="126"/>
      <c r="F58" s="21"/>
      <c r="G58" s="21"/>
      <c r="H58" s="48">
        <f>H56+H57</f>
        <v>57359.999999999673</v>
      </c>
      <c r="I58" s="61">
        <f>H55-H65-H54</f>
        <v>-162.99999999952706</v>
      </c>
      <c r="J58" s="25">
        <f>I58/H58</f>
        <v>-2.8417015341619246E-3</v>
      </c>
    </row>
    <row r="59" spans="1:10" ht="15.75" x14ac:dyDescent="0.25">
      <c r="A59" s="27" t="s">
        <v>77</v>
      </c>
      <c r="B59" s="126" t="s">
        <v>51</v>
      </c>
      <c r="C59" s="126">
        <v>51097675</v>
      </c>
      <c r="D59" s="126" t="s">
        <v>34</v>
      </c>
      <c r="E59" s="126">
        <v>4800</v>
      </c>
      <c r="F59" s="21">
        <v>328.43799999999999</v>
      </c>
      <c r="G59" s="21">
        <v>331.19200000000001</v>
      </c>
      <c r="H59" s="18">
        <f t="shared" ref="H59:H64" si="2">(G59-F59)*E59</f>
        <v>13219.200000000092</v>
      </c>
      <c r="I59" s="62"/>
      <c r="J59" s="59"/>
    </row>
    <row r="60" spans="1:10" ht="15.75" x14ac:dyDescent="0.25">
      <c r="A60" s="27" t="s">
        <v>78</v>
      </c>
      <c r="B60" s="126" t="s">
        <v>51</v>
      </c>
      <c r="C60" s="126">
        <v>51100997</v>
      </c>
      <c r="D60" s="126" t="s">
        <v>21</v>
      </c>
      <c r="E60" s="126">
        <v>3600</v>
      </c>
      <c r="F60" s="21">
        <v>1143.673</v>
      </c>
      <c r="G60" s="21">
        <v>1149.172</v>
      </c>
      <c r="H60" s="18">
        <f t="shared" si="2"/>
        <v>19796.400000000085</v>
      </c>
      <c r="I60" s="62"/>
      <c r="J60" s="59"/>
    </row>
    <row r="61" spans="1:10" ht="15.75" x14ac:dyDescent="0.25">
      <c r="A61" s="27" t="s">
        <v>79</v>
      </c>
      <c r="B61" s="126" t="s">
        <v>51</v>
      </c>
      <c r="C61" s="126">
        <v>51555218</v>
      </c>
      <c r="D61" s="126">
        <f>400/5</f>
        <v>80</v>
      </c>
      <c r="E61" s="126">
        <v>4800</v>
      </c>
      <c r="F61" s="21">
        <v>35.213999999999999</v>
      </c>
      <c r="G61" s="21">
        <v>35.703000000000003</v>
      </c>
      <c r="H61" s="18">
        <f t="shared" si="2"/>
        <v>2347.2000000000207</v>
      </c>
      <c r="I61" s="62"/>
      <c r="J61" s="59"/>
    </row>
    <row r="62" spans="1:10" ht="15.75" x14ac:dyDescent="0.25">
      <c r="A62" s="27" t="s">
        <v>80</v>
      </c>
      <c r="B62" s="126" t="s">
        <v>51</v>
      </c>
      <c r="C62" s="126">
        <v>51555151</v>
      </c>
      <c r="D62" s="126">
        <f>400/5</f>
        <v>80</v>
      </c>
      <c r="E62" s="126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26" t="s">
        <v>51</v>
      </c>
      <c r="C63" s="126">
        <v>51097599</v>
      </c>
      <c r="D63" s="126" t="s">
        <v>21</v>
      </c>
      <c r="E63" s="126">
        <v>3600</v>
      </c>
      <c r="F63" s="21">
        <v>813.09699999999998</v>
      </c>
      <c r="G63" s="21">
        <v>816.06100000000004</v>
      </c>
      <c r="H63" s="18">
        <f t="shared" si="2"/>
        <v>10670.4000000002</v>
      </c>
      <c r="I63" s="62"/>
      <c r="J63" s="59"/>
    </row>
    <row r="64" spans="1:10" ht="15.75" x14ac:dyDescent="0.25">
      <c r="A64" s="27" t="s">
        <v>82</v>
      </c>
      <c r="B64" s="126" t="s">
        <v>51</v>
      </c>
      <c r="C64" s="126">
        <v>51097620</v>
      </c>
      <c r="D64" s="126" t="s">
        <v>34</v>
      </c>
      <c r="E64" s="126">
        <v>4800</v>
      </c>
      <c r="F64" s="21">
        <v>364.14299999999997</v>
      </c>
      <c r="G64" s="21">
        <v>366.529</v>
      </c>
      <c r="H64" s="18">
        <f t="shared" si="2"/>
        <v>11452.800000000116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57486.000000000517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26" t="s">
        <v>51</v>
      </c>
      <c r="C67" s="9">
        <v>51259238</v>
      </c>
      <c r="D67" s="74" t="s">
        <v>52</v>
      </c>
      <c r="E67" s="74">
        <v>7000</v>
      </c>
      <c r="F67" s="75">
        <v>398.67599999999999</v>
      </c>
      <c r="G67" s="75">
        <v>401.20699999999999</v>
      </c>
      <c r="H67" s="76">
        <f>(G67-F67)*E67</f>
        <v>17717.00000000004</v>
      </c>
      <c r="I67" s="77"/>
      <c r="J67" s="78"/>
    </row>
    <row r="68" spans="1:10" ht="15.75" x14ac:dyDescent="0.25">
      <c r="A68" s="27" t="s">
        <v>85</v>
      </c>
      <c r="B68" s="126" t="s">
        <v>51</v>
      </c>
      <c r="C68" s="126">
        <v>51259324</v>
      </c>
      <c r="D68" s="127" t="s">
        <v>52</v>
      </c>
      <c r="E68" s="127">
        <v>7000</v>
      </c>
      <c r="F68" s="21">
        <v>306.11399999999998</v>
      </c>
      <c r="G68" s="21">
        <v>308.25400000000002</v>
      </c>
      <c r="H68" s="18">
        <f>(G68-F68)*E68</f>
        <v>14980.000000000302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26">
        <v>51491618</v>
      </c>
      <c r="D69" s="127" t="s">
        <v>62</v>
      </c>
      <c r="E69" s="126">
        <v>40</v>
      </c>
      <c r="F69" s="28">
        <v>647.37300000000005</v>
      </c>
      <c r="G69" s="28">
        <v>657.15800000000002</v>
      </c>
      <c r="H69" s="18">
        <f>(G69-F69)*E69</f>
        <v>391.39999999999873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26">
        <v>51491624</v>
      </c>
      <c r="D70" s="127" t="s">
        <v>62</v>
      </c>
      <c r="E70" s="126">
        <v>40</v>
      </c>
      <c r="F70" s="28">
        <v>95.7</v>
      </c>
      <c r="G70" s="28">
        <v>96.751000000000005</v>
      </c>
      <c r="H70" s="18">
        <f>(G70-F70)*E70</f>
        <v>42.040000000000077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32697.000000000342</v>
      </c>
      <c r="I71" s="85">
        <f>H71-H74-H69-H70</f>
        <v>-1060.4399999994966</v>
      </c>
      <c r="J71" s="25">
        <f>I71/H71</f>
        <v>-3.243233324156606E-2</v>
      </c>
    </row>
    <row r="72" spans="1:10" ht="15.75" x14ac:dyDescent="0.25">
      <c r="A72" s="27" t="s">
        <v>90</v>
      </c>
      <c r="B72" s="126" t="s">
        <v>51</v>
      </c>
      <c r="C72" s="86">
        <v>51097588</v>
      </c>
      <c r="D72" s="127" t="s">
        <v>74</v>
      </c>
      <c r="E72" s="126">
        <v>12000</v>
      </c>
      <c r="F72" s="21">
        <v>242.30699999999999</v>
      </c>
      <c r="G72" s="21">
        <v>243.78899999999999</v>
      </c>
      <c r="H72" s="18">
        <f>(G72-F72)*E72</f>
        <v>17783.999999999993</v>
      </c>
      <c r="I72" s="51"/>
      <c r="J72" s="58"/>
    </row>
    <row r="73" spans="1:10" ht="15.75" x14ac:dyDescent="0.25">
      <c r="A73" s="27" t="s">
        <v>91</v>
      </c>
      <c r="B73" s="126" t="s">
        <v>51</v>
      </c>
      <c r="C73" s="86">
        <v>51431335</v>
      </c>
      <c r="D73" s="127" t="s">
        <v>74</v>
      </c>
      <c r="E73" s="126">
        <v>12000</v>
      </c>
      <c r="F73" s="21">
        <v>188.34100000000001</v>
      </c>
      <c r="G73" s="21">
        <v>189.636</v>
      </c>
      <c r="H73" s="18">
        <f>(G73-F73)*E73</f>
        <v>15539.999999999851</v>
      </c>
      <c r="I73" s="51"/>
      <c r="J73" s="58"/>
    </row>
    <row r="74" spans="1:10" ht="15.75" x14ac:dyDescent="0.25">
      <c r="A74" s="87" t="s">
        <v>92</v>
      </c>
      <c r="B74" s="126" t="s">
        <v>27</v>
      </c>
      <c r="C74" s="126"/>
      <c r="D74" s="127"/>
      <c r="E74" s="126"/>
      <c r="F74" s="21"/>
      <c r="G74" s="21"/>
      <c r="H74" s="48">
        <f>H72+ H73</f>
        <v>33323.99999999984</v>
      </c>
      <c r="I74" s="85">
        <f>H74-H82</f>
        <v>-57.600000000165892</v>
      </c>
      <c r="J74" s="25">
        <f>I74/H74</f>
        <v>-1.7284839755181301E-3</v>
      </c>
    </row>
    <row r="75" spans="1:10" ht="15.75" x14ac:dyDescent="0.25">
      <c r="A75" s="27" t="s">
        <v>93</v>
      </c>
      <c r="B75" s="126" t="s">
        <v>51</v>
      </c>
      <c r="C75" s="86">
        <v>51097676</v>
      </c>
      <c r="D75" s="88" t="s">
        <v>62</v>
      </c>
      <c r="E75" s="126">
        <v>2400</v>
      </c>
      <c r="F75" s="21">
        <v>478.37299999999999</v>
      </c>
      <c r="G75" s="21">
        <v>481.94299999999998</v>
      </c>
      <c r="H75" s="18">
        <f>(G75-F75)*E75</f>
        <v>8567.9999999999836</v>
      </c>
      <c r="I75" s="51"/>
      <c r="J75" s="58"/>
    </row>
    <row r="76" spans="1:10" ht="15.75" x14ac:dyDescent="0.25">
      <c r="A76" s="27" t="s">
        <v>94</v>
      </c>
      <c r="B76" s="126" t="s">
        <v>51</v>
      </c>
      <c r="C76" s="86">
        <v>51431355</v>
      </c>
      <c r="D76" s="127" t="s">
        <v>21</v>
      </c>
      <c r="E76" s="127">
        <v>3600</v>
      </c>
      <c r="F76" s="21">
        <v>289.101</v>
      </c>
      <c r="G76" s="21">
        <v>290.358</v>
      </c>
      <c r="H76" s="18">
        <f>(G76-F76)*E76</f>
        <v>4525.200000000018</v>
      </c>
      <c r="I76" s="51"/>
      <c r="J76" s="52"/>
    </row>
    <row r="77" spans="1:10" ht="15.75" x14ac:dyDescent="0.25">
      <c r="A77" s="27" t="s">
        <v>95</v>
      </c>
      <c r="B77" s="126" t="s">
        <v>51</v>
      </c>
      <c r="C77" s="86">
        <v>51259331</v>
      </c>
      <c r="D77" s="88" t="s">
        <v>37</v>
      </c>
      <c r="E77" s="126">
        <v>600</v>
      </c>
      <c r="F77" s="21">
        <v>107.74</v>
      </c>
      <c r="G77" s="21">
        <v>108.554</v>
      </c>
      <c r="H77" s="18">
        <f>(G77-F77)*E77</f>
        <v>488.4000000000043</v>
      </c>
      <c r="I77" s="51"/>
      <c r="J77" s="52"/>
    </row>
    <row r="78" spans="1:10" ht="15.75" x14ac:dyDescent="0.25">
      <c r="A78" s="27" t="s">
        <v>96</v>
      </c>
      <c r="B78" s="126" t="s">
        <v>51</v>
      </c>
      <c r="C78" s="86">
        <v>51259326</v>
      </c>
      <c r="D78" s="88" t="s">
        <v>14</v>
      </c>
      <c r="E78" s="126">
        <v>7200</v>
      </c>
      <c r="F78" s="21">
        <v>248.589</v>
      </c>
      <c r="G78" s="21">
        <v>249.87799999999999</v>
      </c>
      <c r="H78" s="18">
        <f>(G78-F78)*E78</f>
        <v>9280.7999999999083</v>
      </c>
      <c r="I78" s="51"/>
      <c r="J78" s="52"/>
    </row>
    <row r="79" spans="1:10" ht="15.75" x14ac:dyDescent="0.25">
      <c r="A79" s="27" t="s">
        <v>97</v>
      </c>
      <c r="B79" s="126" t="s">
        <v>51</v>
      </c>
      <c r="C79" s="86">
        <v>51431351</v>
      </c>
      <c r="D79" s="88" t="s">
        <v>14</v>
      </c>
      <c r="E79" s="126">
        <v>7200</v>
      </c>
      <c r="F79" s="21">
        <v>157.42699999999999</v>
      </c>
      <c r="G79" s="21">
        <v>158.88800000000001</v>
      </c>
      <c r="H79" s="18">
        <f>(G79-F79)*E79</f>
        <v>10519.200000000092</v>
      </c>
      <c r="I79" s="51"/>
      <c r="J79" s="52"/>
    </row>
    <row r="80" spans="1:10" ht="15.75" x14ac:dyDescent="0.25">
      <c r="A80" s="89" t="s">
        <v>98</v>
      </c>
      <c r="B80" s="126" t="s">
        <v>51</v>
      </c>
      <c r="C80" s="90">
        <v>51097666</v>
      </c>
      <c r="D80" s="88" t="s">
        <v>62</v>
      </c>
      <c r="E80" s="126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26" t="s">
        <v>51</v>
      </c>
      <c r="C81" s="90">
        <v>51259323</v>
      </c>
      <c r="D81" s="88" t="s">
        <v>62</v>
      </c>
      <c r="E81" s="126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33381.600000000006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26" t="s">
        <v>51</v>
      </c>
      <c r="C84" s="106">
        <v>51431297</v>
      </c>
      <c r="D84" s="127" t="s">
        <v>52</v>
      </c>
      <c r="E84" s="100">
        <v>7000</v>
      </c>
      <c r="F84" s="17">
        <v>192.12200000000001</v>
      </c>
      <c r="G84" s="17">
        <v>192.87200000000001</v>
      </c>
      <c r="H84" s="18">
        <f>(G84-F84)*E84</f>
        <v>5250</v>
      </c>
      <c r="I84" s="107"/>
      <c r="J84" s="108"/>
    </row>
    <row r="85" spans="1:10" ht="15.75" x14ac:dyDescent="0.25">
      <c r="A85" s="105" t="s">
        <v>85</v>
      </c>
      <c r="B85" s="126" t="s">
        <v>51</v>
      </c>
      <c r="C85" s="106">
        <v>51431332</v>
      </c>
      <c r="D85" s="127" t="s">
        <v>52</v>
      </c>
      <c r="E85" s="100">
        <v>7000</v>
      </c>
      <c r="F85" s="21">
        <v>294.14</v>
      </c>
      <c r="G85" s="21">
        <v>295.83</v>
      </c>
      <c r="H85" s="18">
        <f>(G85-F85)*E85</f>
        <v>11829.999999999984</v>
      </c>
      <c r="I85" s="126"/>
      <c r="J85" s="58"/>
    </row>
    <row r="86" spans="1:10" ht="15.75" x14ac:dyDescent="0.25">
      <c r="A86" s="27" t="s">
        <v>86</v>
      </c>
      <c r="B86" s="126" t="s">
        <v>102</v>
      </c>
      <c r="C86" s="109">
        <v>150773</v>
      </c>
      <c r="D86" s="127" t="s">
        <v>52</v>
      </c>
      <c r="E86" s="109">
        <v>20</v>
      </c>
      <c r="F86" s="17">
        <v>15191.3</v>
      </c>
      <c r="G86" s="17">
        <v>15198.3</v>
      </c>
      <c r="H86" s="18">
        <f>(G86-F86)*E86</f>
        <v>140</v>
      </c>
      <c r="I86" s="51"/>
      <c r="J86" s="58"/>
    </row>
    <row r="87" spans="1:10" ht="15.75" x14ac:dyDescent="0.25">
      <c r="A87" s="27" t="s">
        <v>88</v>
      </c>
      <c r="B87" s="126" t="s">
        <v>102</v>
      </c>
      <c r="C87" s="109">
        <v>150791</v>
      </c>
      <c r="D87" s="127" t="s">
        <v>52</v>
      </c>
      <c r="E87" s="109">
        <v>20</v>
      </c>
      <c r="F87" s="21">
        <v>231.4</v>
      </c>
      <c r="G87" s="21">
        <v>231.4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28"/>
      <c r="C88" s="32"/>
      <c r="D88" s="82"/>
      <c r="E88" s="82"/>
      <c r="F88" s="21"/>
      <c r="G88" s="21"/>
      <c r="H88" s="48">
        <f>H84+H85</f>
        <v>17079.999999999985</v>
      </c>
      <c r="I88" s="85">
        <f>H88-H91-H86-H87</f>
        <v>423.19999999983702</v>
      </c>
      <c r="J88" s="25">
        <f>I88/H88</f>
        <v>2.4777517564393288E-2</v>
      </c>
    </row>
    <row r="89" spans="1:10" ht="15.75" x14ac:dyDescent="0.25">
      <c r="A89" s="27" t="s">
        <v>103</v>
      </c>
      <c r="B89" s="126" t="s">
        <v>51</v>
      </c>
      <c r="C89" s="106">
        <v>51431342</v>
      </c>
      <c r="D89" s="88" t="s">
        <v>34</v>
      </c>
      <c r="E89" s="126">
        <v>4800</v>
      </c>
      <c r="F89" s="21">
        <v>271.404</v>
      </c>
      <c r="G89" s="21">
        <v>272.45999999999998</v>
      </c>
      <c r="H89" s="18">
        <f>(G89-F89)*E89</f>
        <v>5068.7999999999192</v>
      </c>
      <c r="I89" s="51"/>
      <c r="J89" s="52"/>
    </row>
    <row r="90" spans="1:10" ht="15.75" x14ac:dyDescent="0.25">
      <c r="A90" s="27" t="s">
        <v>104</v>
      </c>
      <c r="B90" s="126" t="s">
        <v>51</v>
      </c>
      <c r="C90" s="106">
        <v>51431343</v>
      </c>
      <c r="D90" s="88" t="s">
        <v>34</v>
      </c>
      <c r="E90" s="126">
        <v>4800</v>
      </c>
      <c r="F90" s="21">
        <v>417.58499999999998</v>
      </c>
      <c r="G90" s="21">
        <v>419.97</v>
      </c>
      <c r="H90" s="18">
        <f>(G90-F90)*E90</f>
        <v>11448.000000000229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16516.800000000148</v>
      </c>
      <c r="I91" s="85">
        <f>H91-H99</f>
        <v>-117.19999999996799</v>
      </c>
      <c r="J91" s="25">
        <f>I91/H91</f>
        <v>-7.0958054829002547E-3</v>
      </c>
    </row>
    <row r="92" spans="1:10" ht="15.75" x14ac:dyDescent="0.25">
      <c r="A92" s="27" t="s">
        <v>106</v>
      </c>
      <c r="B92" s="126" t="s">
        <v>51</v>
      </c>
      <c r="C92" s="106">
        <v>51431347</v>
      </c>
      <c r="D92" s="127" t="s">
        <v>52</v>
      </c>
      <c r="E92" s="126">
        <v>1200</v>
      </c>
      <c r="F92" s="21">
        <v>907.75199999999995</v>
      </c>
      <c r="G92" s="21">
        <v>915.97400000000005</v>
      </c>
      <c r="H92" s="18">
        <f t="shared" ref="H92:H100" si="4">(G92-F92)*E92</f>
        <v>9866.4000000001124</v>
      </c>
      <c r="I92" s="51"/>
      <c r="J92" s="52"/>
    </row>
    <row r="93" spans="1:10" ht="15.75" x14ac:dyDescent="0.25">
      <c r="A93" s="27" t="s">
        <v>107</v>
      </c>
      <c r="B93" s="126" t="s">
        <v>51</v>
      </c>
      <c r="C93" s="106">
        <v>51431339</v>
      </c>
      <c r="D93" s="127" t="s">
        <v>52</v>
      </c>
      <c r="E93" s="126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26" t="s">
        <v>51</v>
      </c>
      <c r="C94" s="106">
        <v>51217244</v>
      </c>
      <c r="D94" s="126" t="s">
        <v>37</v>
      </c>
      <c r="E94" s="126">
        <v>600</v>
      </c>
      <c r="F94" s="30">
        <v>229.977</v>
      </c>
      <c r="G94" s="30">
        <v>232.50200000000001</v>
      </c>
      <c r="H94" s="18">
        <f t="shared" si="4"/>
        <v>1515.0000000000034</v>
      </c>
      <c r="I94" s="51"/>
      <c r="J94" s="52"/>
    </row>
    <row r="95" spans="1:10" ht="15.75" x14ac:dyDescent="0.25">
      <c r="A95" s="27" t="s">
        <v>109</v>
      </c>
      <c r="B95" s="126" t="s">
        <v>51</v>
      </c>
      <c r="C95" s="106">
        <v>51217267</v>
      </c>
      <c r="D95" s="88" t="s">
        <v>62</v>
      </c>
      <c r="E95" s="126">
        <v>2400</v>
      </c>
      <c r="F95" s="30">
        <v>18.463000000000001</v>
      </c>
      <c r="G95" s="30">
        <v>18.495999999999999</v>
      </c>
      <c r="H95" s="18">
        <f t="shared" si="4"/>
        <v>79.199999999994475</v>
      </c>
      <c r="I95" s="51"/>
      <c r="J95" s="52"/>
    </row>
    <row r="96" spans="1:10" ht="15.75" x14ac:dyDescent="0.25">
      <c r="A96" s="27" t="s">
        <v>110</v>
      </c>
      <c r="B96" s="126" t="s">
        <v>51</v>
      </c>
      <c r="C96" s="126">
        <v>51555165</v>
      </c>
      <c r="D96" s="127" t="s">
        <v>52</v>
      </c>
      <c r="E96" s="126">
        <v>1200</v>
      </c>
      <c r="F96" s="30">
        <v>649.726</v>
      </c>
      <c r="G96" s="30">
        <v>649.726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126" t="s">
        <v>51</v>
      </c>
      <c r="C97" s="106">
        <v>51431346</v>
      </c>
      <c r="D97" s="114" t="s">
        <v>37</v>
      </c>
      <c r="E97" s="114">
        <v>600</v>
      </c>
      <c r="F97" s="30">
        <v>277.33999999999997</v>
      </c>
      <c r="G97" s="30">
        <v>277.69499999999999</v>
      </c>
      <c r="H97" s="115">
        <f t="shared" si="4"/>
        <v>213.00000000001091</v>
      </c>
      <c r="I97" s="116"/>
      <c r="J97" s="117"/>
    </row>
    <row r="98" spans="1:10" ht="15.75" x14ac:dyDescent="0.25">
      <c r="A98" s="27" t="s">
        <v>112</v>
      </c>
      <c r="B98" s="126" t="s">
        <v>51</v>
      </c>
      <c r="C98" s="106">
        <v>51431352</v>
      </c>
      <c r="D98" s="88" t="s">
        <v>21</v>
      </c>
      <c r="E98" s="126">
        <v>3600</v>
      </c>
      <c r="F98" s="21">
        <v>139.828</v>
      </c>
      <c r="G98" s="21">
        <v>141.167</v>
      </c>
      <c r="H98" s="18">
        <f t="shared" si="4"/>
        <v>4820.3999999999951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16634.000000000116</v>
      </c>
      <c r="I99" s="51"/>
      <c r="J99" s="52"/>
    </row>
    <row r="100" spans="1:10" ht="15.75" x14ac:dyDescent="0.25">
      <c r="A100" s="45" t="s">
        <v>113</v>
      </c>
      <c r="B100" s="126" t="s">
        <v>51</v>
      </c>
      <c r="C100" s="120">
        <v>51431357</v>
      </c>
      <c r="D100" s="127" t="s">
        <v>62</v>
      </c>
      <c r="E100" s="127">
        <v>14000</v>
      </c>
      <c r="F100" s="28">
        <v>637.27700000000004</v>
      </c>
      <c r="G100" s="28">
        <v>637.27700000000004</v>
      </c>
      <c r="H100" s="121">
        <f t="shared" si="4"/>
        <v>0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E1" workbookViewId="0">
      <selection activeCell="J35" sqref="J35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121</v>
      </c>
      <c r="G3" s="4" t="s">
        <v>122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29" t="s">
        <v>13</v>
      </c>
      <c r="C5" s="129">
        <v>51555166</v>
      </c>
      <c r="D5" s="129" t="s">
        <v>14</v>
      </c>
      <c r="E5" s="129">
        <v>132000</v>
      </c>
      <c r="F5" s="17">
        <v>2.2210000000000001</v>
      </c>
      <c r="G5" s="17">
        <v>2.2320000000000002</v>
      </c>
      <c r="H5" s="18">
        <f>(G5-F5)*E5</f>
        <v>1452.0000000000159</v>
      </c>
      <c r="I5" s="19"/>
      <c r="J5" s="20"/>
    </row>
    <row r="6" spans="1:10" ht="15.75" x14ac:dyDescent="0.25">
      <c r="A6" s="15" t="s">
        <v>15</v>
      </c>
      <c r="B6" s="129" t="s">
        <v>13</v>
      </c>
      <c r="C6" s="129">
        <v>51555191</v>
      </c>
      <c r="D6" s="129" t="s">
        <v>14</v>
      </c>
      <c r="E6" s="129">
        <v>132000</v>
      </c>
      <c r="F6" s="21">
        <v>257.90600000000001</v>
      </c>
      <c r="G6" s="21">
        <v>259.84500000000003</v>
      </c>
      <c r="H6" s="18">
        <f>(G6-F6)*E6</f>
        <v>255948.00000000282</v>
      </c>
      <c r="I6" s="19"/>
      <c r="J6" s="20"/>
    </row>
    <row r="7" spans="1:10" ht="15.75" x14ac:dyDescent="0.25">
      <c r="A7" s="219" t="s">
        <v>16</v>
      </c>
      <c r="B7" s="220"/>
      <c r="C7" s="129"/>
      <c r="D7" s="130"/>
      <c r="E7" s="129"/>
      <c r="H7" s="23">
        <f>H5+H6</f>
        <v>257400.00000000285</v>
      </c>
      <c r="I7" s="24">
        <f>H7-H10-H20</f>
        <v>2154.0000000062428</v>
      </c>
      <c r="J7" s="25">
        <f>I7/H7</f>
        <v>8.3682983683225284E-3</v>
      </c>
    </row>
    <row r="8" spans="1:10" ht="15.75" x14ac:dyDescent="0.25">
      <c r="A8" s="26" t="s">
        <v>17</v>
      </c>
      <c r="B8" s="129" t="s">
        <v>13</v>
      </c>
      <c r="C8" s="129">
        <v>51097629</v>
      </c>
      <c r="D8" s="130" t="s">
        <v>14</v>
      </c>
      <c r="E8" s="129">
        <v>42000</v>
      </c>
      <c r="F8" s="21">
        <v>846.01800000000003</v>
      </c>
      <c r="G8" s="21">
        <v>850.53099999999995</v>
      </c>
      <c r="H8" s="18">
        <f>(G8-F8)*E8</f>
        <v>189545.99999999662</v>
      </c>
      <c r="I8" s="19"/>
      <c r="J8" s="20"/>
    </row>
    <row r="9" spans="1:10" ht="15.75" x14ac:dyDescent="0.25">
      <c r="A9" s="26" t="s">
        <v>18</v>
      </c>
      <c r="B9" s="129" t="s">
        <v>13</v>
      </c>
      <c r="C9" s="129">
        <v>51616820</v>
      </c>
      <c r="D9" s="130" t="s">
        <v>14</v>
      </c>
      <c r="E9" s="129">
        <v>42000</v>
      </c>
      <c r="F9" s="21">
        <v>3.5760000000000001</v>
      </c>
      <c r="G9" s="21">
        <v>3.597</v>
      </c>
      <c r="H9" s="18">
        <f>(G9-F9)*E9</f>
        <v>881.99999999999613</v>
      </c>
      <c r="I9" s="19"/>
      <c r="J9" s="20"/>
    </row>
    <row r="10" spans="1:10" ht="15.75" x14ac:dyDescent="0.25">
      <c r="A10" s="219" t="s">
        <v>19</v>
      </c>
      <c r="B10" s="220"/>
      <c r="C10" s="129"/>
      <c r="D10" s="130"/>
      <c r="E10" s="129"/>
      <c r="F10" s="21"/>
      <c r="G10" s="21"/>
      <c r="H10" s="23">
        <f>H8+H9</f>
        <v>190427.99999999662</v>
      </c>
      <c r="I10" s="24">
        <f>H10-H17</f>
        <v>-2.7939677238464355E-9</v>
      </c>
      <c r="J10" s="25">
        <f>I10/H10</f>
        <v>-1.4672042576966019E-14</v>
      </c>
    </row>
    <row r="11" spans="1:10" ht="15.75" x14ac:dyDescent="0.25">
      <c r="A11" s="27" t="s">
        <v>20</v>
      </c>
      <c r="B11" s="129" t="s">
        <v>13</v>
      </c>
      <c r="C11" s="129">
        <v>51217286</v>
      </c>
      <c r="D11" s="130" t="s">
        <v>21</v>
      </c>
      <c r="E11" s="129">
        <v>21000</v>
      </c>
      <c r="F11" s="21">
        <v>673.27800000000002</v>
      </c>
      <c r="G11" s="21">
        <v>676.94299999999998</v>
      </c>
      <c r="H11" s="18">
        <f t="shared" ref="H11:H16" si="0">(G11-F11)*E11</f>
        <v>76964.999999999243</v>
      </c>
      <c r="I11" s="19"/>
      <c r="J11" s="20"/>
    </row>
    <row r="12" spans="1:10" ht="15.75" x14ac:dyDescent="0.25">
      <c r="A12" s="27" t="s">
        <v>22</v>
      </c>
      <c r="B12" s="129" t="s">
        <v>13</v>
      </c>
      <c r="C12" s="129">
        <v>51217292</v>
      </c>
      <c r="D12" s="130" t="s">
        <v>21</v>
      </c>
      <c r="E12" s="129">
        <v>21000</v>
      </c>
      <c r="F12" s="28">
        <v>2.5089999999999999</v>
      </c>
      <c r="G12" s="28">
        <v>2.5310000000000001</v>
      </c>
      <c r="H12" s="18">
        <f>(G12-F12)*E12</f>
        <v>462.00000000000506</v>
      </c>
      <c r="I12" s="19"/>
      <c r="J12" s="20"/>
    </row>
    <row r="13" spans="1:10" ht="15.75" x14ac:dyDescent="0.25">
      <c r="A13" s="27" t="s">
        <v>23</v>
      </c>
      <c r="B13" s="129" t="s">
        <v>13</v>
      </c>
      <c r="C13" s="129">
        <v>51217271</v>
      </c>
      <c r="D13" s="130" t="s">
        <v>21</v>
      </c>
      <c r="E13" s="129">
        <v>21000</v>
      </c>
      <c r="F13" s="21">
        <v>484.34899999999999</v>
      </c>
      <c r="G13" s="21">
        <v>486.83</v>
      </c>
      <c r="H13" s="18">
        <f t="shared" si="0"/>
        <v>52100.999999999884</v>
      </c>
      <c r="I13" s="19"/>
      <c r="J13" s="20"/>
    </row>
    <row r="14" spans="1:10" ht="15.75" x14ac:dyDescent="0.25">
      <c r="A14" s="27" t="s">
        <v>24</v>
      </c>
      <c r="B14" s="129" t="s">
        <v>13</v>
      </c>
      <c r="C14" s="129">
        <v>51217276</v>
      </c>
      <c r="D14" s="130" t="s">
        <v>21</v>
      </c>
      <c r="E14" s="129">
        <v>21000</v>
      </c>
      <c r="F14" s="28">
        <v>0.314</v>
      </c>
      <c r="G14" s="28">
        <v>0.318</v>
      </c>
      <c r="H14" s="18">
        <f>(G14-F14)*E14</f>
        <v>84.000000000000071</v>
      </c>
      <c r="I14" s="19"/>
      <c r="J14" s="20"/>
    </row>
    <row r="15" spans="1:10" ht="15.75" x14ac:dyDescent="0.25">
      <c r="A15" s="27" t="s">
        <v>25</v>
      </c>
      <c r="B15" s="129" t="s">
        <v>13</v>
      </c>
      <c r="C15" s="129">
        <v>51100990</v>
      </c>
      <c r="D15" s="130" t="s">
        <v>21</v>
      </c>
      <c r="E15" s="129">
        <v>21000</v>
      </c>
      <c r="F15" s="29">
        <v>538.91499999999996</v>
      </c>
      <c r="G15" s="29">
        <v>541.79899999999998</v>
      </c>
      <c r="H15" s="18">
        <f t="shared" si="0"/>
        <v>60564.000000000306</v>
      </c>
      <c r="I15" s="19"/>
      <c r="J15" s="20"/>
    </row>
    <row r="16" spans="1:10" ht="15.75" x14ac:dyDescent="0.25">
      <c r="A16" s="27" t="s">
        <v>26</v>
      </c>
      <c r="B16" s="129" t="s">
        <v>13</v>
      </c>
      <c r="C16" s="129">
        <v>51097622</v>
      </c>
      <c r="D16" s="130" t="s">
        <v>21</v>
      </c>
      <c r="E16" s="129">
        <v>21000</v>
      </c>
      <c r="F16" s="21">
        <v>2.3540000000000001</v>
      </c>
      <c r="G16" s="21">
        <v>2.3660000000000001</v>
      </c>
      <c r="H16" s="18">
        <f t="shared" si="0"/>
        <v>252.00000000000023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29"/>
      <c r="D17" s="130"/>
      <c r="E17" s="129"/>
      <c r="F17" s="21"/>
      <c r="G17" s="21"/>
      <c r="H17" s="23">
        <f>H11+H12+H13+H14+H15+H16</f>
        <v>190427.99999999942</v>
      </c>
      <c r="I17" s="19"/>
      <c r="J17" s="20"/>
    </row>
    <row r="18" spans="1:10" ht="15.75" x14ac:dyDescent="0.25">
      <c r="A18" s="26" t="s">
        <v>29</v>
      </c>
      <c r="B18" s="129" t="s">
        <v>13</v>
      </c>
      <c r="C18" s="129">
        <v>51097617</v>
      </c>
      <c r="D18" s="130" t="s">
        <v>30</v>
      </c>
      <c r="E18" s="129">
        <v>18000</v>
      </c>
      <c r="F18" s="30">
        <v>625.91200000000003</v>
      </c>
      <c r="G18" s="30">
        <v>629.51300000000003</v>
      </c>
      <c r="H18" s="18">
        <f>(G18-F18)*E18</f>
        <v>64817.999999999985</v>
      </c>
      <c r="I18" s="19"/>
      <c r="J18" s="20"/>
    </row>
    <row r="19" spans="1:10" ht="15.75" x14ac:dyDescent="0.25">
      <c r="A19" s="26" t="s">
        <v>31</v>
      </c>
      <c r="B19" s="129" t="s">
        <v>13</v>
      </c>
      <c r="C19" s="129">
        <v>51097655</v>
      </c>
      <c r="D19" s="130" t="s">
        <v>30</v>
      </c>
      <c r="E19" s="129">
        <v>18000</v>
      </c>
      <c r="F19" s="30">
        <v>6.07</v>
      </c>
      <c r="G19" s="30">
        <v>6.07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29"/>
      <c r="D20" s="130"/>
      <c r="E20" s="129"/>
      <c r="F20" s="30"/>
      <c r="G20" s="30"/>
      <c r="H20" s="23">
        <f>H18+H19</f>
        <v>64817.999999999985</v>
      </c>
      <c r="I20" s="24">
        <f>H20-H35</f>
        <v>2859.0000000002037</v>
      </c>
      <c r="J20" s="25">
        <f>I20/H20</f>
        <v>4.4108118115341488E-2</v>
      </c>
    </row>
    <row r="21" spans="1:10" ht="15.75" x14ac:dyDescent="0.25">
      <c r="A21" s="15" t="s">
        <v>33</v>
      </c>
      <c r="B21" s="129" t="s">
        <v>13</v>
      </c>
      <c r="C21" s="129">
        <v>51217282</v>
      </c>
      <c r="D21" s="130" t="s">
        <v>34</v>
      </c>
      <c r="E21" s="129">
        <v>4800</v>
      </c>
      <c r="F21" s="21">
        <v>378.36799999999999</v>
      </c>
      <c r="G21" s="21">
        <v>378.36799999999999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29" t="s">
        <v>13</v>
      </c>
      <c r="C22" s="129">
        <v>51217274</v>
      </c>
      <c r="D22" s="130" t="s">
        <v>34</v>
      </c>
      <c r="E22" s="129">
        <v>4800</v>
      </c>
      <c r="F22" s="21">
        <v>992.58</v>
      </c>
      <c r="G22" s="21">
        <v>998.58500000000004</v>
      </c>
      <c r="H22" s="18">
        <f t="shared" si="1"/>
        <v>28823.999999999978</v>
      </c>
      <c r="I22" s="19"/>
      <c r="J22" s="20"/>
    </row>
    <row r="23" spans="1:10" ht="15.75" x14ac:dyDescent="0.25">
      <c r="A23" s="15" t="s">
        <v>36</v>
      </c>
      <c r="B23" s="129" t="s">
        <v>13</v>
      </c>
      <c r="C23" s="129">
        <v>51097664</v>
      </c>
      <c r="D23" s="130" t="s">
        <v>37</v>
      </c>
      <c r="E23" s="129">
        <v>600</v>
      </c>
      <c r="F23" s="21">
        <v>3.6840000000000002</v>
      </c>
      <c r="G23" s="21">
        <v>3.702</v>
      </c>
      <c r="H23" s="18">
        <f t="shared" si="1"/>
        <v>10.799999999999876</v>
      </c>
      <c r="I23" s="19"/>
      <c r="J23" s="20"/>
    </row>
    <row r="24" spans="1:10" ht="15.75" x14ac:dyDescent="0.25">
      <c r="A24" s="15" t="s">
        <v>38</v>
      </c>
      <c r="B24" s="129" t="s">
        <v>13</v>
      </c>
      <c r="C24" s="129">
        <v>51097615</v>
      </c>
      <c r="D24" s="130" t="s">
        <v>37</v>
      </c>
      <c r="E24" s="129">
        <v>600</v>
      </c>
      <c r="F24" s="21">
        <v>22.361000000000001</v>
      </c>
      <c r="G24" s="21">
        <v>22.745000000000001</v>
      </c>
      <c r="H24" s="18">
        <f t="shared" si="1"/>
        <v>230.4000000000002</v>
      </c>
      <c r="I24" s="19"/>
      <c r="J24" s="20"/>
    </row>
    <row r="25" spans="1:10" ht="15.75" x14ac:dyDescent="0.25">
      <c r="A25" s="15" t="s">
        <v>39</v>
      </c>
      <c r="B25" s="129" t="s">
        <v>13</v>
      </c>
      <c r="C25" s="129">
        <v>51217264</v>
      </c>
      <c r="D25" s="130" t="s">
        <v>37</v>
      </c>
      <c r="E25" s="129">
        <v>600</v>
      </c>
      <c r="F25" s="21">
        <v>62.445</v>
      </c>
      <c r="G25" s="21">
        <v>63.113</v>
      </c>
      <c r="H25" s="18">
        <f t="shared" si="1"/>
        <v>400.79999999999956</v>
      </c>
      <c r="I25" s="19"/>
      <c r="J25" s="20"/>
    </row>
    <row r="26" spans="1:10" ht="15.75" x14ac:dyDescent="0.25">
      <c r="A26" s="15" t="s">
        <v>40</v>
      </c>
      <c r="B26" s="129" t="s">
        <v>13</v>
      </c>
      <c r="C26" s="129">
        <v>51217288</v>
      </c>
      <c r="D26" s="130" t="s">
        <v>37</v>
      </c>
      <c r="E26" s="129">
        <v>600</v>
      </c>
      <c r="F26" s="21">
        <v>18.638000000000002</v>
      </c>
      <c r="G26" s="21">
        <v>18.669</v>
      </c>
      <c r="H26" s="18">
        <f t="shared" si="1"/>
        <v>18.599999999999284</v>
      </c>
      <c r="I26" s="19" t="s">
        <v>27</v>
      </c>
      <c r="J26" s="20"/>
    </row>
    <row r="27" spans="1:10" ht="15.75" x14ac:dyDescent="0.25">
      <c r="A27" s="15" t="s">
        <v>41</v>
      </c>
      <c r="B27" s="129" t="s">
        <v>13</v>
      </c>
      <c r="C27" s="129">
        <v>51217279</v>
      </c>
      <c r="D27" s="130" t="s">
        <v>37</v>
      </c>
      <c r="E27" s="129">
        <v>600</v>
      </c>
      <c r="F27" s="21">
        <v>12.085000000000001</v>
      </c>
      <c r="G27" s="21">
        <v>12.138999999999999</v>
      </c>
      <c r="H27" s="18">
        <f t="shared" si="1"/>
        <v>32.399999999999096</v>
      </c>
      <c r="I27" s="19" t="s">
        <v>27</v>
      </c>
      <c r="J27" s="20"/>
    </row>
    <row r="28" spans="1:10" ht="15.75" x14ac:dyDescent="0.25">
      <c r="A28" s="15" t="s">
        <v>42</v>
      </c>
      <c r="B28" s="129" t="s">
        <v>13</v>
      </c>
      <c r="C28" s="129">
        <v>51217272</v>
      </c>
      <c r="D28" s="130" t="s">
        <v>37</v>
      </c>
      <c r="E28" s="129">
        <v>600</v>
      </c>
      <c r="F28" s="31">
        <v>11.856999999999999</v>
      </c>
      <c r="G28" s="31">
        <v>11.909000000000001</v>
      </c>
      <c r="H28" s="18">
        <f t="shared" si="1"/>
        <v>31.200000000000827</v>
      </c>
      <c r="I28" s="19"/>
      <c r="J28" s="20"/>
    </row>
    <row r="29" spans="1:10" ht="15.75" x14ac:dyDescent="0.25">
      <c r="A29" s="15" t="s">
        <v>43</v>
      </c>
      <c r="B29" s="129" t="s">
        <v>13</v>
      </c>
      <c r="C29" s="129">
        <v>51616744</v>
      </c>
      <c r="D29" s="130">
        <f>300/5</f>
        <v>60</v>
      </c>
      <c r="E29" s="129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29" t="s">
        <v>13</v>
      </c>
      <c r="C30" s="129">
        <v>51555226</v>
      </c>
      <c r="D30" s="130">
        <f>300/5</f>
        <v>60</v>
      </c>
      <c r="E30" s="129">
        <v>3600</v>
      </c>
      <c r="F30" s="31">
        <v>270.46300000000002</v>
      </c>
      <c r="G30" s="31">
        <v>274.54199999999997</v>
      </c>
      <c r="H30" s="18">
        <f>(G30-F30)*E30</f>
        <v>14684.399999999823</v>
      </c>
      <c r="I30" s="19"/>
      <c r="J30" s="20"/>
    </row>
    <row r="31" spans="1:10" ht="15.75" x14ac:dyDescent="0.25">
      <c r="A31" s="15" t="s">
        <v>45</v>
      </c>
      <c r="B31" s="129" t="s">
        <v>13</v>
      </c>
      <c r="C31" s="129">
        <v>51097658</v>
      </c>
      <c r="D31" s="130" t="s">
        <v>34</v>
      </c>
      <c r="E31" s="129">
        <v>4800</v>
      </c>
      <c r="F31" s="31">
        <v>458.06700000000001</v>
      </c>
      <c r="G31" s="31">
        <v>461.697</v>
      </c>
      <c r="H31" s="18">
        <f t="shared" si="1"/>
        <v>17423.999999999978</v>
      </c>
      <c r="I31" s="19"/>
      <c r="J31" s="20"/>
    </row>
    <row r="32" spans="1:10" ht="15.75" x14ac:dyDescent="0.25">
      <c r="A32" s="15" t="s">
        <v>46</v>
      </c>
      <c r="B32" s="129" t="s">
        <v>13</v>
      </c>
      <c r="C32" s="129">
        <v>51097635</v>
      </c>
      <c r="D32" s="130" t="s">
        <v>34</v>
      </c>
      <c r="E32" s="129">
        <v>4800</v>
      </c>
      <c r="F32" s="31">
        <v>48.426000000000002</v>
      </c>
      <c r="G32" s="31">
        <v>48.426000000000002</v>
      </c>
      <c r="H32" s="18">
        <f t="shared" si="1"/>
        <v>0</v>
      </c>
      <c r="I32" s="19"/>
      <c r="J32" s="20"/>
    </row>
    <row r="33" spans="1:10" ht="15.75" x14ac:dyDescent="0.25">
      <c r="A33" s="15" t="s">
        <v>47</v>
      </c>
      <c r="B33" s="129" t="s">
        <v>13</v>
      </c>
      <c r="C33" s="32">
        <v>51097633</v>
      </c>
      <c r="D33" s="130" t="s">
        <v>34</v>
      </c>
      <c r="E33" s="129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29" t="s">
        <v>13</v>
      </c>
      <c r="C34" s="32">
        <v>51097662</v>
      </c>
      <c r="D34" s="130" t="s">
        <v>34</v>
      </c>
      <c r="E34" s="129">
        <v>4800</v>
      </c>
      <c r="F34" s="31">
        <v>0.16300000000000001</v>
      </c>
      <c r="G34" s="31">
        <v>0.22600000000000001</v>
      </c>
      <c r="H34" s="33">
        <f t="shared" si="1"/>
        <v>302.39999999999998</v>
      </c>
      <c r="I34" s="34"/>
      <c r="J34" s="35"/>
    </row>
    <row r="35" spans="1:10" ht="15.75" x14ac:dyDescent="0.25">
      <c r="A35" s="219" t="s">
        <v>48</v>
      </c>
      <c r="B35" s="220"/>
      <c r="C35" s="129"/>
      <c r="D35" s="130"/>
      <c r="E35" s="129"/>
      <c r="F35" s="36"/>
      <c r="G35" s="36"/>
      <c r="H35" s="23">
        <f>H21+H22+H23+H24+H25+H26+H27+H28+H29+H30+H31+H32+H33+H34</f>
        <v>61958.999999999782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29" t="s">
        <v>51</v>
      </c>
      <c r="C37" s="129">
        <v>51555209</v>
      </c>
      <c r="D37" s="130" t="s">
        <v>52</v>
      </c>
      <c r="E37" s="129">
        <v>7000</v>
      </c>
      <c r="F37" s="17">
        <v>3.0640000000000001</v>
      </c>
      <c r="G37" s="17">
        <v>3.1110000000000002</v>
      </c>
      <c r="H37" s="41">
        <f>(G37-F37)*E37</f>
        <v>329.00000000000108</v>
      </c>
      <c r="I37" s="42"/>
      <c r="J37" s="14"/>
    </row>
    <row r="38" spans="1:10" ht="15.75" x14ac:dyDescent="0.25">
      <c r="A38" s="15" t="s">
        <v>53</v>
      </c>
      <c r="B38" s="129" t="s">
        <v>51</v>
      </c>
      <c r="C38" s="129">
        <v>51555209</v>
      </c>
      <c r="D38" s="130" t="s">
        <v>52</v>
      </c>
      <c r="E38" s="129">
        <v>7000</v>
      </c>
      <c r="F38" s="21">
        <v>8.0340000000000007</v>
      </c>
      <c r="G38" s="21">
        <v>8.0679999999999996</v>
      </c>
      <c r="H38" s="18">
        <f>(G38-F38)*E38</f>
        <v>237.99999999999244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29" t="s">
        <v>51</v>
      </c>
      <c r="C40" s="129">
        <v>51097674</v>
      </c>
      <c r="D40" s="129" t="s">
        <v>14</v>
      </c>
      <c r="E40" s="129">
        <v>7200</v>
      </c>
      <c r="F40" s="21">
        <v>455.36599999999999</v>
      </c>
      <c r="G40" s="21">
        <v>457.81200000000001</v>
      </c>
      <c r="H40" s="18">
        <f>(G40-F40)*E40</f>
        <v>17611.20000000019</v>
      </c>
      <c r="I40" s="47"/>
      <c r="J40" s="20"/>
    </row>
    <row r="41" spans="1:10" ht="15.75" x14ac:dyDescent="0.25">
      <c r="A41" s="27" t="s">
        <v>56</v>
      </c>
      <c r="B41" s="129" t="s">
        <v>51</v>
      </c>
      <c r="C41" s="129">
        <v>51259257</v>
      </c>
      <c r="D41" s="129" t="s">
        <v>14</v>
      </c>
      <c r="E41" s="129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29"/>
      <c r="C42" s="129"/>
      <c r="D42" s="129"/>
      <c r="E42" s="129"/>
      <c r="F42" s="21"/>
      <c r="G42" s="21"/>
      <c r="H42" s="48">
        <f>H40+H41</f>
        <v>17611.20000000019</v>
      </c>
      <c r="I42" s="24">
        <f>H42-H50</f>
        <v>-117.19999999973516</v>
      </c>
      <c r="J42" s="25">
        <f>I42/H42</f>
        <v>-6.6548560007116996E-3</v>
      </c>
    </row>
    <row r="43" spans="1:10" ht="15.75" x14ac:dyDescent="0.25">
      <c r="A43" s="15" t="s">
        <v>58</v>
      </c>
      <c r="B43" s="129"/>
      <c r="C43" s="129"/>
      <c r="D43" s="130"/>
      <c r="E43" s="129"/>
      <c r="H43" s="18"/>
      <c r="I43" s="43"/>
      <c r="J43" s="20"/>
    </row>
    <row r="44" spans="1:10" ht="15.75" x14ac:dyDescent="0.25">
      <c r="A44" s="27" t="s">
        <v>59</v>
      </c>
      <c r="B44" s="129" t="s">
        <v>51</v>
      </c>
      <c r="C44" s="32">
        <v>51097648</v>
      </c>
      <c r="D44" s="129" t="s">
        <v>52</v>
      </c>
      <c r="E44" s="129">
        <v>1200</v>
      </c>
      <c r="F44" s="21">
        <v>371.78</v>
      </c>
      <c r="G44" s="21">
        <v>373.827</v>
      </c>
      <c r="H44" s="33">
        <f>(G44-F44)*E44</f>
        <v>2456.4000000000306</v>
      </c>
      <c r="I44" s="43"/>
      <c r="J44" s="20"/>
    </row>
    <row r="45" spans="1:10" ht="15.75" x14ac:dyDescent="0.25">
      <c r="A45" s="27" t="s">
        <v>60</v>
      </c>
      <c r="B45" s="129" t="s">
        <v>51</v>
      </c>
      <c r="C45" s="32">
        <v>50555043</v>
      </c>
      <c r="D45" s="129" t="s">
        <v>52</v>
      </c>
      <c r="E45" s="129">
        <v>1200</v>
      </c>
      <c r="F45" s="21">
        <v>1566.7280000000001</v>
      </c>
      <c r="G45" s="21">
        <v>1574.55</v>
      </c>
      <c r="H45" s="33">
        <f>(G45-F45)*E45</f>
        <v>9386.3999999998668</v>
      </c>
      <c r="I45" s="43"/>
      <c r="J45" s="20"/>
    </row>
    <row r="46" spans="1:10" ht="15.75" x14ac:dyDescent="0.25">
      <c r="A46" s="27" t="s">
        <v>61</v>
      </c>
      <c r="B46" s="129" t="s">
        <v>51</v>
      </c>
      <c r="C46" s="32">
        <v>51259336</v>
      </c>
      <c r="D46" s="129" t="s">
        <v>62</v>
      </c>
      <c r="E46" s="129">
        <v>2400</v>
      </c>
      <c r="F46" s="21">
        <v>3.3580000000000001</v>
      </c>
      <c r="G46" s="21">
        <v>3.371</v>
      </c>
      <c r="H46" s="33">
        <f>(G46-F46)*E46</f>
        <v>31.199999999999761</v>
      </c>
      <c r="I46" s="43"/>
      <c r="J46" s="20"/>
    </row>
    <row r="47" spans="1:10" ht="15.75" x14ac:dyDescent="0.25">
      <c r="A47" s="27" t="s">
        <v>63</v>
      </c>
      <c r="B47" s="129" t="s">
        <v>51</v>
      </c>
      <c r="C47" s="32">
        <v>51259266</v>
      </c>
      <c r="D47" s="129" t="s">
        <v>52</v>
      </c>
      <c r="E47" s="129">
        <v>1200</v>
      </c>
      <c r="F47" s="21">
        <v>755.197</v>
      </c>
      <c r="G47" s="21">
        <v>759.64300000000003</v>
      </c>
      <c r="H47" s="33">
        <f>(G47-F47)*E47</f>
        <v>5335.2000000000317</v>
      </c>
      <c r="I47" s="43"/>
      <c r="J47" s="20"/>
    </row>
    <row r="48" spans="1:10" ht="15.75" x14ac:dyDescent="0.25">
      <c r="A48" s="27" t="s">
        <v>64</v>
      </c>
      <c r="B48" s="129" t="s">
        <v>51</v>
      </c>
      <c r="C48" s="32">
        <v>51431336</v>
      </c>
      <c r="D48" s="129" t="s">
        <v>52</v>
      </c>
      <c r="E48" s="129">
        <v>1200</v>
      </c>
      <c r="F48" s="21">
        <v>38.884</v>
      </c>
      <c r="G48" s="21">
        <v>39.274999999999999</v>
      </c>
      <c r="H48" s="33">
        <f>(G48-F48)*E48</f>
        <v>469.19999999999789</v>
      </c>
      <c r="I48" s="43"/>
      <c r="J48" s="20"/>
    </row>
    <row r="49" spans="1:10" ht="15.75" x14ac:dyDescent="0.25">
      <c r="A49" s="15" t="s">
        <v>65</v>
      </c>
      <c r="B49" s="129" t="s">
        <v>66</v>
      </c>
      <c r="C49" s="129">
        <v>49174</v>
      </c>
      <c r="D49" s="130" t="s">
        <v>52</v>
      </c>
      <c r="E49" s="129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17728.399999999925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29" t="s">
        <v>51</v>
      </c>
      <c r="C52" s="129">
        <v>51097603</v>
      </c>
      <c r="D52" s="130" t="s">
        <v>52</v>
      </c>
      <c r="E52" s="129">
        <v>7000</v>
      </c>
      <c r="F52" s="17">
        <v>1509.4090000000001</v>
      </c>
      <c r="G52" s="17">
        <v>1517.6690000000001</v>
      </c>
      <c r="H52" s="18">
        <f>(G52-F52)*E52</f>
        <v>57819.999999999935</v>
      </c>
      <c r="I52" s="43"/>
      <c r="J52" s="20"/>
    </row>
    <row r="53" spans="1:10" ht="15.75" x14ac:dyDescent="0.25">
      <c r="A53" s="27" t="s">
        <v>71</v>
      </c>
      <c r="B53" s="129" t="s">
        <v>51</v>
      </c>
      <c r="C53" s="129">
        <v>51097590</v>
      </c>
      <c r="D53" s="130" t="s">
        <v>52</v>
      </c>
      <c r="E53" s="129">
        <v>7000</v>
      </c>
      <c r="F53" s="21">
        <v>8.4969999999999999</v>
      </c>
      <c r="G53" s="21">
        <v>8.5670000000000002</v>
      </c>
      <c r="H53" s="18">
        <f>(G53-F53)*E53</f>
        <v>490.00000000000199</v>
      </c>
      <c r="I53" s="43"/>
      <c r="J53" s="20"/>
    </row>
    <row r="54" spans="1:10" ht="15.75" x14ac:dyDescent="0.25">
      <c r="A54" s="15" t="s">
        <v>65</v>
      </c>
      <c r="B54" s="129" t="s">
        <v>66</v>
      </c>
      <c r="C54" s="129">
        <v>49174</v>
      </c>
      <c r="D54" s="130" t="s">
        <v>52</v>
      </c>
      <c r="E54" s="129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29"/>
      <c r="D55" s="130"/>
      <c r="E55" s="129"/>
      <c r="F55" s="21"/>
      <c r="G55" s="21"/>
      <c r="H55" s="48">
        <f>H52+H53+H54</f>
        <v>58409.999999999935</v>
      </c>
      <c r="I55" s="47"/>
      <c r="J55" s="59"/>
    </row>
    <row r="56" spans="1:10" ht="15.75" x14ac:dyDescent="0.25">
      <c r="A56" s="27" t="s">
        <v>73</v>
      </c>
      <c r="B56" s="129" t="s">
        <v>51</v>
      </c>
      <c r="C56" s="129">
        <v>51100980</v>
      </c>
      <c r="D56" s="129" t="s">
        <v>74</v>
      </c>
      <c r="E56" s="129">
        <v>12000</v>
      </c>
      <c r="F56" s="21">
        <v>887.59299999999996</v>
      </c>
      <c r="G56" s="21">
        <v>892.46</v>
      </c>
      <c r="H56" s="18">
        <f>(G56-F56)*E56</f>
        <v>58404.000000000902</v>
      </c>
      <c r="I56" s="47"/>
      <c r="J56" s="58"/>
    </row>
    <row r="57" spans="1:10" ht="15.75" x14ac:dyDescent="0.25">
      <c r="A57" s="27" t="s">
        <v>75</v>
      </c>
      <c r="B57" s="129" t="s">
        <v>51</v>
      </c>
      <c r="C57" s="129">
        <v>51097623</v>
      </c>
      <c r="D57" s="129" t="s">
        <v>74</v>
      </c>
      <c r="E57" s="129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29"/>
      <c r="C58" s="129"/>
      <c r="D58" s="129"/>
      <c r="E58" s="129"/>
      <c r="F58" s="21"/>
      <c r="G58" s="21"/>
      <c r="H58" s="48">
        <f>H56+H57</f>
        <v>58404.000000000902</v>
      </c>
      <c r="I58" s="61">
        <f>H55-H65-H54</f>
        <v>-219.9999999993961</v>
      </c>
      <c r="J58" s="25">
        <f>I58/H58</f>
        <v>-3.7668652831893824E-3</v>
      </c>
    </row>
    <row r="59" spans="1:10" ht="15.75" x14ac:dyDescent="0.25">
      <c r="A59" s="27" t="s">
        <v>77</v>
      </c>
      <c r="B59" s="129" t="s">
        <v>51</v>
      </c>
      <c r="C59" s="129">
        <v>51097675</v>
      </c>
      <c r="D59" s="129" t="s">
        <v>34</v>
      </c>
      <c r="E59" s="129">
        <v>4800</v>
      </c>
      <c r="F59" s="21">
        <v>331.19200000000001</v>
      </c>
      <c r="G59" s="21">
        <v>334.12700000000001</v>
      </c>
      <c r="H59" s="18">
        <f t="shared" ref="H59:H64" si="2">(G59-F59)*E59</f>
        <v>14088.000000000011</v>
      </c>
      <c r="I59" s="62"/>
      <c r="J59" s="59"/>
    </row>
    <row r="60" spans="1:10" ht="15.75" x14ac:dyDescent="0.25">
      <c r="A60" s="27" t="s">
        <v>78</v>
      </c>
      <c r="B60" s="129" t="s">
        <v>51</v>
      </c>
      <c r="C60" s="129">
        <v>51100997</v>
      </c>
      <c r="D60" s="129" t="s">
        <v>21</v>
      </c>
      <c r="E60" s="129">
        <v>3600</v>
      </c>
      <c r="F60" s="21">
        <v>1149.172</v>
      </c>
      <c r="G60" s="21">
        <v>1154.6959999999999</v>
      </c>
      <c r="H60" s="18">
        <f t="shared" si="2"/>
        <v>19886.399999999594</v>
      </c>
      <c r="I60" s="62"/>
      <c r="J60" s="59"/>
    </row>
    <row r="61" spans="1:10" ht="15.75" x14ac:dyDescent="0.25">
      <c r="A61" s="27" t="s">
        <v>79</v>
      </c>
      <c r="B61" s="129" t="s">
        <v>51</v>
      </c>
      <c r="C61" s="129">
        <v>51555218</v>
      </c>
      <c r="D61" s="129">
        <f>400/5</f>
        <v>80</v>
      </c>
      <c r="E61" s="129">
        <v>4800</v>
      </c>
      <c r="F61" s="21">
        <v>35.703000000000003</v>
      </c>
      <c r="G61" s="21">
        <v>36.213000000000001</v>
      </c>
      <c r="H61" s="18">
        <f t="shared" si="2"/>
        <v>2447.9999999999905</v>
      </c>
      <c r="I61" s="62"/>
      <c r="J61" s="59"/>
    </row>
    <row r="62" spans="1:10" ht="15.75" x14ac:dyDescent="0.25">
      <c r="A62" s="27" t="s">
        <v>80</v>
      </c>
      <c r="B62" s="129" t="s">
        <v>51</v>
      </c>
      <c r="C62" s="129">
        <v>51555151</v>
      </c>
      <c r="D62" s="129">
        <f>400/5</f>
        <v>80</v>
      </c>
      <c r="E62" s="129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29" t="s">
        <v>51</v>
      </c>
      <c r="C63" s="129">
        <v>51097599</v>
      </c>
      <c r="D63" s="129" t="s">
        <v>21</v>
      </c>
      <c r="E63" s="129">
        <v>3600</v>
      </c>
      <c r="F63" s="21">
        <v>816.06100000000004</v>
      </c>
      <c r="G63" s="21">
        <v>819.03399999999999</v>
      </c>
      <c r="H63" s="18">
        <f t="shared" si="2"/>
        <v>10702.799999999843</v>
      </c>
      <c r="I63" s="62"/>
      <c r="J63" s="59"/>
    </row>
    <row r="64" spans="1:10" ht="15.75" x14ac:dyDescent="0.25">
      <c r="A64" s="27" t="s">
        <v>82</v>
      </c>
      <c r="B64" s="129" t="s">
        <v>51</v>
      </c>
      <c r="C64" s="129">
        <v>51097620</v>
      </c>
      <c r="D64" s="129" t="s">
        <v>34</v>
      </c>
      <c r="E64" s="129">
        <v>4800</v>
      </c>
      <c r="F64" s="21">
        <v>366.529</v>
      </c>
      <c r="G64" s="21">
        <v>368.90499999999997</v>
      </c>
      <c r="H64" s="18">
        <f t="shared" si="2"/>
        <v>11404.799999999886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58529.999999999331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29" t="s">
        <v>51</v>
      </c>
      <c r="C67" s="9">
        <v>51259238</v>
      </c>
      <c r="D67" s="74" t="s">
        <v>52</v>
      </c>
      <c r="E67" s="74">
        <v>7000</v>
      </c>
      <c r="F67" s="75">
        <v>401.20699999999999</v>
      </c>
      <c r="G67" s="75">
        <v>403.94</v>
      </c>
      <c r="H67" s="76">
        <f>(G67-F67)*E67</f>
        <v>19131.000000000029</v>
      </c>
      <c r="I67" s="77"/>
      <c r="J67" s="78"/>
    </row>
    <row r="68" spans="1:10" ht="15.75" x14ac:dyDescent="0.25">
      <c r="A68" s="27" t="s">
        <v>85</v>
      </c>
      <c r="B68" s="129" t="s">
        <v>51</v>
      </c>
      <c r="C68" s="129">
        <v>51259324</v>
      </c>
      <c r="D68" s="130" t="s">
        <v>52</v>
      </c>
      <c r="E68" s="130">
        <v>7000</v>
      </c>
      <c r="F68" s="21">
        <v>308.25400000000002</v>
      </c>
      <c r="G68" s="21">
        <v>310.39100000000002</v>
      </c>
      <c r="H68" s="18">
        <f>(G68-F68)*E68</f>
        <v>14959.000000000004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29">
        <v>51491618</v>
      </c>
      <c r="D69" s="130" t="s">
        <v>62</v>
      </c>
      <c r="E69" s="129">
        <v>40</v>
      </c>
      <c r="F69" s="28">
        <v>657.15800000000002</v>
      </c>
      <c r="G69" s="28">
        <v>666.84699999999998</v>
      </c>
      <c r="H69" s="18">
        <f>(G69-F69)*E69</f>
        <v>387.55999999999858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29">
        <v>51491624</v>
      </c>
      <c r="D70" s="130" t="s">
        <v>62</v>
      </c>
      <c r="E70" s="129">
        <v>40</v>
      </c>
      <c r="F70" s="28">
        <v>96.751000000000005</v>
      </c>
      <c r="G70" s="28">
        <v>97.570999999999998</v>
      </c>
      <c r="H70" s="18">
        <f>(G70-F70)*E70</f>
        <v>32.799999999999727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34090.000000000029</v>
      </c>
      <c r="I71" s="85">
        <f>H71-H74-H69-H70</f>
        <v>-1034.3599999999183</v>
      </c>
      <c r="J71" s="25">
        <f>I71/H71</f>
        <v>-3.0342035787618581E-2</v>
      </c>
    </row>
    <row r="72" spans="1:10" ht="15.75" x14ac:dyDescent="0.25">
      <c r="A72" s="27" t="s">
        <v>90</v>
      </c>
      <c r="B72" s="129" t="s">
        <v>51</v>
      </c>
      <c r="C72" s="86">
        <v>51097588</v>
      </c>
      <c r="D72" s="130" t="s">
        <v>74</v>
      </c>
      <c r="E72" s="129">
        <v>12000</v>
      </c>
      <c r="F72" s="21">
        <v>243.78899999999999</v>
      </c>
      <c r="G72" s="21">
        <v>245.38499999999999</v>
      </c>
      <c r="H72" s="18">
        <f>(G72-F72)*E72</f>
        <v>19152.000000000044</v>
      </c>
      <c r="I72" s="51"/>
      <c r="J72" s="58"/>
    </row>
    <row r="73" spans="1:10" ht="15.75" x14ac:dyDescent="0.25">
      <c r="A73" s="27" t="s">
        <v>91</v>
      </c>
      <c r="B73" s="129" t="s">
        <v>51</v>
      </c>
      <c r="C73" s="86">
        <v>51431335</v>
      </c>
      <c r="D73" s="130" t="s">
        <v>74</v>
      </c>
      <c r="E73" s="129">
        <v>12000</v>
      </c>
      <c r="F73" s="21">
        <v>189.636</v>
      </c>
      <c r="G73" s="21">
        <v>190.93199999999999</v>
      </c>
      <c r="H73" s="18">
        <f>(G73-F73)*E73</f>
        <v>15551.999999999907</v>
      </c>
      <c r="I73" s="51"/>
      <c r="J73" s="58"/>
    </row>
    <row r="74" spans="1:10" ht="15.75" x14ac:dyDescent="0.25">
      <c r="A74" s="87" t="s">
        <v>92</v>
      </c>
      <c r="B74" s="129" t="s">
        <v>27</v>
      </c>
      <c r="C74" s="129"/>
      <c r="D74" s="130"/>
      <c r="E74" s="129"/>
      <c r="F74" s="21"/>
      <c r="G74" s="21"/>
      <c r="H74" s="48">
        <f>H72+ H73</f>
        <v>34703.999999999949</v>
      </c>
      <c r="I74" s="85">
        <f>H74-H82</f>
        <v>-99.600000000064028</v>
      </c>
      <c r="J74" s="25">
        <f>I74/H74</f>
        <v>-2.8699861687432045E-3</v>
      </c>
    </row>
    <row r="75" spans="1:10" ht="15.75" x14ac:dyDescent="0.25">
      <c r="A75" s="27" t="s">
        <v>93</v>
      </c>
      <c r="B75" s="129" t="s">
        <v>51</v>
      </c>
      <c r="C75" s="86">
        <v>51097676</v>
      </c>
      <c r="D75" s="88" t="s">
        <v>62</v>
      </c>
      <c r="E75" s="129">
        <v>2400</v>
      </c>
      <c r="F75" s="21">
        <v>481.94299999999998</v>
      </c>
      <c r="G75" s="21">
        <v>485.80900000000003</v>
      </c>
      <c r="H75" s="18">
        <f>(G75-F75)*E75</f>
        <v>9278.4000000001015</v>
      </c>
      <c r="I75" s="51"/>
      <c r="J75" s="58"/>
    </row>
    <row r="76" spans="1:10" ht="15.75" x14ac:dyDescent="0.25">
      <c r="A76" s="27" t="s">
        <v>94</v>
      </c>
      <c r="B76" s="129" t="s">
        <v>51</v>
      </c>
      <c r="C76" s="86">
        <v>51431355</v>
      </c>
      <c r="D76" s="130" t="s">
        <v>21</v>
      </c>
      <c r="E76" s="130">
        <v>3600</v>
      </c>
      <c r="F76" s="21">
        <v>290.358</v>
      </c>
      <c r="G76" s="21">
        <v>291.71899999999999</v>
      </c>
      <c r="H76" s="18">
        <f>(G76-F76)*E76</f>
        <v>4899.599999999964</v>
      </c>
      <c r="I76" s="51"/>
      <c r="J76" s="52"/>
    </row>
    <row r="77" spans="1:10" ht="15.75" x14ac:dyDescent="0.25">
      <c r="A77" s="27" t="s">
        <v>95</v>
      </c>
      <c r="B77" s="129" t="s">
        <v>51</v>
      </c>
      <c r="C77" s="86">
        <v>51259331</v>
      </c>
      <c r="D77" s="88" t="s">
        <v>37</v>
      </c>
      <c r="E77" s="129">
        <v>600</v>
      </c>
      <c r="F77" s="21">
        <v>108.554</v>
      </c>
      <c r="G77" s="21">
        <v>109.378</v>
      </c>
      <c r="H77" s="18">
        <f>(G77-F77)*E77</f>
        <v>494.39999999999884</v>
      </c>
      <c r="I77" s="51"/>
      <c r="J77" s="52"/>
    </row>
    <row r="78" spans="1:10" ht="15.75" x14ac:dyDescent="0.25">
      <c r="A78" s="27" t="s">
        <v>96</v>
      </c>
      <c r="B78" s="129" t="s">
        <v>51</v>
      </c>
      <c r="C78" s="86">
        <v>51259326</v>
      </c>
      <c r="D78" s="88" t="s">
        <v>14</v>
      </c>
      <c r="E78" s="129">
        <v>7200</v>
      </c>
      <c r="F78" s="21">
        <v>249.87799999999999</v>
      </c>
      <c r="G78" s="21">
        <v>251.261</v>
      </c>
      <c r="H78" s="18">
        <f>(G78-F78)*E78</f>
        <v>9957.6000000000713</v>
      </c>
      <c r="I78" s="51"/>
      <c r="J78" s="52"/>
    </row>
    <row r="79" spans="1:10" ht="15.75" x14ac:dyDescent="0.25">
      <c r="A79" s="27" t="s">
        <v>97</v>
      </c>
      <c r="B79" s="129" t="s">
        <v>51</v>
      </c>
      <c r="C79" s="86">
        <v>51431351</v>
      </c>
      <c r="D79" s="88" t="s">
        <v>14</v>
      </c>
      <c r="E79" s="129">
        <v>7200</v>
      </c>
      <c r="F79" s="21">
        <v>158.88800000000001</v>
      </c>
      <c r="G79" s="21">
        <v>160.30099999999999</v>
      </c>
      <c r="H79" s="18">
        <f>(G79-F79)*E79</f>
        <v>10173.599999999875</v>
      </c>
      <c r="I79" s="51"/>
      <c r="J79" s="52"/>
    </row>
    <row r="80" spans="1:10" ht="15.75" x14ac:dyDescent="0.25">
      <c r="A80" s="89" t="s">
        <v>98</v>
      </c>
      <c r="B80" s="129" t="s">
        <v>51</v>
      </c>
      <c r="C80" s="90">
        <v>51097666</v>
      </c>
      <c r="D80" s="88" t="s">
        <v>62</v>
      </c>
      <c r="E80" s="129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29" t="s">
        <v>51</v>
      </c>
      <c r="C81" s="90">
        <v>51259323</v>
      </c>
      <c r="D81" s="88" t="s">
        <v>62</v>
      </c>
      <c r="E81" s="129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34803.600000000013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29" t="s">
        <v>51</v>
      </c>
      <c r="C84" s="106">
        <v>51431297</v>
      </c>
      <c r="D84" s="130" t="s">
        <v>52</v>
      </c>
      <c r="E84" s="100">
        <v>7000</v>
      </c>
      <c r="F84" s="17">
        <v>192.87200000000001</v>
      </c>
      <c r="G84" s="17">
        <v>193.709</v>
      </c>
      <c r="H84" s="18">
        <f>(G84-F84)*E84</f>
        <v>5858.9999999999236</v>
      </c>
      <c r="I84" s="107"/>
      <c r="J84" s="108"/>
    </row>
    <row r="85" spans="1:10" ht="15.75" x14ac:dyDescent="0.25">
      <c r="A85" s="105" t="s">
        <v>85</v>
      </c>
      <c r="B85" s="129" t="s">
        <v>51</v>
      </c>
      <c r="C85" s="106">
        <v>51431332</v>
      </c>
      <c r="D85" s="130" t="s">
        <v>52</v>
      </c>
      <c r="E85" s="100">
        <v>7000</v>
      </c>
      <c r="F85" s="21">
        <v>295.83</v>
      </c>
      <c r="G85" s="21">
        <v>297.56</v>
      </c>
      <c r="H85" s="18">
        <f>(G85-F85)*E85</f>
        <v>12110.000000000127</v>
      </c>
      <c r="I85" s="129"/>
      <c r="J85" s="58"/>
    </row>
    <row r="86" spans="1:10" ht="15.75" x14ac:dyDescent="0.25">
      <c r="A86" s="27" t="s">
        <v>86</v>
      </c>
      <c r="B86" s="129" t="s">
        <v>102</v>
      </c>
      <c r="C86" s="109">
        <v>150773</v>
      </c>
      <c r="D86" s="130" t="s">
        <v>52</v>
      </c>
      <c r="E86" s="109">
        <v>20</v>
      </c>
      <c r="F86" s="17">
        <v>15198.3</v>
      </c>
      <c r="G86" s="17">
        <v>15206.7</v>
      </c>
      <c r="H86" s="18">
        <f>(G86-F86)*E86</f>
        <v>168.0000000000291</v>
      </c>
      <c r="I86" s="51"/>
      <c r="J86" s="58"/>
    </row>
    <row r="87" spans="1:10" ht="15.75" x14ac:dyDescent="0.25">
      <c r="A87" s="27" t="s">
        <v>88</v>
      </c>
      <c r="B87" s="129" t="s">
        <v>102</v>
      </c>
      <c r="C87" s="109">
        <v>150791</v>
      </c>
      <c r="D87" s="130" t="s">
        <v>52</v>
      </c>
      <c r="E87" s="109">
        <v>20</v>
      </c>
      <c r="F87" s="21">
        <v>231.4</v>
      </c>
      <c r="G87" s="21">
        <v>231.4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31"/>
      <c r="C88" s="32"/>
      <c r="D88" s="82"/>
      <c r="E88" s="82"/>
      <c r="F88" s="21"/>
      <c r="G88" s="21"/>
      <c r="H88" s="48">
        <f>H84+H85</f>
        <v>17969.000000000051</v>
      </c>
      <c r="I88" s="85">
        <f>H88-H91-H86-H87</f>
        <v>425.00000000027285</v>
      </c>
      <c r="J88" s="25">
        <f>I88/H88</f>
        <v>2.3651844843912941E-2</v>
      </c>
    </row>
    <row r="89" spans="1:10" ht="15.75" x14ac:dyDescent="0.25">
      <c r="A89" s="27" t="s">
        <v>103</v>
      </c>
      <c r="B89" s="129" t="s">
        <v>51</v>
      </c>
      <c r="C89" s="106">
        <v>51431342</v>
      </c>
      <c r="D89" s="88" t="s">
        <v>34</v>
      </c>
      <c r="E89" s="129">
        <v>4800</v>
      </c>
      <c r="F89" s="21">
        <v>272.45999999999998</v>
      </c>
      <c r="G89" s="21">
        <v>273.64299999999997</v>
      </c>
      <c r="H89" s="18">
        <f>(G89-F89)*E89</f>
        <v>5678.3999999999651</v>
      </c>
      <c r="I89" s="51"/>
      <c r="J89" s="52"/>
    </row>
    <row r="90" spans="1:10" ht="15.75" x14ac:dyDescent="0.25">
      <c r="A90" s="27" t="s">
        <v>104</v>
      </c>
      <c r="B90" s="129" t="s">
        <v>51</v>
      </c>
      <c r="C90" s="106">
        <v>51431343</v>
      </c>
      <c r="D90" s="88" t="s">
        <v>34</v>
      </c>
      <c r="E90" s="129">
        <v>4800</v>
      </c>
      <c r="F90" s="21">
        <v>419.97</v>
      </c>
      <c r="G90" s="21">
        <v>422.40699999999998</v>
      </c>
      <c r="H90" s="18">
        <f>(G90-F90)*E90</f>
        <v>11697.599999999784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17375.999999999749</v>
      </c>
      <c r="I91" s="85">
        <f>H91-H99</f>
        <v>-142.20000000026994</v>
      </c>
      <c r="J91" s="25">
        <f>I91/H91</f>
        <v>-8.1837016574742173E-3</v>
      </c>
    </row>
    <row r="92" spans="1:10" ht="15.75" x14ac:dyDescent="0.25">
      <c r="A92" s="27" t="s">
        <v>106</v>
      </c>
      <c r="B92" s="129" t="s">
        <v>51</v>
      </c>
      <c r="C92" s="106">
        <v>51431347</v>
      </c>
      <c r="D92" s="130" t="s">
        <v>52</v>
      </c>
      <c r="E92" s="129">
        <v>1200</v>
      </c>
      <c r="F92" s="21">
        <v>915.97400000000005</v>
      </c>
      <c r="G92" s="21">
        <v>924.36900000000003</v>
      </c>
      <c r="H92" s="18">
        <f t="shared" ref="H92:H100" si="4">(G92-F92)*E92</f>
        <v>10073.999999999978</v>
      </c>
      <c r="I92" s="51"/>
      <c r="J92" s="52"/>
    </row>
    <row r="93" spans="1:10" ht="15.75" x14ac:dyDescent="0.25">
      <c r="A93" s="27" t="s">
        <v>107</v>
      </c>
      <c r="B93" s="129" t="s">
        <v>51</v>
      </c>
      <c r="C93" s="106">
        <v>51431339</v>
      </c>
      <c r="D93" s="130" t="s">
        <v>52</v>
      </c>
      <c r="E93" s="129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29" t="s">
        <v>51</v>
      </c>
      <c r="C94" s="106">
        <v>51217244</v>
      </c>
      <c r="D94" s="129" t="s">
        <v>37</v>
      </c>
      <c r="E94" s="129">
        <v>600</v>
      </c>
      <c r="F94" s="30">
        <v>232.50200000000001</v>
      </c>
      <c r="G94" s="30">
        <v>235.1</v>
      </c>
      <c r="H94" s="18">
        <f t="shared" si="4"/>
        <v>1558.7999999999909</v>
      </c>
      <c r="I94" s="51"/>
      <c r="J94" s="52"/>
    </row>
    <row r="95" spans="1:10" ht="15.75" x14ac:dyDescent="0.25">
      <c r="A95" s="27" t="s">
        <v>109</v>
      </c>
      <c r="B95" s="129" t="s">
        <v>51</v>
      </c>
      <c r="C95" s="106">
        <v>51217267</v>
      </c>
      <c r="D95" s="88" t="s">
        <v>62</v>
      </c>
      <c r="E95" s="129">
        <v>2400</v>
      </c>
      <c r="F95" s="30">
        <v>18.495999999999999</v>
      </c>
      <c r="G95" s="30">
        <v>18.527000000000001</v>
      </c>
      <c r="H95" s="18">
        <f t="shared" si="4"/>
        <v>74.400000000005662</v>
      </c>
      <c r="I95" s="51"/>
      <c r="J95" s="52"/>
    </row>
    <row r="96" spans="1:10" ht="15.75" x14ac:dyDescent="0.25">
      <c r="A96" s="27" t="s">
        <v>110</v>
      </c>
      <c r="B96" s="129" t="s">
        <v>51</v>
      </c>
      <c r="C96" s="129">
        <v>51555165</v>
      </c>
      <c r="D96" s="130" t="s">
        <v>52</v>
      </c>
      <c r="E96" s="129">
        <v>1200</v>
      </c>
      <c r="F96" s="30">
        <v>649.726</v>
      </c>
      <c r="G96" s="30">
        <v>649.726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129" t="s">
        <v>51</v>
      </c>
      <c r="C97" s="106">
        <v>51431346</v>
      </c>
      <c r="D97" s="114" t="s">
        <v>37</v>
      </c>
      <c r="E97" s="114">
        <v>600</v>
      </c>
      <c r="F97" s="30">
        <v>277.69499999999999</v>
      </c>
      <c r="G97" s="30">
        <v>278.10000000000002</v>
      </c>
      <c r="H97" s="115">
        <f t="shared" si="4"/>
        <v>243.00000000001774</v>
      </c>
      <c r="I97" s="116"/>
      <c r="J97" s="117"/>
    </row>
    <row r="98" spans="1:10" ht="15.75" x14ac:dyDescent="0.25">
      <c r="A98" s="27" t="s">
        <v>112</v>
      </c>
      <c r="B98" s="129" t="s">
        <v>51</v>
      </c>
      <c r="C98" s="106">
        <v>51431352</v>
      </c>
      <c r="D98" s="88" t="s">
        <v>21</v>
      </c>
      <c r="E98" s="129">
        <v>3600</v>
      </c>
      <c r="F98" s="21">
        <v>141.167</v>
      </c>
      <c r="G98" s="21">
        <v>142.667</v>
      </c>
      <c r="H98" s="18">
        <f t="shared" si="4"/>
        <v>5400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17518.200000000019</v>
      </c>
      <c r="I99" s="51"/>
      <c r="J99" s="52"/>
    </row>
    <row r="100" spans="1:10" ht="15.75" x14ac:dyDescent="0.25">
      <c r="A100" s="45" t="s">
        <v>113</v>
      </c>
      <c r="B100" s="129" t="s">
        <v>51</v>
      </c>
      <c r="C100" s="120">
        <v>51431357</v>
      </c>
      <c r="D100" s="130" t="s">
        <v>62</v>
      </c>
      <c r="E100" s="130">
        <v>14000</v>
      </c>
      <c r="F100" s="28">
        <v>637.27700000000004</v>
      </c>
      <c r="G100" s="28">
        <v>645.08600000000001</v>
      </c>
      <c r="H100" s="121">
        <f t="shared" si="4"/>
        <v>109325.99999999956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D1" zoomScale="85" zoomScaleNormal="85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123</v>
      </c>
      <c r="G3" s="4" t="s">
        <v>124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32" t="s">
        <v>13</v>
      </c>
      <c r="C5" s="132">
        <v>51555166</v>
      </c>
      <c r="D5" s="132" t="s">
        <v>14</v>
      </c>
      <c r="E5" s="132">
        <v>132000</v>
      </c>
      <c r="F5" s="17">
        <v>2.2320000000000002</v>
      </c>
      <c r="G5" s="17">
        <v>2.2429999999999999</v>
      </c>
      <c r="H5" s="18">
        <f>(G5-F5)*E5</f>
        <v>1451.9999999999573</v>
      </c>
      <c r="I5" s="19"/>
      <c r="J5" s="20"/>
    </row>
    <row r="6" spans="1:10" ht="15.75" x14ac:dyDescent="0.25">
      <c r="A6" s="15" t="s">
        <v>15</v>
      </c>
      <c r="B6" s="132" t="s">
        <v>13</v>
      </c>
      <c r="C6" s="132">
        <v>51555191</v>
      </c>
      <c r="D6" s="132" t="s">
        <v>14</v>
      </c>
      <c r="E6" s="132">
        <v>132000</v>
      </c>
      <c r="F6" s="21">
        <v>259.84500000000003</v>
      </c>
      <c r="G6" s="21">
        <v>261.79700000000003</v>
      </c>
      <c r="H6" s="18">
        <f>(G6-F6)*E6</f>
        <v>257663.99999999977</v>
      </c>
      <c r="I6" s="19"/>
      <c r="J6" s="20"/>
    </row>
    <row r="7" spans="1:10" ht="15.75" x14ac:dyDescent="0.25">
      <c r="A7" s="219" t="s">
        <v>16</v>
      </c>
      <c r="B7" s="220"/>
      <c r="C7" s="132"/>
      <c r="D7" s="133"/>
      <c r="E7" s="132"/>
      <c r="H7" s="23">
        <f>H5+H6</f>
        <v>259115.99999999974</v>
      </c>
      <c r="I7" s="24">
        <f>H7-H10-H20</f>
        <v>2213.999999998312</v>
      </c>
      <c r="J7" s="25">
        <f>I7/H7</f>
        <v>8.544435696747071E-3</v>
      </c>
    </row>
    <row r="8" spans="1:10" ht="15.75" x14ac:dyDescent="0.25">
      <c r="A8" s="26" t="s">
        <v>17</v>
      </c>
      <c r="B8" s="132" t="s">
        <v>13</v>
      </c>
      <c r="C8" s="132">
        <v>51097629</v>
      </c>
      <c r="D8" s="133" t="s">
        <v>14</v>
      </c>
      <c r="E8" s="132">
        <v>42000</v>
      </c>
      <c r="F8" s="21">
        <v>850.53099999999995</v>
      </c>
      <c r="G8" s="21">
        <v>855.06700000000001</v>
      </c>
      <c r="H8" s="18">
        <f>(G8-F8)*E8</f>
        <v>190512.00000000244</v>
      </c>
      <c r="I8" s="19"/>
      <c r="J8" s="20"/>
    </row>
    <row r="9" spans="1:10" ht="15.75" x14ac:dyDescent="0.25">
      <c r="A9" s="26" t="s">
        <v>18</v>
      </c>
      <c r="B9" s="132" t="s">
        <v>13</v>
      </c>
      <c r="C9" s="132">
        <v>51616820</v>
      </c>
      <c r="D9" s="133" t="s">
        <v>14</v>
      </c>
      <c r="E9" s="132">
        <v>42000</v>
      </c>
      <c r="F9" s="21">
        <v>3.597</v>
      </c>
      <c r="G9" s="21">
        <v>3.6190000000000002</v>
      </c>
      <c r="H9" s="18">
        <f>(G9-F9)*E9</f>
        <v>924.00000000001012</v>
      </c>
      <c r="I9" s="19"/>
      <c r="J9" s="20"/>
    </row>
    <row r="10" spans="1:10" ht="15.75" x14ac:dyDescent="0.25">
      <c r="A10" s="219" t="s">
        <v>19</v>
      </c>
      <c r="B10" s="220"/>
      <c r="C10" s="132"/>
      <c r="D10" s="133"/>
      <c r="E10" s="132"/>
      <c r="F10" s="21"/>
      <c r="G10" s="21"/>
      <c r="H10" s="23">
        <f>H8+H9</f>
        <v>191436.00000000244</v>
      </c>
      <c r="I10" s="24">
        <f>H10-H17</f>
        <v>42.000000001484295</v>
      </c>
      <c r="J10" s="25">
        <f>I10/H10</f>
        <v>2.1939447126707493E-4</v>
      </c>
    </row>
    <row r="11" spans="1:10" ht="15.75" x14ac:dyDescent="0.25">
      <c r="A11" s="27" t="s">
        <v>20</v>
      </c>
      <c r="B11" s="132" t="s">
        <v>13</v>
      </c>
      <c r="C11" s="132">
        <v>51217286</v>
      </c>
      <c r="D11" s="133" t="s">
        <v>21</v>
      </c>
      <c r="E11" s="132">
        <v>21000</v>
      </c>
      <c r="F11" s="21">
        <v>676.94299999999998</v>
      </c>
      <c r="G11" s="21">
        <v>680.68499999999995</v>
      </c>
      <c r="H11" s="18">
        <f t="shared" ref="H11:H16" si="0">(G11-F11)*E11</f>
        <v>78581.9999999992</v>
      </c>
      <c r="I11" s="19"/>
      <c r="J11" s="20"/>
    </row>
    <row r="12" spans="1:10" ht="15.75" x14ac:dyDescent="0.25">
      <c r="A12" s="27" t="s">
        <v>22</v>
      </c>
      <c r="B12" s="132" t="s">
        <v>13</v>
      </c>
      <c r="C12" s="132">
        <v>51217292</v>
      </c>
      <c r="D12" s="133" t="s">
        <v>21</v>
      </c>
      <c r="E12" s="132">
        <v>21000</v>
      </c>
      <c r="F12" s="28">
        <v>2.5310000000000001</v>
      </c>
      <c r="G12" s="28">
        <v>2.552</v>
      </c>
      <c r="H12" s="18">
        <f>(G12-F12)*E12</f>
        <v>440.99999999999807</v>
      </c>
      <c r="I12" s="19"/>
      <c r="J12" s="20"/>
    </row>
    <row r="13" spans="1:10" ht="15.75" x14ac:dyDescent="0.25">
      <c r="A13" s="27" t="s">
        <v>23</v>
      </c>
      <c r="B13" s="132" t="s">
        <v>13</v>
      </c>
      <c r="C13" s="132">
        <v>51217271</v>
      </c>
      <c r="D13" s="133" t="s">
        <v>21</v>
      </c>
      <c r="E13" s="132">
        <v>21000</v>
      </c>
      <c r="F13" s="21">
        <v>486.83</v>
      </c>
      <c r="G13" s="21">
        <v>489.30900000000003</v>
      </c>
      <c r="H13" s="18">
        <f t="shared" si="0"/>
        <v>52059.00000000088</v>
      </c>
      <c r="I13" s="19"/>
      <c r="J13" s="20"/>
    </row>
    <row r="14" spans="1:10" ht="15.75" x14ac:dyDescent="0.25">
      <c r="A14" s="27" t="s">
        <v>24</v>
      </c>
      <c r="B14" s="132" t="s">
        <v>13</v>
      </c>
      <c r="C14" s="132">
        <v>51217276</v>
      </c>
      <c r="D14" s="133" t="s">
        <v>21</v>
      </c>
      <c r="E14" s="132">
        <v>21000</v>
      </c>
      <c r="F14" s="28">
        <v>0.318</v>
      </c>
      <c r="G14" s="28">
        <v>0.32300000000000001</v>
      </c>
      <c r="H14" s="18">
        <f>(G14-F14)*E14</f>
        <v>105.0000000000001</v>
      </c>
      <c r="I14" s="19"/>
      <c r="J14" s="20"/>
    </row>
    <row r="15" spans="1:10" ht="15.75" x14ac:dyDescent="0.25">
      <c r="A15" s="27" t="s">
        <v>25</v>
      </c>
      <c r="B15" s="132" t="s">
        <v>13</v>
      </c>
      <c r="C15" s="132">
        <v>51100990</v>
      </c>
      <c r="D15" s="133" t="s">
        <v>21</v>
      </c>
      <c r="E15" s="132">
        <v>21000</v>
      </c>
      <c r="F15" s="29">
        <v>541.79899999999998</v>
      </c>
      <c r="G15" s="29">
        <v>544.65300000000002</v>
      </c>
      <c r="H15" s="18">
        <f t="shared" si="0"/>
        <v>59934.00000000088</v>
      </c>
      <c r="I15" s="19"/>
      <c r="J15" s="20"/>
    </row>
    <row r="16" spans="1:10" ht="15.75" x14ac:dyDescent="0.25">
      <c r="A16" s="27" t="s">
        <v>26</v>
      </c>
      <c r="B16" s="132" t="s">
        <v>13</v>
      </c>
      <c r="C16" s="132">
        <v>51097622</v>
      </c>
      <c r="D16" s="133" t="s">
        <v>21</v>
      </c>
      <c r="E16" s="132">
        <v>21000</v>
      </c>
      <c r="F16" s="21">
        <v>2.3660000000000001</v>
      </c>
      <c r="G16" s="21">
        <v>2.379</v>
      </c>
      <c r="H16" s="18">
        <f t="shared" si="0"/>
        <v>272.9999999999979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32"/>
      <c r="D17" s="133"/>
      <c r="E17" s="132"/>
      <c r="F17" s="21"/>
      <c r="G17" s="21"/>
      <c r="H17" s="23">
        <f>H11+H12+H13+H14+H15+H16</f>
        <v>191394.00000000096</v>
      </c>
      <c r="I17" s="19"/>
      <c r="J17" s="20"/>
    </row>
    <row r="18" spans="1:10" ht="15.75" x14ac:dyDescent="0.25">
      <c r="A18" s="26" t="s">
        <v>29</v>
      </c>
      <c r="B18" s="132" t="s">
        <v>13</v>
      </c>
      <c r="C18" s="132">
        <v>51097617</v>
      </c>
      <c r="D18" s="133" t="s">
        <v>30</v>
      </c>
      <c r="E18" s="132">
        <v>18000</v>
      </c>
      <c r="F18" s="30">
        <v>629.51300000000003</v>
      </c>
      <c r="G18" s="30">
        <v>633.15</v>
      </c>
      <c r="H18" s="18">
        <f>(G18-F18)*E18</f>
        <v>65465.999999998981</v>
      </c>
      <c r="I18" s="19"/>
      <c r="J18" s="20"/>
    </row>
    <row r="19" spans="1:10" ht="15.75" x14ac:dyDescent="0.25">
      <c r="A19" s="26" t="s">
        <v>31</v>
      </c>
      <c r="B19" s="132" t="s">
        <v>13</v>
      </c>
      <c r="C19" s="132">
        <v>51097655</v>
      </c>
      <c r="D19" s="133" t="s">
        <v>30</v>
      </c>
      <c r="E19" s="132">
        <v>18000</v>
      </c>
      <c r="F19" s="30">
        <v>6.07</v>
      </c>
      <c r="G19" s="30">
        <v>6.07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32"/>
      <c r="D20" s="133"/>
      <c r="E20" s="132"/>
      <c r="F20" s="30"/>
      <c r="G20" s="30"/>
      <c r="H20" s="23">
        <f>H18+H19</f>
        <v>65465.999999998981</v>
      </c>
      <c r="I20" s="24">
        <f>H20-H35</f>
        <v>3159.5999999990818</v>
      </c>
      <c r="J20" s="25">
        <f>I20/H20</f>
        <v>4.8263220603047857E-2</v>
      </c>
    </row>
    <row r="21" spans="1:10" ht="15.75" x14ac:dyDescent="0.25">
      <c r="A21" s="15" t="s">
        <v>33</v>
      </c>
      <c r="B21" s="132" t="s">
        <v>13</v>
      </c>
      <c r="C21" s="132">
        <v>51217282</v>
      </c>
      <c r="D21" s="133" t="s">
        <v>34</v>
      </c>
      <c r="E21" s="132">
        <v>4800</v>
      </c>
      <c r="F21" s="21">
        <v>378.36799999999999</v>
      </c>
      <c r="G21" s="21">
        <v>378.36799999999999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32" t="s">
        <v>13</v>
      </c>
      <c r="C22" s="132">
        <v>51217274</v>
      </c>
      <c r="D22" s="133" t="s">
        <v>34</v>
      </c>
      <c r="E22" s="132">
        <v>4800</v>
      </c>
      <c r="F22" s="21">
        <v>998.58500000000004</v>
      </c>
      <c r="G22" s="21">
        <v>1004.606</v>
      </c>
      <c r="H22" s="18">
        <f t="shared" si="1"/>
        <v>28900.799999999799</v>
      </c>
      <c r="I22" s="19"/>
      <c r="J22" s="20"/>
    </row>
    <row r="23" spans="1:10" ht="15.75" x14ac:dyDescent="0.25">
      <c r="A23" s="15" t="s">
        <v>36</v>
      </c>
      <c r="B23" s="132" t="s">
        <v>13</v>
      </c>
      <c r="C23" s="132">
        <v>51097664</v>
      </c>
      <c r="D23" s="133" t="s">
        <v>37</v>
      </c>
      <c r="E23" s="132">
        <v>600</v>
      </c>
      <c r="F23" s="21">
        <v>3.702</v>
      </c>
      <c r="G23" s="21">
        <v>3.7290000000000001</v>
      </c>
      <c r="H23" s="18">
        <f t="shared" si="1"/>
        <v>16.200000000000081</v>
      </c>
      <c r="I23" s="19"/>
      <c r="J23" s="20"/>
    </row>
    <row r="24" spans="1:10" ht="15.75" x14ac:dyDescent="0.25">
      <c r="A24" s="15" t="s">
        <v>38</v>
      </c>
      <c r="B24" s="132" t="s">
        <v>13</v>
      </c>
      <c r="C24" s="132">
        <v>51097615</v>
      </c>
      <c r="D24" s="133" t="s">
        <v>37</v>
      </c>
      <c r="E24" s="132">
        <v>600</v>
      </c>
      <c r="F24" s="21">
        <v>22.745000000000001</v>
      </c>
      <c r="G24" s="21">
        <v>23.128</v>
      </c>
      <c r="H24" s="18">
        <f t="shared" si="1"/>
        <v>229.79999999999947</v>
      </c>
      <c r="I24" s="19"/>
      <c r="J24" s="20"/>
    </row>
    <row r="25" spans="1:10" ht="15.75" x14ac:dyDescent="0.25">
      <c r="A25" s="15" t="s">
        <v>39</v>
      </c>
      <c r="B25" s="132" t="s">
        <v>13</v>
      </c>
      <c r="C25" s="132">
        <v>51217264</v>
      </c>
      <c r="D25" s="133" t="s">
        <v>37</v>
      </c>
      <c r="E25" s="132">
        <v>600</v>
      </c>
      <c r="F25" s="21">
        <v>63.113</v>
      </c>
      <c r="G25" s="21">
        <v>63.786000000000001</v>
      </c>
      <c r="H25" s="18">
        <f t="shared" si="1"/>
        <v>403.80000000000109</v>
      </c>
      <c r="I25" s="19"/>
      <c r="J25" s="20"/>
    </row>
    <row r="26" spans="1:10" ht="15.75" x14ac:dyDescent="0.25">
      <c r="A26" s="15" t="s">
        <v>40</v>
      </c>
      <c r="B26" s="132" t="s">
        <v>13</v>
      </c>
      <c r="C26" s="132">
        <v>51217288</v>
      </c>
      <c r="D26" s="133" t="s">
        <v>37</v>
      </c>
      <c r="E26" s="132">
        <v>600</v>
      </c>
      <c r="F26" s="21">
        <v>18.669</v>
      </c>
      <c r="G26" s="21">
        <v>18.699000000000002</v>
      </c>
      <c r="H26" s="18">
        <f t="shared" si="1"/>
        <v>18.000000000000682</v>
      </c>
      <c r="I26" s="19" t="s">
        <v>27</v>
      </c>
      <c r="J26" s="20"/>
    </row>
    <row r="27" spans="1:10" ht="15.75" x14ac:dyDescent="0.25">
      <c r="A27" s="15" t="s">
        <v>41</v>
      </c>
      <c r="B27" s="132" t="s">
        <v>13</v>
      </c>
      <c r="C27" s="132">
        <v>51217279</v>
      </c>
      <c r="D27" s="133" t="s">
        <v>37</v>
      </c>
      <c r="E27" s="132">
        <v>600</v>
      </c>
      <c r="F27" s="21">
        <v>12.138999999999999</v>
      </c>
      <c r="G27" s="21">
        <v>12.193</v>
      </c>
      <c r="H27" s="18">
        <f t="shared" si="1"/>
        <v>32.400000000000162</v>
      </c>
      <c r="I27" s="19" t="s">
        <v>27</v>
      </c>
      <c r="J27" s="20"/>
    </row>
    <row r="28" spans="1:10" ht="15.75" x14ac:dyDescent="0.25">
      <c r="A28" s="15" t="s">
        <v>42</v>
      </c>
      <c r="B28" s="132" t="s">
        <v>13</v>
      </c>
      <c r="C28" s="132">
        <v>51217272</v>
      </c>
      <c r="D28" s="133" t="s">
        <v>37</v>
      </c>
      <c r="E28" s="132">
        <v>600</v>
      </c>
      <c r="F28" s="31">
        <v>11.909000000000001</v>
      </c>
      <c r="G28" s="31">
        <v>11.962</v>
      </c>
      <c r="H28" s="18">
        <f t="shared" si="1"/>
        <v>31.799999999999429</v>
      </c>
      <c r="I28" s="19"/>
      <c r="J28" s="20"/>
    </row>
    <row r="29" spans="1:10" ht="15.75" x14ac:dyDescent="0.25">
      <c r="A29" s="15" t="s">
        <v>43</v>
      </c>
      <c r="B29" s="132" t="s">
        <v>13</v>
      </c>
      <c r="C29" s="132">
        <v>51616744</v>
      </c>
      <c r="D29" s="133">
        <f>300/5</f>
        <v>60</v>
      </c>
      <c r="E29" s="132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32" t="s">
        <v>13</v>
      </c>
      <c r="C30" s="132">
        <v>51555226</v>
      </c>
      <c r="D30" s="133">
        <f>300/5</f>
        <v>60</v>
      </c>
      <c r="E30" s="132">
        <v>3600</v>
      </c>
      <c r="F30" s="31">
        <v>274.54199999999997</v>
      </c>
      <c r="G30" s="31">
        <v>278.678</v>
      </c>
      <c r="H30" s="18">
        <f>(G30-F30)*E30</f>
        <v>14889.600000000086</v>
      </c>
      <c r="I30" s="19"/>
      <c r="J30" s="20"/>
    </row>
    <row r="31" spans="1:10" ht="15.75" x14ac:dyDescent="0.25">
      <c r="A31" s="15" t="s">
        <v>45</v>
      </c>
      <c r="B31" s="132" t="s">
        <v>13</v>
      </c>
      <c r="C31" s="132">
        <v>51097658</v>
      </c>
      <c r="D31" s="133" t="s">
        <v>34</v>
      </c>
      <c r="E31" s="132">
        <v>4800</v>
      </c>
      <c r="F31" s="31">
        <v>461.697</v>
      </c>
      <c r="G31" s="31">
        <v>465.32900000000001</v>
      </c>
      <c r="H31" s="18">
        <f t="shared" si="1"/>
        <v>17433.600000000024</v>
      </c>
      <c r="I31" s="19"/>
      <c r="J31" s="20"/>
    </row>
    <row r="32" spans="1:10" ht="15.75" x14ac:dyDescent="0.25">
      <c r="A32" s="15" t="s">
        <v>46</v>
      </c>
      <c r="B32" s="132" t="s">
        <v>13</v>
      </c>
      <c r="C32" s="132">
        <v>51097635</v>
      </c>
      <c r="D32" s="133" t="s">
        <v>34</v>
      </c>
      <c r="E32" s="132">
        <v>4800</v>
      </c>
      <c r="F32" s="31">
        <v>48.426000000000002</v>
      </c>
      <c r="G32" s="31">
        <v>48.427</v>
      </c>
      <c r="H32" s="18">
        <f t="shared" si="1"/>
        <v>4.7999999999888132</v>
      </c>
      <c r="I32" s="19"/>
      <c r="J32" s="20"/>
    </row>
    <row r="33" spans="1:10" ht="15.75" x14ac:dyDescent="0.25">
      <c r="A33" s="15" t="s">
        <v>47</v>
      </c>
      <c r="B33" s="132" t="s">
        <v>13</v>
      </c>
      <c r="C33" s="32">
        <v>51097633</v>
      </c>
      <c r="D33" s="133" t="s">
        <v>34</v>
      </c>
      <c r="E33" s="132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32" t="s">
        <v>13</v>
      </c>
      <c r="C34" s="32">
        <v>51097662</v>
      </c>
      <c r="D34" s="133" t="s">
        <v>34</v>
      </c>
      <c r="E34" s="132">
        <v>4800</v>
      </c>
      <c r="F34" s="31">
        <v>0.22600000000000001</v>
      </c>
      <c r="G34" s="31">
        <v>0.29799999999999999</v>
      </c>
      <c r="H34" s="33">
        <f t="shared" si="1"/>
        <v>345.59999999999991</v>
      </c>
      <c r="I34" s="34"/>
      <c r="J34" s="35"/>
    </row>
    <row r="35" spans="1:10" ht="15.75" x14ac:dyDescent="0.25">
      <c r="A35" s="219" t="s">
        <v>48</v>
      </c>
      <c r="B35" s="220"/>
      <c r="C35" s="132"/>
      <c r="D35" s="133"/>
      <c r="E35" s="132"/>
      <c r="F35" s="36"/>
      <c r="G35" s="36"/>
      <c r="H35" s="23">
        <f>H21+H22+H23+H24+H25+H26+H27+H28+H29+H30+H31+H32+H33+H34</f>
        <v>62306.3999999999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32" t="s">
        <v>51</v>
      </c>
      <c r="C37" s="132">
        <v>51555209</v>
      </c>
      <c r="D37" s="133" t="s">
        <v>52</v>
      </c>
      <c r="E37" s="132">
        <v>7000</v>
      </c>
      <c r="F37" s="17">
        <v>3.1110000000000002</v>
      </c>
      <c r="G37" s="17">
        <v>3.1579999999999999</v>
      </c>
      <c r="H37" s="41">
        <f>(G37-F37)*E37</f>
        <v>328.99999999999795</v>
      </c>
      <c r="I37" s="42"/>
      <c r="J37" s="14"/>
    </row>
    <row r="38" spans="1:10" ht="15.75" x14ac:dyDescent="0.25">
      <c r="A38" s="15" t="s">
        <v>53</v>
      </c>
      <c r="B38" s="132" t="s">
        <v>51</v>
      </c>
      <c r="C38" s="132">
        <v>51555209</v>
      </c>
      <c r="D38" s="133" t="s">
        <v>52</v>
      </c>
      <c r="E38" s="132">
        <v>7000</v>
      </c>
      <c r="F38" s="21">
        <v>8.0679999999999996</v>
      </c>
      <c r="G38" s="21">
        <v>8.1010000000000009</v>
      </c>
      <c r="H38" s="18">
        <f>(G38-F38)*E38</f>
        <v>231.00000000000875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32" t="s">
        <v>51</v>
      </c>
      <c r="C40" s="132">
        <v>51097674</v>
      </c>
      <c r="D40" s="132" t="s">
        <v>14</v>
      </c>
      <c r="E40" s="132">
        <v>7200</v>
      </c>
      <c r="F40" s="21">
        <v>457.81200000000001</v>
      </c>
      <c r="G40" s="21">
        <v>460.34800000000001</v>
      </c>
      <c r="H40" s="18">
        <f>(G40-F40)*E40</f>
        <v>18259.200000000012</v>
      </c>
      <c r="I40" s="47"/>
      <c r="J40" s="20"/>
    </row>
    <row r="41" spans="1:10" ht="15.75" x14ac:dyDescent="0.25">
      <c r="A41" s="27" t="s">
        <v>56</v>
      </c>
      <c r="B41" s="132" t="s">
        <v>51</v>
      </c>
      <c r="C41" s="132">
        <v>51259257</v>
      </c>
      <c r="D41" s="132" t="s">
        <v>14</v>
      </c>
      <c r="E41" s="132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32"/>
      <c r="C42" s="132"/>
      <c r="D42" s="132"/>
      <c r="E42" s="132"/>
      <c r="F42" s="21"/>
      <c r="G42" s="21"/>
      <c r="H42" s="48">
        <f>H40+H41</f>
        <v>18259.200000000012</v>
      </c>
      <c r="I42" s="24">
        <f>H42-H50</f>
        <v>-117.1999999999025</v>
      </c>
      <c r="J42" s="25">
        <f>I42/H42</f>
        <v>-6.4186820890237486E-3</v>
      </c>
    </row>
    <row r="43" spans="1:10" ht="15.75" x14ac:dyDescent="0.25">
      <c r="A43" s="15" t="s">
        <v>58</v>
      </c>
      <c r="B43" s="132"/>
      <c r="C43" s="132"/>
      <c r="D43" s="133"/>
      <c r="E43" s="132"/>
      <c r="H43" s="18"/>
      <c r="I43" s="43"/>
      <c r="J43" s="20"/>
    </row>
    <row r="44" spans="1:10" ht="15.75" x14ac:dyDescent="0.25">
      <c r="A44" s="27" t="s">
        <v>59</v>
      </c>
      <c r="B44" s="132" t="s">
        <v>51</v>
      </c>
      <c r="C44" s="32">
        <v>51097648</v>
      </c>
      <c r="D44" s="132" t="s">
        <v>52</v>
      </c>
      <c r="E44" s="132">
        <v>1200</v>
      </c>
      <c r="F44" s="21">
        <v>373.827</v>
      </c>
      <c r="G44" s="21">
        <v>375.94299999999998</v>
      </c>
      <c r="H44" s="33">
        <f>(G44-F44)*E44</f>
        <v>2539.1999999999825</v>
      </c>
      <c r="I44" s="43"/>
      <c r="J44" s="20"/>
    </row>
    <row r="45" spans="1:10" ht="15.75" x14ac:dyDescent="0.25">
      <c r="A45" s="27" t="s">
        <v>60</v>
      </c>
      <c r="B45" s="132" t="s">
        <v>51</v>
      </c>
      <c r="C45" s="32">
        <v>50555043</v>
      </c>
      <c r="D45" s="132" t="s">
        <v>52</v>
      </c>
      <c r="E45" s="132">
        <v>1200</v>
      </c>
      <c r="F45" s="21">
        <v>1574.55</v>
      </c>
      <c r="G45" s="21">
        <v>1582.742</v>
      </c>
      <c r="H45" s="33">
        <f>(G45-F45)*E45</f>
        <v>9830.4000000000087</v>
      </c>
      <c r="I45" s="43"/>
      <c r="J45" s="20"/>
    </row>
    <row r="46" spans="1:10" ht="15.75" x14ac:dyDescent="0.25">
      <c r="A46" s="27" t="s">
        <v>61</v>
      </c>
      <c r="B46" s="132" t="s">
        <v>51</v>
      </c>
      <c r="C46" s="32">
        <v>51259336</v>
      </c>
      <c r="D46" s="132" t="s">
        <v>62</v>
      </c>
      <c r="E46" s="132">
        <v>2400</v>
      </c>
      <c r="F46" s="21">
        <v>3.371</v>
      </c>
      <c r="G46" s="21">
        <v>3.3849999999999998</v>
      </c>
      <c r="H46" s="33">
        <f>(G46-F46)*E46</f>
        <v>33.599999999999497</v>
      </c>
      <c r="I46" s="43"/>
      <c r="J46" s="20"/>
    </row>
    <row r="47" spans="1:10" ht="15.75" x14ac:dyDescent="0.25">
      <c r="A47" s="27" t="s">
        <v>63</v>
      </c>
      <c r="B47" s="132" t="s">
        <v>51</v>
      </c>
      <c r="C47" s="32">
        <v>51259266</v>
      </c>
      <c r="D47" s="132" t="s">
        <v>52</v>
      </c>
      <c r="E47" s="132">
        <v>1200</v>
      </c>
      <c r="F47" s="21">
        <v>759.64300000000003</v>
      </c>
      <c r="G47" s="21">
        <v>764.18899999999996</v>
      </c>
      <c r="H47" s="33">
        <f>(G47-F47)*E47</f>
        <v>5455.1999999999225</v>
      </c>
      <c r="I47" s="43"/>
      <c r="J47" s="20"/>
    </row>
    <row r="48" spans="1:10" ht="15.75" x14ac:dyDescent="0.25">
      <c r="A48" s="27" t="s">
        <v>64</v>
      </c>
      <c r="B48" s="132" t="s">
        <v>51</v>
      </c>
      <c r="C48" s="32">
        <v>51431336</v>
      </c>
      <c r="D48" s="132" t="s">
        <v>52</v>
      </c>
      <c r="E48" s="132">
        <v>1200</v>
      </c>
      <c r="F48" s="21">
        <v>39.274999999999999</v>
      </c>
      <c r="G48" s="21">
        <v>39.664999999999999</v>
      </c>
      <c r="H48" s="33">
        <f>(G48-F48)*E48</f>
        <v>468.00000000000068</v>
      </c>
      <c r="I48" s="43"/>
      <c r="J48" s="20"/>
    </row>
    <row r="49" spans="1:10" ht="15.75" x14ac:dyDescent="0.25">
      <c r="A49" s="15" t="s">
        <v>65</v>
      </c>
      <c r="B49" s="132" t="s">
        <v>66</v>
      </c>
      <c r="C49" s="132">
        <v>49174</v>
      </c>
      <c r="D49" s="133" t="s">
        <v>52</v>
      </c>
      <c r="E49" s="132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18376.399999999914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32" t="s">
        <v>51</v>
      </c>
      <c r="C52" s="132">
        <v>51097603</v>
      </c>
      <c r="D52" s="133" t="s">
        <v>52</v>
      </c>
      <c r="E52" s="132">
        <v>7000</v>
      </c>
      <c r="F52" s="17">
        <v>1517.6690000000001</v>
      </c>
      <c r="G52" s="17">
        <v>1526.0650000000001</v>
      </c>
      <c r="H52" s="18">
        <f>(G52-F52)*E52</f>
        <v>58771.999999999709</v>
      </c>
      <c r="I52" s="43"/>
      <c r="J52" s="20"/>
    </row>
    <row r="53" spans="1:10" ht="15.75" x14ac:dyDescent="0.25">
      <c r="A53" s="27" t="s">
        <v>71</v>
      </c>
      <c r="B53" s="132" t="s">
        <v>51</v>
      </c>
      <c r="C53" s="132">
        <v>51097590</v>
      </c>
      <c r="D53" s="133" t="s">
        <v>52</v>
      </c>
      <c r="E53" s="132">
        <v>7000</v>
      </c>
      <c r="F53" s="21">
        <v>8.5670000000000002</v>
      </c>
      <c r="G53" s="21">
        <v>8.6370000000000005</v>
      </c>
      <c r="H53" s="18">
        <f>(G53-F53)*E53</f>
        <v>490.00000000000199</v>
      </c>
      <c r="I53" s="43"/>
      <c r="J53" s="20"/>
    </row>
    <row r="54" spans="1:10" ht="15.75" x14ac:dyDescent="0.25">
      <c r="A54" s="15" t="s">
        <v>65</v>
      </c>
      <c r="B54" s="132" t="s">
        <v>66</v>
      </c>
      <c r="C54" s="132">
        <v>49174</v>
      </c>
      <c r="D54" s="133" t="s">
        <v>52</v>
      </c>
      <c r="E54" s="132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32"/>
      <c r="D55" s="133"/>
      <c r="E55" s="132"/>
      <c r="F55" s="21"/>
      <c r="G55" s="21"/>
      <c r="H55" s="48">
        <f>H52+H53+H54</f>
        <v>59361.999999999709</v>
      </c>
      <c r="I55" s="47"/>
      <c r="J55" s="59"/>
    </row>
    <row r="56" spans="1:10" ht="15.75" x14ac:dyDescent="0.25">
      <c r="A56" s="27" t="s">
        <v>73</v>
      </c>
      <c r="B56" s="132" t="s">
        <v>51</v>
      </c>
      <c r="C56" s="132">
        <v>51100980</v>
      </c>
      <c r="D56" s="132" t="s">
        <v>74</v>
      </c>
      <c r="E56" s="132">
        <v>12000</v>
      </c>
      <c r="F56" s="21">
        <v>892.46</v>
      </c>
      <c r="G56" s="21">
        <v>897.40899999999999</v>
      </c>
      <c r="H56" s="18">
        <f>(G56-F56)*E56</f>
        <v>59387.999999999462</v>
      </c>
      <c r="I56" s="47"/>
      <c r="J56" s="58"/>
    </row>
    <row r="57" spans="1:10" ht="15.75" x14ac:dyDescent="0.25">
      <c r="A57" s="27" t="s">
        <v>75</v>
      </c>
      <c r="B57" s="132" t="s">
        <v>51</v>
      </c>
      <c r="C57" s="132">
        <v>51097623</v>
      </c>
      <c r="D57" s="132" t="s">
        <v>74</v>
      </c>
      <c r="E57" s="132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32"/>
      <c r="C58" s="132"/>
      <c r="D58" s="132"/>
      <c r="E58" s="132"/>
      <c r="F58" s="21"/>
      <c r="G58" s="21"/>
      <c r="H58" s="48">
        <f>H56+H57</f>
        <v>59387.999999999462</v>
      </c>
      <c r="I58" s="61">
        <f>H55-H65-H54</f>
        <v>-241.20000000092841</v>
      </c>
      <c r="J58" s="25">
        <f>I58/H58</f>
        <v>-4.0614265508340172E-3</v>
      </c>
    </row>
    <row r="59" spans="1:10" ht="15.75" x14ac:dyDescent="0.25">
      <c r="A59" s="27" t="s">
        <v>77</v>
      </c>
      <c r="B59" s="132" t="s">
        <v>51</v>
      </c>
      <c r="C59" s="132">
        <v>51097675</v>
      </c>
      <c r="D59" s="132" t="s">
        <v>34</v>
      </c>
      <c r="E59" s="132">
        <v>4800</v>
      </c>
      <c r="F59" s="21">
        <v>334.12700000000001</v>
      </c>
      <c r="G59" s="21">
        <v>337.26400000000001</v>
      </c>
      <c r="H59" s="18">
        <f t="shared" ref="H59:H64" si="2">(G59-F59)*E59</f>
        <v>15057.600000000002</v>
      </c>
      <c r="I59" s="62"/>
      <c r="J59" s="59"/>
    </row>
    <row r="60" spans="1:10" ht="15.75" x14ac:dyDescent="0.25">
      <c r="A60" s="27" t="s">
        <v>78</v>
      </c>
      <c r="B60" s="132" t="s">
        <v>51</v>
      </c>
      <c r="C60" s="132">
        <v>51100997</v>
      </c>
      <c r="D60" s="132" t="s">
        <v>21</v>
      </c>
      <c r="E60" s="132">
        <v>3600</v>
      </c>
      <c r="F60" s="21">
        <v>1154.6959999999999</v>
      </c>
      <c r="G60" s="21">
        <v>1160.143</v>
      </c>
      <c r="H60" s="18">
        <f t="shared" si="2"/>
        <v>19609.200000000419</v>
      </c>
      <c r="I60" s="62"/>
      <c r="J60" s="59"/>
    </row>
    <row r="61" spans="1:10" ht="15.75" x14ac:dyDescent="0.25">
      <c r="A61" s="27" t="s">
        <v>79</v>
      </c>
      <c r="B61" s="132" t="s">
        <v>51</v>
      </c>
      <c r="C61" s="132">
        <v>51555218</v>
      </c>
      <c r="D61" s="132">
        <f>400/5</f>
        <v>80</v>
      </c>
      <c r="E61" s="132">
        <v>4800</v>
      </c>
      <c r="F61" s="21">
        <v>36.213000000000001</v>
      </c>
      <c r="G61" s="21">
        <v>36.734000000000002</v>
      </c>
      <c r="H61" s="18">
        <f t="shared" si="2"/>
        <v>2500.8000000000038</v>
      </c>
      <c r="I61" s="62"/>
      <c r="J61" s="59"/>
    </row>
    <row r="62" spans="1:10" ht="15.75" x14ac:dyDescent="0.25">
      <c r="A62" s="27" t="s">
        <v>80</v>
      </c>
      <c r="B62" s="132" t="s">
        <v>51</v>
      </c>
      <c r="C62" s="132">
        <v>51555151</v>
      </c>
      <c r="D62" s="132">
        <f>400/5</f>
        <v>80</v>
      </c>
      <c r="E62" s="132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32" t="s">
        <v>51</v>
      </c>
      <c r="C63" s="132">
        <v>51097599</v>
      </c>
      <c r="D63" s="132" t="s">
        <v>21</v>
      </c>
      <c r="E63" s="132">
        <v>3600</v>
      </c>
      <c r="F63" s="21">
        <v>819.03399999999999</v>
      </c>
      <c r="G63" s="21">
        <v>822.09699999999998</v>
      </c>
      <c r="H63" s="18">
        <f t="shared" si="2"/>
        <v>11026.799999999957</v>
      </c>
      <c r="I63" s="62"/>
      <c r="J63" s="59"/>
    </row>
    <row r="64" spans="1:10" ht="15.75" x14ac:dyDescent="0.25">
      <c r="A64" s="27" t="s">
        <v>82</v>
      </c>
      <c r="B64" s="132" t="s">
        <v>51</v>
      </c>
      <c r="C64" s="132">
        <v>51097620</v>
      </c>
      <c r="D64" s="132" t="s">
        <v>34</v>
      </c>
      <c r="E64" s="132">
        <v>4800</v>
      </c>
      <c r="F64" s="21">
        <v>368.90499999999997</v>
      </c>
      <c r="G64" s="21">
        <v>371.26100000000002</v>
      </c>
      <c r="H64" s="18">
        <f t="shared" si="2"/>
        <v>11308.800000000247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59503.200000000637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32" t="s">
        <v>51</v>
      </c>
      <c r="C67" s="9">
        <v>51259238</v>
      </c>
      <c r="D67" s="74" t="s">
        <v>52</v>
      </c>
      <c r="E67" s="74">
        <v>7000</v>
      </c>
      <c r="F67" s="75">
        <v>403.94</v>
      </c>
      <c r="G67" s="75">
        <v>406.678</v>
      </c>
      <c r="H67" s="76">
        <f>(G67-F67)*E67</f>
        <v>19165.999999999996</v>
      </c>
      <c r="I67" s="77"/>
      <c r="J67" s="78"/>
    </row>
    <row r="68" spans="1:10" ht="15.75" x14ac:dyDescent="0.25">
      <c r="A68" s="27" t="s">
        <v>85</v>
      </c>
      <c r="B68" s="132" t="s">
        <v>51</v>
      </c>
      <c r="C68" s="132">
        <v>51259324</v>
      </c>
      <c r="D68" s="133" t="s">
        <v>52</v>
      </c>
      <c r="E68" s="133">
        <v>7000</v>
      </c>
      <c r="F68" s="21">
        <v>310.39100000000002</v>
      </c>
      <c r="G68" s="21">
        <v>312.57799999999997</v>
      </c>
      <c r="H68" s="18">
        <f>(G68-F68)*E68</f>
        <v>15308.999999999685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32">
        <v>51491618</v>
      </c>
      <c r="D69" s="133" t="s">
        <v>62</v>
      </c>
      <c r="E69" s="132">
        <v>40</v>
      </c>
      <c r="F69" s="28">
        <v>666.84699999999998</v>
      </c>
      <c r="G69" s="28">
        <v>676.79700000000003</v>
      </c>
      <c r="H69" s="18">
        <f>(G69-F69)*E69</f>
        <v>398.00000000000182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32">
        <v>51491624</v>
      </c>
      <c r="D70" s="133" t="s">
        <v>62</v>
      </c>
      <c r="E70" s="132">
        <v>40</v>
      </c>
      <c r="F70" s="28">
        <v>97.570999999999998</v>
      </c>
      <c r="G70" s="28">
        <v>98.503</v>
      </c>
      <c r="H70" s="18">
        <f>(G70-F70)*E70</f>
        <v>37.280000000000086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34474.99999999968</v>
      </c>
      <c r="I71" s="85">
        <f>H71-H74-H69-H70</f>
        <v>-1012.2800000005694</v>
      </c>
      <c r="J71" s="25">
        <f>I71/H71</f>
        <v>-2.9362726613504826E-2</v>
      </c>
    </row>
    <row r="72" spans="1:10" ht="15.75" x14ac:dyDescent="0.25">
      <c r="A72" s="27" t="s">
        <v>90</v>
      </c>
      <c r="B72" s="132" t="s">
        <v>51</v>
      </c>
      <c r="C72" s="86">
        <v>51097588</v>
      </c>
      <c r="D72" s="133" t="s">
        <v>74</v>
      </c>
      <c r="E72" s="132">
        <v>12000</v>
      </c>
      <c r="F72" s="21">
        <v>245.38499999999999</v>
      </c>
      <c r="G72" s="21">
        <v>246.97900000000001</v>
      </c>
      <c r="H72" s="18">
        <f>(G72-F72)*E72</f>
        <v>19128.000000000269</v>
      </c>
      <c r="I72" s="51"/>
      <c r="J72" s="58"/>
    </row>
    <row r="73" spans="1:10" ht="15.75" x14ac:dyDescent="0.25">
      <c r="A73" s="27" t="s">
        <v>91</v>
      </c>
      <c r="B73" s="132" t="s">
        <v>51</v>
      </c>
      <c r="C73" s="86">
        <v>51431335</v>
      </c>
      <c r="D73" s="133" t="s">
        <v>74</v>
      </c>
      <c r="E73" s="132">
        <v>12000</v>
      </c>
      <c r="F73" s="21">
        <v>190.93199999999999</v>
      </c>
      <c r="G73" s="21">
        <v>192.25899999999999</v>
      </c>
      <c r="H73" s="18">
        <f>(G73-F73)*E73</f>
        <v>15923.999999999978</v>
      </c>
      <c r="I73" s="51"/>
      <c r="J73" s="58"/>
    </row>
    <row r="74" spans="1:10" ht="15.75" x14ac:dyDescent="0.25">
      <c r="A74" s="87" t="s">
        <v>92</v>
      </c>
      <c r="B74" s="132" t="s">
        <v>27</v>
      </c>
      <c r="C74" s="132"/>
      <c r="D74" s="133"/>
      <c r="E74" s="132"/>
      <c r="F74" s="21"/>
      <c r="G74" s="21"/>
      <c r="H74" s="48">
        <f>H72+ H73</f>
        <v>35052.000000000247</v>
      </c>
      <c r="I74" s="85">
        <f>H74-H82</f>
        <v>-77.999999999818101</v>
      </c>
      <c r="J74" s="25">
        <f>I74/H74</f>
        <v>-2.2252653200906525E-3</v>
      </c>
    </row>
    <row r="75" spans="1:10" ht="15.75" x14ac:dyDescent="0.25">
      <c r="A75" s="27" t="s">
        <v>93</v>
      </c>
      <c r="B75" s="132" t="s">
        <v>51</v>
      </c>
      <c r="C75" s="86">
        <v>51097676</v>
      </c>
      <c r="D75" s="88" t="s">
        <v>62</v>
      </c>
      <c r="E75" s="132">
        <v>2400</v>
      </c>
      <c r="F75" s="21">
        <v>485.80900000000003</v>
      </c>
      <c r="G75" s="21">
        <v>489.673</v>
      </c>
      <c r="H75" s="18">
        <f>(G75-F75)*E75</f>
        <v>9273.5999999999422</v>
      </c>
      <c r="I75" s="51"/>
      <c r="J75" s="58"/>
    </row>
    <row r="76" spans="1:10" ht="15.75" x14ac:dyDescent="0.25">
      <c r="A76" s="27" t="s">
        <v>94</v>
      </c>
      <c r="B76" s="132" t="s">
        <v>51</v>
      </c>
      <c r="C76" s="86">
        <v>51431355</v>
      </c>
      <c r="D76" s="133" t="s">
        <v>21</v>
      </c>
      <c r="E76" s="133">
        <v>3600</v>
      </c>
      <c r="F76" s="21">
        <v>291.71899999999999</v>
      </c>
      <c r="G76" s="21">
        <v>293.13400000000001</v>
      </c>
      <c r="H76" s="18">
        <f>(G76-F76)*E76</f>
        <v>5094.0000000000737</v>
      </c>
      <c r="I76" s="51"/>
      <c r="J76" s="52"/>
    </row>
    <row r="77" spans="1:10" ht="15.75" x14ac:dyDescent="0.25">
      <c r="A77" s="27" t="s">
        <v>95</v>
      </c>
      <c r="B77" s="132" t="s">
        <v>51</v>
      </c>
      <c r="C77" s="86">
        <v>51259331</v>
      </c>
      <c r="D77" s="88" t="s">
        <v>37</v>
      </c>
      <c r="E77" s="132">
        <v>600</v>
      </c>
      <c r="F77" s="21">
        <v>109.378</v>
      </c>
      <c r="G77" s="21">
        <v>110.322</v>
      </c>
      <c r="H77" s="18">
        <f>(G77-F77)*E77</f>
        <v>566.40000000000157</v>
      </c>
      <c r="I77" s="51"/>
      <c r="J77" s="52"/>
    </row>
    <row r="78" spans="1:10" ht="15.75" x14ac:dyDescent="0.25">
      <c r="A78" s="27" t="s">
        <v>96</v>
      </c>
      <c r="B78" s="132" t="s">
        <v>51</v>
      </c>
      <c r="C78" s="86">
        <v>51259326</v>
      </c>
      <c r="D78" s="88" t="s">
        <v>14</v>
      </c>
      <c r="E78" s="132">
        <v>7200</v>
      </c>
      <c r="F78" s="21">
        <v>251.261</v>
      </c>
      <c r="G78" s="21">
        <v>252.64099999999999</v>
      </c>
      <c r="H78" s="18">
        <f>(G78-F78)*E78</f>
        <v>9935.9999999999673</v>
      </c>
      <c r="I78" s="51"/>
      <c r="J78" s="52"/>
    </row>
    <row r="79" spans="1:10" ht="15.75" x14ac:dyDescent="0.25">
      <c r="A79" s="27" t="s">
        <v>97</v>
      </c>
      <c r="B79" s="132" t="s">
        <v>51</v>
      </c>
      <c r="C79" s="86">
        <v>51431351</v>
      </c>
      <c r="D79" s="88" t="s">
        <v>14</v>
      </c>
      <c r="E79" s="132">
        <v>7200</v>
      </c>
      <c r="F79" s="21">
        <v>160.30099999999999</v>
      </c>
      <c r="G79" s="21">
        <v>161.726</v>
      </c>
      <c r="H79" s="18">
        <f>(G79-F79)*E79</f>
        <v>10260.000000000082</v>
      </c>
      <c r="I79" s="51"/>
      <c r="J79" s="52"/>
    </row>
    <row r="80" spans="1:10" ht="15.75" x14ac:dyDescent="0.25">
      <c r="A80" s="89" t="s">
        <v>98</v>
      </c>
      <c r="B80" s="132" t="s">
        <v>51</v>
      </c>
      <c r="C80" s="90">
        <v>51097666</v>
      </c>
      <c r="D80" s="88" t="s">
        <v>62</v>
      </c>
      <c r="E80" s="132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32" t="s">
        <v>51</v>
      </c>
      <c r="C81" s="90">
        <v>51259323</v>
      </c>
      <c r="D81" s="88" t="s">
        <v>62</v>
      </c>
      <c r="E81" s="132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35130.000000000065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32" t="s">
        <v>51</v>
      </c>
      <c r="C84" s="106">
        <v>51431297</v>
      </c>
      <c r="D84" s="133" t="s">
        <v>52</v>
      </c>
      <c r="E84" s="100">
        <v>7000</v>
      </c>
      <c r="F84" s="17">
        <v>193.709</v>
      </c>
      <c r="G84" s="17">
        <v>194.51599999999999</v>
      </c>
      <c r="H84" s="18">
        <f>(G84-F84)*E84</f>
        <v>5648.9999999999154</v>
      </c>
      <c r="I84" s="107"/>
      <c r="J84" s="108"/>
    </row>
    <row r="85" spans="1:10" ht="15.75" x14ac:dyDescent="0.25">
      <c r="A85" s="105" t="s">
        <v>85</v>
      </c>
      <c r="B85" s="132" t="s">
        <v>51</v>
      </c>
      <c r="C85" s="106">
        <v>51431332</v>
      </c>
      <c r="D85" s="133" t="s">
        <v>52</v>
      </c>
      <c r="E85" s="100">
        <v>7000</v>
      </c>
      <c r="F85" s="21">
        <v>297.56</v>
      </c>
      <c r="G85" s="21">
        <v>299.29000000000002</v>
      </c>
      <c r="H85" s="18">
        <f>(G85-F85)*E85</f>
        <v>12110.000000000127</v>
      </c>
      <c r="I85" s="132"/>
      <c r="J85" s="58"/>
    </row>
    <row r="86" spans="1:10" ht="15.75" x14ac:dyDescent="0.25">
      <c r="A86" s="27" t="s">
        <v>86</v>
      </c>
      <c r="B86" s="132" t="s">
        <v>102</v>
      </c>
      <c r="C86" s="109">
        <v>150773</v>
      </c>
      <c r="D86" s="133" t="s">
        <v>52</v>
      </c>
      <c r="E86" s="109">
        <v>20</v>
      </c>
      <c r="F86" s="17">
        <v>15206.7</v>
      </c>
      <c r="G86" s="17">
        <v>15214.3</v>
      </c>
      <c r="H86" s="18">
        <f>(G86-F86)*E86</f>
        <v>151.9999999999709</v>
      </c>
      <c r="I86" s="51"/>
      <c r="J86" s="58"/>
    </row>
    <row r="87" spans="1:10" ht="15.75" x14ac:dyDescent="0.25">
      <c r="A87" s="27" t="s">
        <v>88</v>
      </c>
      <c r="B87" s="132" t="s">
        <v>102</v>
      </c>
      <c r="C87" s="109">
        <v>150791</v>
      </c>
      <c r="D87" s="133" t="s">
        <v>52</v>
      </c>
      <c r="E87" s="109">
        <v>20</v>
      </c>
      <c r="F87" s="21">
        <v>231.4</v>
      </c>
      <c r="G87" s="21">
        <v>231.4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34"/>
      <c r="C88" s="32"/>
      <c r="D88" s="82"/>
      <c r="E88" s="82"/>
      <c r="F88" s="21"/>
      <c r="G88" s="21"/>
      <c r="H88" s="48">
        <f>H84+H85</f>
        <v>17759.000000000044</v>
      </c>
      <c r="I88" s="85">
        <f>H88-H91-H86-H87</f>
        <v>442.19999999969514</v>
      </c>
      <c r="J88" s="25">
        <f>I88/H88</f>
        <v>2.4900050678511969E-2</v>
      </c>
    </row>
    <row r="89" spans="1:10" ht="15.75" x14ac:dyDescent="0.25">
      <c r="A89" s="27" t="s">
        <v>103</v>
      </c>
      <c r="B89" s="132" t="s">
        <v>51</v>
      </c>
      <c r="C89" s="106">
        <v>51431342</v>
      </c>
      <c r="D89" s="88" t="s">
        <v>34</v>
      </c>
      <c r="E89" s="132">
        <v>4800</v>
      </c>
      <c r="F89" s="21">
        <v>273.64299999999997</v>
      </c>
      <c r="G89" s="21">
        <v>274.78100000000001</v>
      </c>
      <c r="H89" s="18">
        <f>(G89-F89)*E89</f>
        <v>5462.4000000001615</v>
      </c>
      <c r="I89" s="51"/>
      <c r="J89" s="52"/>
    </row>
    <row r="90" spans="1:10" ht="15.75" x14ac:dyDescent="0.25">
      <c r="A90" s="27" t="s">
        <v>104</v>
      </c>
      <c r="B90" s="132" t="s">
        <v>51</v>
      </c>
      <c r="C90" s="106">
        <v>51431343</v>
      </c>
      <c r="D90" s="88" t="s">
        <v>34</v>
      </c>
      <c r="E90" s="132">
        <v>4800</v>
      </c>
      <c r="F90" s="21">
        <v>422.40699999999998</v>
      </c>
      <c r="G90" s="21">
        <v>424.84500000000003</v>
      </c>
      <c r="H90" s="18">
        <f>(G90-F90)*E90</f>
        <v>11702.400000000216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17164.800000000378</v>
      </c>
      <c r="I91" s="85">
        <f>H91-H99</f>
        <v>-128.59999999956926</v>
      </c>
      <c r="J91" s="25">
        <f>I91/H91</f>
        <v>-7.4920768083267175E-3</v>
      </c>
    </row>
    <row r="92" spans="1:10" ht="15.75" x14ac:dyDescent="0.25">
      <c r="A92" s="27" t="s">
        <v>106</v>
      </c>
      <c r="B92" s="132" t="s">
        <v>51</v>
      </c>
      <c r="C92" s="106">
        <v>51431347</v>
      </c>
      <c r="D92" s="133" t="s">
        <v>52</v>
      </c>
      <c r="E92" s="132">
        <v>1200</v>
      </c>
      <c r="F92" s="21">
        <v>924.36900000000003</v>
      </c>
      <c r="G92" s="21">
        <v>932.76</v>
      </c>
      <c r="H92" s="18">
        <f t="shared" ref="H92:H100" si="4">(G92-F92)*E92</f>
        <v>10069.199999999955</v>
      </c>
      <c r="I92" s="51"/>
      <c r="J92" s="52"/>
    </row>
    <row r="93" spans="1:10" ht="15.75" x14ac:dyDescent="0.25">
      <c r="A93" s="27" t="s">
        <v>107</v>
      </c>
      <c r="B93" s="132" t="s">
        <v>51</v>
      </c>
      <c r="C93" s="106">
        <v>51431339</v>
      </c>
      <c r="D93" s="133" t="s">
        <v>52</v>
      </c>
      <c r="E93" s="132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32" t="s">
        <v>51</v>
      </c>
      <c r="C94" s="106">
        <v>51217244</v>
      </c>
      <c r="D94" s="132" t="s">
        <v>37</v>
      </c>
      <c r="E94" s="132">
        <v>600</v>
      </c>
      <c r="F94" s="30">
        <v>235.1</v>
      </c>
      <c r="G94" s="30">
        <v>237.73099999999999</v>
      </c>
      <c r="H94" s="18">
        <f t="shared" si="4"/>
        <v>1578.6000000000001</v>
      </c>
      <c r="I94" s="51"/>
      <c r="J94" s="52"/>
    </row>
    <row r="95" spans="1:10" ht="15.75" x14ac:dyDescent="0.25">
      <c r="A95" s="27" t="s">
        <v>109</v>
      </c>
      <c r="B95" s="132" t="s">
        <v>51</v>
      </c>
      <c r="C95" s="106">
        <v>51217267</v>
      </c>
      <c r="D95" s="88" t="s">
        <v>62</v>
      </c>
      <c r="E95" s="132">
        <v>2400</v>
      </c>
      <c r="F95" s="30">
        <v>18.527000000000001</v>
      </c>
      <c r="G95" s="30">
        <v>18.558</v>
      </c>
      <c r="H95" s="18">
        <f t="shared" si="4"/>
        <v>74.399999999997135</v>
      </c>
      <c r="I95" s="51"/>
      <c r="J95" s="52"/>
    </row>
    <row r="96" spans="1:10" ht="15.75" x14ac:dyDescent="0.25">
      <c r="A96" s="27" t="s">
        <v>110</v>
      </c>
      <c r="B96" s="132" t="s">
        <v>51</v>
      </c>
      <c r="C96" s="132">
        <v>51555165</v>
      </c>
      <c r="D96" s="133" t="s">
        <v>52</v>
      </c>
      <c r="E96" s="132">
        <v>1200</v>
      </c>
      <c r="F96" s="30">
        <v>649.726</v>
      </c>
      <c r="G96" s="30">
        <v>649.726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132" t="s">
        <v>51</v>
      </c>
      <c r="C97" s="106">
        <v>51431346</v>
      </c>
      <c r="D97" s="114" t="s">
        <v>37</v>
      </c>
      <c r="E97" s="114">
        <v>600</v>
      </c>
      <c r="F97" s="30">
        <v>278.10000000000002</v>
      </c>
      <c r="G97" s="30">
        <v>278.48</v>
      </c>
      <c r="H97" s="115">
        <f t="shared" si="4"/>
        <v>227.99999999999727</v>
      </c>
      <c r="I97" s="116"/>
      <c r="J97" s="117"/>
    </row>
    <row r="98" spans="1:10" ht="15.75" x14ac:dyDescent="0.25">
      <c r="A98" s="27" t="s">
        <v>112</v>
      </c>
      <c r="B98" s="132" t="s">
        <v>51</v>
      </c>
      <c r="C98" s="106">
        <v>51431352</v>
      </c>
      <c r="D98" s="88" t="s">
        <v>21</v>
      </c>
      <c r="E98" s="132">
        <v>3600</v>
      </c>
      <c r="F98" s="21">
        <v>142.667</v>
      </c>
      <c r="G98" s="21">
        <v>144.10900000000001</v>
      </c>
      <c r="H98" s="18">
        <f t="shared" si="4"/>
        <v>5191.2000000000262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17293.399999999947</v>
      </c>
      <c r="I99" s="51"/>
      <c r="J99" s="52"/>
    </row>
    <row r="100" spans="1:10" ht="15.75" x14ac:dyDescent="0.25">
      <c r="A100" s="45" t="s">
        <v>113</v>
      </c>
      <c r="B100" s="132" t="s">
        <v>51</v>
      </c>
      <c r="C100" s="120">
        <v>51431357</v>
      </c>
      <c r="D100" s="133" t="s">
        <v>62</v>
      </c>
      <c r="E100" s="133">
        <v>14000</v>
      </c>
      <c r="F100" s="28">
        <v>645.08600000000001</v>
      </c>
      <c r="G100" s="28">
        <v>649.02700000000004</v>
      </c>
      <c r="H100" s="121">
        <f t="shared" si="4"/>
        <v>55174.000000000437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E1" workbookViewId="0">
      <selection activeCell="G19" sqref="G19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126</v>
      </c>
      <c r="G3" s="4" t="s">
        <v>125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35" t="s">
        <v>13</v>
      </c>
      <c r="C5" s="135">
        <v>51555166</v>
      </c>
      <c r="D5" s="135" t="s">
        <v>14</v>
      </c>
      <c r="E5" s="135">
        <v>132000</v>
      </c>
      <c r="F5" s="17">
        <v>2.2429999999999999</v>
      </c>
      <c r="G5" s="17">
        <v>2.2549999999999999</v>
      </c>
      <c r="H5" s="18">
        <f>(G5-F5)*E5</f>
        <v>1584.0000000000014</v>
      </c>
      <c r="I5" s="19"/>
      <c r="J5" s="20"/>
    </row>
    <row r="6" spans="1:10" ht="15.75" x14ac:dyDescent="0.25">
      <c r="A6" s="15" t="s">
        <v>15</v>
      </c>
      <c r="B6" s="135" t="s">
        <v>13</v>
      </c>
      <c r="C6" s="135">
        <v>51555191</v>
      </c>
      <c r="D6" s="135" t="s">
        <v>14</v>
      </c>
      <c r="E6" s="135">
        <v>132000</v>
      </c>
      <c r="F6" s="21">
        <v>261.79700000000003</v>
      </c>
      <c r="G6" s="21">
        <v>263.74299999999999</v>
      </c>
      <c r="H6" s="18">
        <f>(G6-F6)*E6</f>
        <v>256871.99999999598</v>
      </c>
      <c r="I6" s="19"/>
      <c r="J6" s="20"/>
    </row>
    <row r="7" spans="1:10" ht="15.75" x14ac:dyDescent="0.25">
      <c r="A7" s="219" t="s">
        <v>16</v>
      </c>
      <c r="B7" s="220"/>
      <c r="C7" s="135"/>
      <c r="D7" s="136"/>
      <c r="E7" s="135"/>
      <c r="H7" s="23">
        <f>H5+H6</f>
        <v>258455.99999999598</v>
      </c>
      <c r="I7" s="24">
        <f>H7-H10-H20</f>
        <v>2051.9999999937936</v>
      </c>
      <c r="J7" s="25">
        <f>I7/H7</f>
        <v>7.9394558454585137E-3</v>
      </c>
    </row>
    <row r="8" spans="1:10" ht="15.75" x14ac:dyDescent="0.25">
      <c r="A8" s="26" t="s">
        <v>17</v>
      </c>
      <c r="B8" s="135" t="s">
        <v>13</v>
      </c>
      <c r="C8" s="135">
        <v>51097629</v>
      </c>
      <c r="D8" s="136" t="s">
        <v>14</v>
      </c>
      <c r="E8" s="135">
        <v>42000</v>
      </c>
      <c r="F8" s="21">
        <v>855.06700000000001</v>
      </c>
      <c r="G8" s="21">
        <v>859.59900000000005</v>
      </c>
      <c r="H8" s="18">
        <f>(G8-F8)*E8</f>
        <v>190344.00000000163</v>
      </c>
      <c r="I8" s="19"/>
      <c r="J8" s="20"/>
    </row>
    <row r="9" spans="1:10" ht="15.75" x14ac:dyDescent="0.25">
      <c r="A9" s="26" t="s">
        <v>18</v>
      </c>
      <c r="B9" s="135" t="s">
        <v>13</v>
      </c>
      <c r="C9" s="135">
        <v>51616820</v>
      </c>
      <c r="D9" s="136" t="s">
        <v>14</v>
      </c>
      <c r="E9" s="135">
        <v>42000</v>
      </c>
      <c r="F9" s="21">
        <v>3.6190000000000002</v>
      </c>
      <c r="G9" s="21">
        <v>3.6429999999999998</v>
      </c>
      <c r="H9" s="18">
        <f>(G9-F9)*E9</f>
        <v>1007.9999999999823</v>
      </c>
      <c r="I9" s="19"/>
      <c r="J9" s="20"/>
    </row>
    <row r="10" spans="1:10" ht="15.75" x14ac:dyDescent="0.25">
      <c r="A10" s="219" t="s">
        <v>19</v>
      </c>
      <c r="B10" s="220"/>
      <c r="C10" s="135"/>
      <c r="D10" s="136"/>
      <c r="E10" s="135"/>
      <c r="F10" s="21"/>
      <c r="G10" s="21"/>
      <c r="H10" s="23">
        <f>H8+H9</f>
        <v>191352.0000000016</v>
      </c>
      <c r="I10" s="24">
        <f>H10-H17</f>
        <v>21.000000002648449</v>
      </c>
      <c r="J10" s="25">
        <f>I10/H10</f>
        <v>1.0974539070743067E-4</v>
      </c>
    </row>
    <row r="11" spans="1:10" ht="15.75" x14ac:dyDescent="0.25">
      <c r="A11" s="27" t="s">
        <v>20</v>
      </c>
      <c r="B11" s="135" t="s">
        <v>13</v>
      </c>
      <c r="C11" s="135">
        <v>51217286</v>
      </c>
      <c r="D11" s="136" t="s">
        <v>21</v>
      </c>
      <c r="E11" s="135">
        <v>21000</v>
      </c>
      <c r="F11" s="21">
        <v>680.68499999999995</v>
      </c>
      <c r="G11" s="21">
        <v>684.447</v>
      </c>
      <c r="H11" s="18">
        <f t="shared" ref="H11:H16" si="0">(G11-F11)*E11</f>
        <v>79002.000000001208</v>
      </c>
      <c r="I11" s="19"/>
      <c r="J11" s="20"/>
    </row>
    <row r="12" spans="1:10" ht="15.75" x14ac:dyDescent="0.25">
      <c r="A12" s="27" t="s">
        <v>22</v>
      </c>
      <c r="B12" s="135" t="s">
        <v>13</v>
      </c>
      <c r="C12" s="135">
        <v>51217292</v>
      </c>
      <c r="D12" s="136" t="s">
        <v>21</v>
      </c>
      <c r="E12" s="135">
        <v>21000</v>
      </c>
      <c r="F12" s="28">
        <v>2.552</v>
      </c>
      <c r="G12" s="28">
        <v>2.5750000000000002</v>
      </c>
      <c r="H12" s="18">
        <f>(G12-F12)*E12</f>
        <v>483.00000000000279</v>
      </c>
      <c r="I12" s="19"/>
      <c r="J12" s="20"/>
    </row>
    <row r="13" spans="1:10" ht="15.75" x14ac:dyDescent="0.25">
      <c r="A13" s="27" t="s">
        <v>23</v>
      </c>
      <c r="B13" s="135" t="s">
        <v>13</v>
      </c>
      <c r="C13" s="135">
        <v>51217271</v>
      </c>
      <c r="D13" s="136" t="s">
        <v>21</v>
      </c>
      <c r="E13" s="135">
        <v>21000</v>
      </c>
      <c r="F13" s="21">
        <v>489.30900000000003</v>
      </c>
      <c r="G13" s="21">
        <v>491.81299999999999</v>
      </c>
      <c r="H13" s="18">
        <f t="shared" si="0"/>
        <v>52583.999999999207</v>
      </c>
      <c r="I13" s="19"/>
      <c r="J13" s="20"/>
    </row>
    <row r="14" spans="1:10" ht="15.75" x14ac:dyDescent="0.25">
      <c r="A14" s="27" t="s">
        <v>24</v>
      </c>
      <c r="B14" s="135" t="s">
        <v>13</v>
      </c>
      <c r="C14" s="135">
        <v>51217276</v>
      </c>
      <c r="D14" s="136" t="s">
        <v>21</v>
      </c>
      <c r="E14" s="135">
        <v>21000</v>
      </c>
      <c r="F14" s="28">
        <v>0.32300000000000001</v>
      </c>
      <c r="G14" s="28">
        <v>0.33100000000000002</v>
      </c>
      <c r="H14" s="18">
        <f>(G14-F14)*E14</f>
        <v>168.00000000000014</v>
      </c>
      <c r="I14" s="19"/>
      <c r="J14" s="20"/>
    </row>
    <row r="15" spans="1:10" ht="15.75" x14ac:dyDescent="0.25">
      <c r="A15" s="27" t="s">
        <v>25</v>
      </c>
      <c r="B15" s="135" t="s">
        <v>13</v>
      </c>
      <c r="C15" s="135">
        <v>51100990</v>
      </c>
      <c r="D15" s="136" t="s">
        <v>21</v>
      </c>
      <c r="E15" s="135">
        <v>21000</v>
      </c>
      <c r="F15" s="29">
        <v>544.65300000000002</v>
      </c>
      <c r="G15" s="29">
        <v>547.45399999999995</v>
      </c>
      <c r="H15" s="18">
        <f t="shared" si="0"/>
        <v>58820.999999998545</v>
      </c>
      <c r="I15" s="19"/>
      <c r="J15" s="20"/>
    </row>
    <row r="16" spans="1:10" ht="15.75" x14ac:dyDescent="0.25">
      <c r="A16" s="27" t="s">
        <v>26</v>
      </c>
      <c r="B16" s="135" t="s">
        <v>13</v>
      </c>
      <c r="C16" s="135">
        <v>51097622</v>
      </c>
      <c r="D16" s="136" t="s">
        <v>21</v>
      </c>
      <c r="E16" s="135">
        <v>21000</v>
      </c>
      <c r="F16" s="21">
        <v>2.379</v>
      </c>
      <c r="G16" s="21">
        <v>2.3919999999999999</v>
      </c>
      <c r="H16" s="18">
        <f t="shared" si="0"/>
        <v>272.9999999999979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35"/>
      <c r="D17" s="136"/>
      <c r="E17" s="135"/>
      <c r="F17" s="21"/>
      <c r="G17" s="21"/>
      <c r="H17" s="23">
        <f>H11+H12+H13+H14+H15+H16</f>
        <v>191330.99999999895</v>
      </c>
      <c r="I17" s="19"/>
      <c r="J17" s="20"/>
    </row>
    <row r="18" spans="1:10" ht="15.75" x14ac:dyDescent="0.25">
      <c r="A18" s="26" t="s">
        <v>29</v>
      </c>
      <c r="B18" s="135" t="s">
        <v>13</v>
      </c>
      <c r="C18" s="135">
        <v>51097617</v>
      </c>
      <c r="D18" s="136" t="s">
        <v>30</v>
      </c>
      <c r="E18" s="135">
        <v>18000</v>
      </c>
      <c r="F18" s="30">
        <v>633.15</v>
      </c>
      <c r="G18" s="30">
        <v>636.76400000000001</v>
      </c>
      <c r="H18" s="18">
        <f>(G18-F18)*E18</f>
        <v>65052.000000000589</v>
      </c>
      <c r="I18" s="19"/>
      <c r="J18" s="20"/>
    </row>
    <row r="19" spans="1:10" ht="15.75" x14ac:dyDescent="0.25">
      <c r="A19" s="26" t="s">
        <v>31</v>
      </c>
      <c r="B19" s="135" t="s">
        <v>13</v>
      </c>
      <c r="C19" s="135">
        <v>51097655</v>
      </c>
      <c r="D19" s="136" t="s">
        <v>30</v>
      </c>
      <c r="E19" s="135">
        <v>18000</v>
      </c>
      <c r="F19" s="30">
        <v>6.07</v>
      </c>
      <c r="G19" s="30">
        <v>6.07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35"/>
      <c r="D20" s="136"/>
      <c r="E20" s="135"/>
      <c r="F20" s="30"/>
      <c r="G20" s="30"/>
      <c r="H20" s="23">
        <f>H18+H19</f>
        <v>65052.000000000589</v>
      </c>
      <c r="I20" s="24">
        <f>H20-H35</f>
        <v>3789.000000000844</v>
      </c>
      <c r="J20" s="25">
        <f>I20/H20</f>
        <v>5.8245711123421411E-2</v>
      </c>
    </row>
    <row r="21" spans="1:10" ht="15.75" x14ac:dyDescent="0.25">
      <c r="A21" s="15" t="s">
        <v>33</v>
      </c>
      <c r="B21" s="135" t="s">
        <v>13</v>
      </c>
      <c r="C21" s="135">
        <v>51217282</v>
      </c>
      <c r="D21" s="136" t="s">
        <v>34</v>
      </c>
      <c r="E21" s="135">
        <v>4800</v>
      </c>
      <c r="F21" s="21">
        <v>378.36799999999999</v>
      </c>
      <c r="G21" s="21">
        <v>378.36799999999999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35" t="s">
        <v>13</v>
      </c>
      <c r="C22" s="135">
        <v>51217274</v>
      </c>
      <c r="D22" s="136" t="s">
        <v>34</v>
      </c>
      <c r="E22" s="135">
        <v>4800</v>
      </c>
      <c r="F22" s="21">
        <v>1004.606</v>
      </c>
      <c r="G22" s="21">
        <v>1010.607</v>
      </c>
      <c r="H22" s="18">
        <f t="shared" si="1"/>
        <v>28804.799999999886</v>
      </c>
      <c r="I22" s="19"/>
      <c r="J22" s="20"/>
    </row>
    <row r="23" spans="1:10" ht="15.75" x14ac:dyDescent="0.25">
      <c r="A23" s="15" t="s">
        <v>36</v>
      </c>
      <c r="B23" s="135" t="s">
        <v>13</v>
      </c>
      <c r="C23" s="135">
        <v>51097664</v>
      </c>
      <c r="D23" s="136" t="s">
        <v>37</v>
      </c>
      <c r="E23" s="135">
        <v>600</v>
      </c>
      <c r="F23" s="21">
        <v>3.7290000000000001</v>
      </c>
      <c r="G23" s="21">
        <v>3.7429999999999999</v>
      </c>
      <c r="H23" s="18">
        <f t="shared" si="1"/>
        <v>8.3999999999998742</v>
      </c>
      <c r="I23" s="19"/>
      <c r="J23" s="20"/>
    </row>
    <row r="24" spans="1:10" ht="15.75" x14ac:dyDescent="0.25">
      <c r="A24" s="15" t="s">
        <v>38</v>
      </c>
      <c r="B24" s="135" t="s">
        <v>13</v>
      </c>
      <c r="C24" s="135">
        <v>51097615</v>
      </c>
      <c r="D24" s="136" t="s">
        <v>37</v>
      </c>
      <c r="E24" s="135">
        <v>600</v>
      </c>
      <c r="F24" s="21">
        <v>23.128</v>
      </c>
      <c r="G24" s="21">
        <v>23.5</v>
      </c>
      <c r="H24" s="18">
        <f t="shared" si="1"/>
        <v>223.19999999999993</v>
      </c>
      <c r="I24" s="19"/>
      <c r="J24" s="20"/>
    </row>
    <row r="25" spans="1:10" ht="15.75" x14ac:dyDescent="0.25">
      <c r="A25" s="15" t="s">
        <v>39</v>
      </c>
      <c r="B25" s="135" t="s">
        <v>13</v>
      </c>
      <c r="C25" s="135">
        <v>51217264</v>
      </c>
      <c r="D25" s="136" t="s">
        <v>37</v>
      </c>
      <c r="E25" s="135">
        <v>600</v>
      </c>
      <c r="F25" s="21">
        <v>63.786000000000001</v>
      </c>
      <c r="G25" s="21">
        <v>64.495000000000005</v>
      </c>
      <c r="H25" s="18">
        <f t="shared" si="1"/>
        <v>425.40000000000191</v>
      </c>
      <c r="I25" s="19"/>
      <c r="J25" s="20"/>
    </row>
    <row r="26" spans="1:10" ht="15.75" x14ac:dyDescent="0.25">
      <c r="A26" s="15" t="s">
        <v>40</v>
      </c>
      <c r="B26" s="135" t="s">
        <v>13</v>
      </c>
      <c r="C26" s="135">
        <v>51217288</v>
      </c>
      <c r="D26" s="136" t="s">
        <v>37</v>
      </c>
      <c r="E26" s="135">
        <v>600</v>
      </c>
      <c r="F26" s="21">
        <v>18.699000000000002</v>
      </c>
      <c r="G26" s="21">
        <v>18.73</v>
      </c>
      <c r="H26" s="18">
        <f t="shared" si="1"/>
        <v>18.599999999999284</v>
      </c>
      <c r="I26" s="19" t="s">
        <v>27</v>
      </c>
      <c r="J26" s="20"/>
    </row>
    <row r="27" spans="1:10" ht="15.75" x14ac:dyDescent="0.25">
      <c r="A27" s="15" t="s">
        <v>41</v>
      </c>
      <c r="B27" s="135" t="s">
        <v>13</v>
      </c>
      <c r="C27" s="135">
        <v>51217279</v>
      </c>
      <c r="D27" s="136" t="s">
        <v>37</v>
      </c>
      <c r="E27" s="135">
        <v>600</v>
      </c>
      <c r="F27" s="21">
        <v>12.193</v>
      </c>
      <c r="G27" s="21">
        <v>12.247</v>
      </c>
      <c r="H27" s="18">
        <f t="shared" si="1"/>
        <v>32.400000000000162</v>
      </c>
      <c r="I27" s="19" t="s">
        <v>27</v>
      </c>
      <c r="J27" s="20"/>
    </row>
    <row r="28" spans="1:10" ht="15.75" x14ac:dyDescent="0.25">
      <c r="A28" s="15" t="s">
        <v>42</v>
      </c>
      <c r="B28" s="135" t="s">
        <v>13</v>
      </c>
      <c r="C28" s="135">
        <v>51217272</v>
      </c>
      <c r="D28" s="136" t="s">
        <v>37</v>
      </c>
      <c r="E28" s="135">
        <v>600</v>
      </c>
      <c r="F28" s="31">
        <v>11.962</v>
      </c>
      <c r="G28" s="31">
        <v>12.015000000000001</v>
      </c>
      <c r="H28" s="18">
        <f t="shared" si="1"/>
        <v>31.800000000000495</v>
      </c>
      <c r="I28" s="19"/>
      <c r="J28" s="20"/>
    </row>
    <row r="29" spans="1:10" ht="15.75" x14ac:dyDescent="0.25">
      <c r="A29" s="15" t="s">
        <v>43</v>
      </c>
      <c r="B29" s="135" t="s">
        <v>13</v>
      </c>
      <c r="C29" s="135">
        <v>51616744</v>
      </c>
      <c r="D29" s="136">
        <f>300/5</f>
        <v>60</v>
      </c>
      <c r="E29" s="135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35" t="s">
        <v>13</v>
      </c>
      <c r="C30" s="135">
        <v>51555226</v>
      </c>
      <c r="D30" s="136">
        <f>300/5</f>
        <v>60</v>
      </c>
      <c r="E30" s="135">
        <v>3600</v>
      </c>
      <c r="F30" s="31">
        <v>278.678</v>
      </c>
      <c r="G30" s="31">
        <v>282.48599999999999</v>
      </c>
      <c r="H30" s="18">
        <f>(G30-F30)*E30</f>
        <v>13708.799999999974</v>
      </c>
      <c r="I30" s="19"/>
      <c r="J30" s="20"/>
    </row>
    <row r="31" spans="1:10" ht="15.75" x14ac:dyDescent="0.25">
      <c r="A31" s="15" t="s">
        <v>45</v>
      </c>
      <c r="B31" s="135" t="s">
        <v>13</v>
      </c>
      <c r="C31" s="135">
        <v>51097658</v>
      </c>
      <c r="D31" s="136" t="s">
        <v>34</v>
      </c>
      <c r="E31" s="135">
        <v>4800</v>
      </c>
      <c r="F31" s="31">
        <v>465.32900000000001</v>
      </c>
      <c r="G31" s="31">
        <v>469.00299999999999</v>
      </c>
      <c r="H31" s="18">
        <f t="shared" si="1"/>
        <v>17635.199999999895</v>
      </c>
      <c r="I31" s="19"/>
      <c r="J31" s="20"/>
    </row>
    <row r="32" spans="1:10" ht="15.75" x14ac:dyDescent="0.25">
      <c r="A32" s="15" t="s">
        <v>46</v>
      </c>
      <c r="B32" s="135" t="s">
        <v>13</v>
      </c>
      <c r="C32" s="135">
        <v>51097635</v>
      </c>
      <c r="D32" s="136" t="s">
        <v>34</v>
      </c>
      <c r="E32" s="135">
        <v>4800</v>
      </c>
      <c r="F32" s="31">
        <v>48.427</v>
      </c>
      <c r="G32" s="31">
        <v>48.427999999999997</v>
      </c>
      <c r="H32" s="18">
        <f t="shared" si="1"/>
        <v>4.7999999999888132</v>
      </c>
      <c r="I32" s="19"/>
      <c r="J32" s="20"/>
    </row>
    <row r="33" spans="1:10" ht="15.75" x14ac:dyDescent="0.25">
      <c r="A33" s="15" t="s">
        <v>47</v>
      </c>
      <c r="B33" s="135" t="s">
        <v>13</v>
      </c>
      <c r="C33" s="32">
        <v>51097633</v>
      </c>
      <c r="D33" s="136" t="s">
        <v>34</v>
      </c>
      <c r="E33" s="135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35" t="s">
        <v>13</v>
      </c>
      <c r="C34" s="32">
        <v>51097662</v>
      </c>
      <c r="D34" s="136" t="s">
        <v>34</v>
      </c>
      <c r="E34" s="135">
        <v>4800</v>
      </c>
      <c r="F34" s="31">
        <v>0.29799999999999999</v>
      </c>
      <c r="G34" s="31">
        <v>0.375</v>
      </c>
      <c r="H34" s="33">
        <f t="shared" si="1"/>
        <v>369.60000000000008</v>
      </c>
      <c r="I34" s="34"/>
      <c r="J34" s="35"/>
    </row>
    <row r="35" spans="1:10" ht="15.75" x14ac:dyDescent="0.25">
      <c r="A35" s="219" t="s">
        <v>48</v>
      </c>
      <c r="B35" s="220"/>
      <c r="C35" s="135"/>
      <c r="D35" s="136"/>
      <c r="E35" s="135"/>
      <c r="F35" s="36"/>
      <c r="G35" s="36"/>
      <c r="H35" s="23">
        <f>H21+H22+H23+H24+H25+H26+H27+H28+H29+H30+H31+H32+H33+H34</f>
        <v>61262.999999999745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35" t="s">
        <v>51</v>
      </c>
      <c r="C37" s="135">
        <v>51555209</v>
      </c>
      <c r="D37" s="136" t="s">
        <v>52</v>
      </c>
      <c r="E37" s="135">
        <v>7000</v>
      </c>
      <c r="F37" s="17">
        <v>3.1579999999999999</v>
      </c>
      <c r="G37" s="17">
        <v>3.2040000000000002</v>
      </c>
      <c r="H37" s="41">
        <f>(G37-F37)*E37</f>
        <v>322.00000000000182</v>
      </c>
      <c r="I37" s="42"/>
      <c r="J37" s="14"/>
    </row>
    <row r="38" spans="1:10" ht="15.75" x14ac:dyDescent="0.25">
      <c r="A38" s="15" t="s">
        <v>53</v>
      </c>
      <c r="B38" s="135" t="s">
        <v>51</v>
      </c>
      <c r="C38" s="135">
        <v>51555209</v>
      </c>
      <c r="D38" s="136" t="s">
        <v>52</v>
      </c>
      <c r="E38" s="135">
        <v>7000</v>
      </c>
      <c r="F38" s="21">
        <v>8.1010000000000009</v>
      </c>
      <c r="G38" s="21">
        <v>8.1329999999999991</v>
      </c>
      <c r="H38" s="18">
        <f>(G38-F38)*E38</f>
        <v>223.99999999998778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35" t="s">
        <v>51</v>
      </c>
      <c r="C40" s="135">
        <v>51097674</v>
      </c>
      <c r="D40" s="135" t="s">
        <v>14</v>
      </c>
      <c r="E40" s="135">
        <v>7200</v>
      </c>
      <c r="F40" s="21">
        <v>460.34800000000001</v>
      </c>
      <c r="G40" s="21">
        <v>462.87099999999998</v>
      </c>
      <c r="H40" s="18">
        <f>(G40-F40)*E40</f>
        <v>18165.599999999766</v>
      </c>
      <c r="I40" s="47"/>
      <c r="J40" s="20"/>
    </row>
    <row r="41" spans="1:10" ht="15.75" x14ac:dyDescent="0.25">
      <c r="A41" s="27" t="s">
        <v>56</v>
      </c>
      <c r="B41" s="135" t="s">
        <v>51</v>
      </c>
      <c r="C41" s="135">
        <v>51259257</v>
      </c>
      <c r="D41" s="135" t="s">
        <v>14</v>
      </c>
      <c r="E41" s="135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35"/>
      <c r="C42" s="135"/>
      <c r="D42" s="135"/>
      <c r="E42" s="135"/>
      <c r="F42" s="21"/>
      <c r="G42" s="21"/>
      <c r="H42" s="48">
        <f>H40+H41</f>
        <v>18165.599999999766</v>
      </c>
      <c r="I42" s="24">
        <f>H42-H50</f>
        <v>-119.60000000024593</v>
      </c>
      <c r="J42" s="25">
        <f>I42/H42</f>
        <v>-6.5838728145642018E-3</v>
      </c>
    </row>
    <row r="43" spans="1:10" ht="15.75" x14ac:dyDescent="0.25">
      <c r="A43" s="15" t="s">
        <v>58</v>
      </c>
      <c r="B43" s="135"/>
      <c r="C43" s="135"/>
      <c r="D43" s="136"/>
      <c r="E43" s="135"/>
      <c r="H43" s="18"/>
      <c r="I43" s="43"/>
      <c r="J43" s="20"/>
    </row>
    <row r="44" spans="1:10" ht="15.75" x14ac:dyDescent="0.25">
      <c r="A44" s="27" t="s">
        <v>59</v>
      </c>
      <c r="B44" s="135" t="s">
        <v>51</v>
      </c>
      <c r="C44" s="32">
        <v>51097648</v>
      </c>
      <c r="D44" s="135" t="s">
        <v>52</v>
      </c>
      <c r="E44" s="135">
        <v>1200</v>
      </c>
      <c r="F44" s="21">
        <v>375.94299999999998</v>
      </c>
      <c r="G44" s="21">
        <v>378.14400000000001</v>
      </c>
      <c r="H44" s="33">
        <f>(G44-F44)*E44</f>
        <v>2641.2000000000262</v>
      </c>
      <c r="I44" s="43"/>
      <c r="J44" s="20"/>
    </row>
    <row r="45" spans="1:10" ht="15.75" x14ac:dyDescent="0.25">
      <c r="A45" s="27" t="s">
        <v>60</v>
      </c>
      <c r="B45" s="135" t="s">
        <v>51</v>
      </c>
      <c r="C45" s="32">
        <v>50555043</v>
      </c>
      <c r="D45" s="135" t="s">
        <v>52</v>
      </c>
      <c r="E45" s="135">
        <v>1200</v>
      </c>
      <c r="F45" s="21">
        <v>1582.742</v>
      </c>
      <c r="G45" s="21">
        <v>1590.8789999999999</v>
      </c>
      <c r="H45" s="33">
        <f>(G45-F45)*E45</f>
        <v>9764.3999999999323</v>
      </c>
      <c r="I45" s="43"/>
      <c r="J45" s="20"/>
    </row>
    <row r="46" spans="1:10" ht="15.75" x14ac:dyDescent="0.25">
      <c r="A46" s="27" t="s">
        <v>61</v>
      </c>
      <c r="B46" s="135" t="s">
        <v>51</v>
      </c>
      <c r="C46" s="32">
        <v>51259336</v>
      </c>
      <c r="D46" s="135" t="s">
        <v>62</v>
      </c>
      <c r="E46" s="135">
        <v>2400</v>
      </c>
      <c r="F46" s="21">
        <v>3.3849999999999998</v>
      </c>
      <c r="G46" s="21">
        <v>3.3980000000000001</v>
      </c>
      <c r="H46" s="33">
        <f>(G46-F46)*E46</f>
        <v>31.200000000000827</v>
      </c>
      <c r="I46" s="43"/>
      <c r="J46" s="20"/>
    </row>
    <row r="47" spans="1:10" ht="15.75" x14ac:dyDescent="0.25">
      <c r="A47" s="27" t="s">
        <v>63</v>
      </c>
      <c r="B47" s="135" t="s">
        <v>51</v>
      </c>
      <c r="C47" s="32">
        <v>51259266</v>
      </c>
      <c r="D47" s="135" t="s">
        <v>52</v>
      </c>
      <c r="E47" s="135">
        <v>1200</v>
      </c>
      <c r="F47" s="21">
        <v>764.18899999999996</v>
      </c>
      <c r="G47" s="21">
        <v>768.66800000000001</v>
      </c>
      <c r="H47" s="33">
        <f>(G47-F47)*E47</f>
        <v>5374.8000000000502</v>
      </c>
      <c r="I47" s="43"/>
      <c r="J47" s="20"/>
    </row>
    <row r="48" spans="1:10" ht="15.75" x14ac:dyDescent="0.25">
      <c r="A48" s="27" t="s">
        <v>64</v>
      </c>
      <c r="B48" s="135" t="s">
        <v>51</v>
      </c>
      <c r="C48" s="32">
        <v>51431336</v>
      </c>
      <c r="D48" s="135" t="s">
        <v>52</v>
      </c>
      <c r="E48" s="135">
        <v>1200</v>
      </c>
      <c r="F48" s="21">
        <v>39.664999999999999</v>
      </c>
      <c r="G48" s="21">
        <v>40.018000000000001</v>
      </c>
      <c r="H48" s="33">
        <f>(G48-F48)*E48</f>
        <v>423.60000000000184</v>
      </c>
      <c r="I48" s="43"/>
      <c r="J48" s="20"/>
    </row>
    <row r="49" spans="1:10" ht="15.75" x14ac:dyDescent="0.25">
      <c r="A49" s="15" t="s">
        <v>65</v>
      </c>
      <c r="B49" s="135" t="s">
        <v>66</v>
      </c>
      <c r="C49" s="135">
        <v>49174</v>
      </c>
      <c r="D49" s="136" t="s">
        <v>52</v>
      </c>
      <c r="E49" s="135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18285.200000000012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35" t="s">
        <v>51</v>
      </c>
      <c r="C52" s="135">
        <v>51097603</v>
      </c>
      <c r="D52" s="136" t="s">
        <v>52</v>
      </c>
      <c r="E52" s="135">
        <v>7000</v>
      </c>
      <c r="F52" s="17">
        <v>1526.0650000000001</v>
      </c>
      <c r="G52" s="17">
        <v>1534.5260000000001</v>
      </c>
      <c r="H52" s="18">
        <f>(G52-F52)*E52</f>
        <v>59227.000000000087</v>
      </c>
      <c r="I52" s="43"/>
      <c r="J52" s="20"/>
    </row>
    <row r="53" spans="1:10" ht="15.75" x14ac:dyDescent="0.25">
      <c r="A53" s="27" t="s">
        <v>71</v>
      </c>
      <c r="B53" s="135" t="s">
        <v>51</v>
      </c>
      <c r="C53" s="135">
        <v>51097590</v>
      </c>
      <c r="D53" s="136" t="s">
        <v>52</v>
      </c>
      <c r="E53" s="135">
        <v>7000</v>
      </c>
      <c r="F53" s="21">
        <v>8.6370000000000005</v>
      </c>
      <c r="G53" s="21">
        <v>8.7070000000000007</v>
      </c>
      <c r="H53" s="18">
        <f>(G53-F53)*E53</f>
        <v>490.00000000000199</v>
      </c>
      <c r="I53" s="43"/>
      <c r="J53" s="20"/>
    </row>
    <row r="54" spans="1:10" ht="15.75" x14ac:dyDescent="0.25">
      <c r="A54" s="15" t="s">
        <v>65</v>
      </c>
      <c r="B54" s="135" t="s">
        <v>66</v>
      </c>
      <c r="C54" s="135">
        <v>49174</v>
      </c>
      <c r="D54" s="136" t="s">
        <v>52</v>
      </c>
      <c r="E54" s="135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35"/>
      <c r="D55" s="136"/>
      <c r="E55" s="135"/>
      <c r="F55" s="21"/>
      <c r="G55" s="21"/>
      <c r="H55" s="48">
        <f>H52+H53+H54</f>
        <v>59817.000000000087</v>
      </c>
      <c r="I55" s="47"/>
      <c r="J55" s="59"/>
    </row>
    <row r="56" spans="1:10" ht="15.75" x14ac:dyDescent="0.25">
      <c r="A56" s="27" t="s">
        <v>73</v>
      </c>
      <c r="B56" s="135" t="s">
        <v>51</v>
      </c>
      <c r="C56" s="135">
        <v>51100980</v>
      </c>
      <c r="D56" s="135" t="s">
        <v>74</v>
      </c>
      <c r="E56" s="135">
        <v>12000</v>
      </c>
      <c r="F56" s="21">
        <v>897.40899999999999</v>
      </c>
      <c r="G56" s="21">
        <v>902.39499999999998</v>
      </c>
      <c r="H56" s="18">
        <f>(G56-F56)*E56</f>
        <v>59831.999999999884</v>
      </c>
      <c r="I56" s="47"/>
      <c r="J56" s="58"/>
    </row>
    <row r="57" spans="1:10" ht="15.75" x14ac:dyDescent="0.25">
      <c r="A57" s="27" t="s">
        <v>75</v>
      </c>
      <c r="B57" s="135" t="s">
        <v>51</v>
      </c>
      <c r="C57" s="135">
        <v>51097623</v>
      </c>
      <c r="D57" s="135" t="s">
        <v>74</v>
      </c>
      <c r="E57" s="135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35"/>
      <c r="C58" s="135"/>
      <c r="D58" s="135"/>
      <c r="E58" s="135"/>
      <c r="F58" s="21"/>
      <c r="G58" s="21"/>
      <c r="H58" s="48">
        <f>H56+H57</f>
        <v>59831.999999999884</v>
      </c>
      <c r="I58" s="61">
        <f>H55-H65-H54</f>
        <v>-250.59999999993306</v>
      </c>
      <c r="J58" s="25">
        <f>I58/H58</f>
        <v>-4.1883941703425185E-3</v>
      </c>
    </row>
    <row r="59" spans="1:10" ht="15.75" x14ac:dyDescent="0.25">
      <c r="A59" s="27" t="s">
        <v>77</v>
      </c>
      <c r="B59" s="135" t="s">
        <v>51</v>
      </c>
      <c r="C59" s="135">
        <v>51097675</v>
      </c>
      <c r="D59" s="135" t="s">
        <v>34</v>
      </c>
      <c r="E59" s="135">
        <v>4800</v>
      </c>
      <c r="F59" s="21">
        <v>337.26400000000001</v>
      </c>
      <c r="G59" s="21">
        <v>340.43400000000003</v>
      </c>
      <c r="H59" s="18">
        <f t="shared" ref="H59:H64" si="2">(G59-F59)*E59</f>
        <v>15216.000000000076</v>
      </c>
      <c r="I59" s="62"/>
      <c r="J59" s="59"/>
    </row>
    <row r="60" spans="1:10" ht="15.75" x14ac:dyDescent="0.25">
      <c r="A60" s="27" t="s">
        <v>78</v>
      </c>
      <c r="B60" s="135" t="s">
        <v>51</v>
      </c>
      <c r="C60" s="135">
        <v>51100997</v>
      </c>
      <c r="D60" s="135" t="s">
        <v>21</v>
      </c>
      <c r="E60" s="135">
        <v>3600</v>
      </c>
      <c r="F60" s="21">
        <v>1160.143</v>
      </c>
      <c r="G60" s="21">
        <v>1165.6110000000001</v>
      </c>
      <c r="H60" s="18">
        <f t="shared" si="2"/>
        <v>19684.800000000268</v>
      </c>
      <c r="I60" s="62"/>
      <c r="J60" s="59"/>
    </row>
    <row r="61" spans="1:10" ht="15.75" x14ac:dyDescent="0.25">
      <c r="A61" s="27" t="s">
        <v>79</v>
      </c>
      <c r="B61" s="135" t="s">
        <v>51</v>
      </c>
      <c r="C61" s="135">
        <v>51555218</v>
      </c>
      <c r="D61" s="135">
        <f>400/5</f>
        <v>80</v>
      </c>
      <c r="E61" s="135">
        <v>4800</v>
      </c>
      <c r="F61" s="21">
        <v>36.734000000000002</v>
      </c>
      <c r="G61" s="21">
        <v>37.235999999999997</v>
      </c>
      <c r="H61" s="18">
        <f t="shared" si="2"/>
        <v>2409.5999999999776</v>
      </c>
      <c r="I61" s="62"/>
      <c r="J61" s="59"/>
    </row>
    <row r="62" spans="1:10" ht="15.75" x14ac:dyDescent="0.25">
      <c r="A62" s="27" t="s">
        <v>80</v>
      </c>
      <c r="B62" s="135" t="s">
        <v>51</v>
      </c>
      <c r="C62" s="135">
        <v>51555151</v>
      </c>
      <c r="D62" s="135">
        <f>400/5</f>
        <v>80</v>
      </c>
      <c r="E62" s="135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35" t="s">
        <v>51</v>
      </c>
      <c r="C63" s="135">
        <v>51097599</v>
      </c>
      <c r="D63" s="135" t="s">
        <v>21</v>
      </c>
      <c r="E63" s="135">
        <v>3600</v>
      </c>
      <c r="F63" s="21">
        <v>822.09699999999998</v>
      </c>
      <c r="G63" s="21">
        <v>825.22799999999995</v>
      </c>
      <c r="H63" s="18">
        <f t="shared" si="2"/>
        <v>11271.599999999899</v>
      </c>
      <c r="I63" s="62"/>
      <c r="J63" s="59"/>
    </row>
    <row r="64" spans="1:10" ht="15.75" x14ac:dyDescent="0.25">
      <c r="A64" s="27" t="s">
        <v>82</v>
      </c>
      <c r="B64" s="135" t="s">
        <v>51</v>
      </c>
      <c r="C64" s="135">
        <v>51097620</v>
      </c>
      <c r="D64" s="135" t="s">
        <v>34</v>
      </c>
      <c r="E64" s="135">
        <v>4800</v>
      </c>
      <c r="F64" s="21">
        <v>371.26100000000002</v>
      </c>
      <c r="G64" s="21">
        <v>373.63299999999998</v>
      </c>
      <c r="H64" s="18">
        <f t="shared" si="2"/>
        <v>11385.599999999795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59967.60000000002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35" t="s">
        <v>51</v>
      </c>
      <c r="C67" s="9">
        <v>51259238</v>
      </c>
      <c r="D67" s="74" t="s">
        <v>52</v>
      </c>
      <c r="E67" s="74">
        <v>7000</v>
      </c>
      <c r="F67" s="75">
        <v>406.678</v>
      </c>
      <c r="G67" s="75">
        <v>409.40600000000001</v>
      </c>
      <c r="H67" s="76">
        <f>(G67-F67)*E67</f>
        <v>19096.000000000062</v>
      </c>
      <c r="I67" s="77"/>
      <c r="J67" s="78"/>
    </row>
    <row r="68" spans="1:10" ht="15.75" x14ac:dyDescent="0.25">
      <c r="A68" s="27" t="s">
        <v>85</v>
      </c>
      <c r="B68" s="135" t="s">
        <v>51</v>
      </c>
      <c r="C68" s="135">
        <v>51259324</v>
      </c>
      <c r="D68" s="136" t="s">
        <v>52</v>
      </c>
      <c r="E68" s="136">
        <v>7000</v>
      </c>
      <c r="F68" s="21">
        <v>312.57799999999997</v>
      </c>
      <c r="G68" s="21">
        <v>314.74700000000001</v>
      </c>
      <c r="H68" s="18">
        <f>(G68-F68)*E68</f>
        <v>15183.000000000276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35">
        <v>51491618</v>
      </c>
      <c r="D69" s="136" t="s">
        <v>62</v>
      </c>
      <c r="E69" s="135">
        <v>40</v>
      </c>
      <c r="F69" s="28">
        <v>676.79700000000003</v>
      </c>
      <c r="G69" s="28">
        <v>686.71900000000005</v>
      </c>
      <c r="H69" s="18">
        <f>(G69-F69)*E69</f>
        <v>396.88000000000102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35">
        <v>51491624</v>
      </c>
      <c r="D70" s="136" t="s">
        <v>62</v>
      </c>
      <c r="E70" s="135">
        <v>40</v>
      </c>
      <c r="F70" s="28">
        <v>98.503</v>
      </c>
      <c r="G70" s="28">
        <v>99.507000000000005</v>
      </c>
      <c r="H70" s="18">
        <f>(G70-F70)*E70</f>
        <v>40.160000000000196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34279.000000000335</v>
      </c>
      <c r="I71" s="85">
        <f>H71-H74-H69-H70</f>
        <v>-1018.0399999996811</v>
      </c>
      <c r="J71" s="25">
        <f>I71/H71</f>
        <v>-2.9698649318815343E-2</v>
      </c>
    </row>
    <row r="72" spans="1:10" ht="15.75" x14ac:dyDescent="0.25">
      <c r="A72" s="27" t="s">
        <v>90</v>
      </c>
      <c r="B72" s="135" t="s">
        <v>51</v>
      </c>
      <c r="C72" s="86">
        <v>51097588</v>
      </c>
      <c r="D72" s="136" t="s">
        <v>74</v>
      </c>
      <c r="E72" s="135">
        <v>12000</v>
      </c>
      <c r="F72" s="21">
        <v>246.97900000000001</v>
      </c>
      <c r="G72" s="21">
        <v>248.56800000000001</v>
      </c>
      <c r="H72" s="18">
        <f>(G72-F72)*E72</f>
        <v>19067.999999999985</v>
      </c>
      <c r="I72" s="51"/>
      <c r="J72" s="58"/>
    </row>
    <row r="73" spans="1:10" ht="15.75" x14ac:dyDescent="0.25">
      <c r="A73" s="27" t="s">
        <v>91</v>
      </c>
      <c r="B73" s="135" t="s">
        <v>51</v>
      </c>
      <c r="C73" s="86">
        <v>51431335</v>
      </c>
      <c r="D73" s="136" t="s">
        <v>74</v>
      </c>
      <c r="E73" s="135">
        <v>12000</v>
      </c>
      <c r="F73" s="21">
        <v>192.25899999999999</v>
      </c>
      <c r="G73" s="21">
        <v>193.57499999999999</v>
      </c>
      <c r="H73" s="18">
        <f>(G73-F73)*E73</f>
        <v>15792.000000000029</v>
      </c>
      <c r="I73" s="51"/>
      <c r="J73" s="58"/>
    </row>
    <row r="74" spans="1:10" ht="15.75" x14ac:dyDescent="0.25">
      <c r="A74" s="87" t="s">
        <v>92</v>
      </c>
      <c r="B74" s="135" t="s">
        <v>27</v>
      </c>
      <c r="C74" s="135"/>
      <c r="D74" s="136"/>
      <c r="E74" s="135"/>
      <c r="F74" s="21"/>
      <c r="G74" s="21"/>
      <c r="H74" s="48">
        <f>H72+ H73</f>
        <v>34860.000000000015</v>
      </c>
      <c r="I74" s="85">
        <f>H74-H82</f>
        <v>-69.599999999998545</v>
      </c>
      <c r="J74" s="25">
        <f>I74/H74</f>
        <v>-1.9965576592082192E-3</v>
      </c>
    </row>
    <row r="75" spans="1:10" ht="15.75" x14ac:dyDescent="0.25">
      <c r="A75" s="27" t="s">
        <v>93</v>
      </c>
      <c r="B75" s="135" t="s">
        <v>51</v>
      </c>
      <c r="C75" s="86">
        <v>51097676</v>
      </c>
      <c r="D75" s="88" t="s">
        <v>62</v>
      </c>
      <c r="E75" s="135">
        <v>2400</v>
      </c>
      <c r="F75" s="21">
        <v>489.673</v>
      </c>
      <c r="G75" s="21">
        <v>493.6</v>
      </c>
      <c r="H75" s="18">
        <f>(G75-F75)*E75</f>
        <v>9424.8000000000502</v>
      </c>
      <c r="I75" s="51"/>
      <c r="J75" s="58"/>
    </row>
    <row r="76" spans="1:10" ht="15.75" x14ac:dyDescent="0.25">
      <c r="A76" s="27" t="s">
        <v>94</v>
      </c>
      <c r="B76" s="135" t="s">
        <v>51</v>
      </c>
      <c r="C76" s="86">
        <v>51431355</v>
      </c>
      <c r="D76" s="136" t="s">
        <v>21</v>
      </c>
      <c r="E76" s="136">
        <v>3600</v>
      </c>
      <c r="F76" s="21">
        <v>293.13400000000001</v>
      </c>
      <c r="G76" s="21">
        <v>294.50700000000001</v>
      </c>
      <c r="H76" s="18">
        <f>(G76-F76)*E76</f>
        <v>4942.7999999999656</v>
      </c>
      <c r="I76" s="51"/>
      <c r="J76" s="52"/>
    </row>
    <row r="77" spans="1:10" ht="15.75" x14ac:dyDescent="0.25">
      <c r="A77" s="27" t="s">
        <v>95</v>
      </c>
      <c r="B77" s="135" t="s">
        <v>51</v>
      </c>
      <c r="C77" s="86">
        <v>51259331</v>
      </c>
      <c r="D77" s="88" t="s">
        <v>37</v>
      </c>
      <c r="E77" s="135">
        <v>600</v>
      </c>
      <c r="F77" s="21">
        <v>110.322</v>
      </c>
      <c r="G77" s="21">
        <v>111.80800000000001</v>
      </c>
      <c r="H77" s="18">
        <f>(G77-F77)*E77</f>
        <v>891.60000000000252</v>
      </c>
      <c r="I77" s="51"/>
      <c r="J77" s="52"/>
    </row>
    <row r="78" spans="1:10" ht="15.75" x14ac:dyDescent="0.25">
      <c r="A78" s="27" t="s">
        <v>96</v>
      </c>
      <c r="B78" s="135" t="s">
        <v>51</v>
      </c>
      <c r="C78" s="86">
        <v>51259326</v>
      </c>
      <c r="D78" s="88" t="s">
        <v>14</v>
      </c>
      <c r="E78" s="135">
        <v>7200</v>
      </c>
      <c r="F78" s="21">
        <v>252.64099999999999</v>
      </c>
      <c r="G78" s="21">
        <v>253.99199999999999</v>
      </c>
      <c r="H78" s="18">
        <f>(G78-F78)*E78</f>
        <v>9727.1999999999935</v>
      </c>
      <c r="I78" s="51"/>
      <c r="J78" s="52"/>
    </row>
    <row r="79" spans="1:10" ht="15.75" x14ac:dyDescent="0.25">
      <c r="A79" s="27" t="s">
        <v>97</v>
      </c>
      <c r="B79" s="135" t="s">
        <v>51</v>
      </c>
      <c r="C79" s="86">
        <v>51431351</v>
      </c>
      <c r="D79" s="88" t="s">
        <v>14</v>
      </c>
      <c r="E79" s="135">
        <v>7200</v>
      </c>
      <c r="F79" s="21">
        <v>161.726</v>
      </c>
      <c r="G79" s="21">
        <v>163.107</v>
      </c>
      <c r="H79" s="18">
        <f>(G79-F79)*E79</f>
        <v>9943.2000000000007</v>
      </c>
      <c r="I79" s="51"/>
      <c r="J79" s="52"/>
    </row>
    <row r="80" spans="1:10" ht="15.75" x14ac:dyDescent="0.25">
      <c r="A80" s="89" t="s">
        <v>98</v>
      </c>
      <c r="B80" s="135" t="s">
        <v>51</v>
      </c>
      <c r="C80" s="90">
        <v>51097666</v>
      </c>
      <c r="D80" s="88" t="s">
        <v>62</v>
      </c>
      <c r="E80" s="135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35" t="s">
        <v>51</v>
      </c>
      <c r="C81" s="90">
        <v>51259323</v>
      </c>
      <c r="D81" s="88" t="s">
        <v>62</v>
      </c>
      <c r="E81" s="135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34929.600000000013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35" t="s">
        <v>51</v>
      </c>
      <c r="C84" s="106">
        <v>51431297</v>
      </c>
      <c r="D84" s="136" t="s">
        <v>52</v>
      </c>
      <c r="E84" s="100">
        <v>7000</v>
      </c>
      <c r="F84" s="17">
        <v>194.51599999999999</v>
      </c>
      <c r="G84" s="17">
        <v>195.34399999999999</v>
      </c>
      <c r="H84" s="18">
        <f>(G84-F84)*E84</f>
        <v>5796.0000000000209</v>
      </c>
      <c r="I84" s="107"/>
      <c r="J84" s="108"/>
    </row>
    <row r="85" spans="1:10" ht="15.75" x14ac:dyDescent="0.25">
      <c r="A85" s="105" t="s">
        <v>85</v>
      </c>
      <c r="B85" s="135" t="s">
        <v>51</v>
      </c>
      <c r="C85" s="106">
        <v>51431332</v>
      </c>
      <c r="D85" s="136" t="s">
        <v>52</v>
      </c>
      <c r="E85" s="100">
        <v>7000</v>
      </c>
      <c r="F85" s="21">
        <v>299.29000000000002</v>
      </c>
      <c r="G85" s="21">
        <v>301.02499999999998</v>
      </c>
      <c r="H85" s="18">
        <f>(G85-F85)*E85</f>
        <v>12144.999999999698</v>
      </c>
      <c r="I85" s="135"/>
      <c r="J85" s="58"/>
    </row>
    <row r="86" spans="1:10" ht="15.75" x14ac:dyDescent="0.25">
      <c r="A86" s="27" t="s">
        <v>86</v>
      </c>
      <c r="B86" s="135" t="s">
        <v>102</v>
      </c>
      <c r="C86" s="109">
        <v>150773</v>
      </c>
      <c r="D86" s="136" t="s">
        <v>52</v>
      </c>
      <c r="E86" s="109">
        <v>20</v>
      </c>
      <c r="F86" s="17">
        <v>15214.3</v>
      </c>
      <c r="G86" s="17">
        <v>15221.9</v>
      </c>
      <c r="H86" s="18">
        <f>(G86-F86)*E86</f>
        <v>152.00000000000728</v>
      </c>
      <c r="I86" s="51"/>
      <c r="J86" s="58"/>
    </row>
    <row r="87" spans="1:10" ht="15.75" x14ac:dyDescent="0.25">
      <c r="A87" s="27" t="s">
        <v>88</v>
      </c>
      <c r="B87" s="135" t="s">
        <v>102</v>
      </c>
      <c r="C87" s="109">
        <v>150791</v>
      </c>
      <c r="D87" s="136" t="s">
        <v>52</v>
      </c>
      <c r="E87" s="109">
        <v>20</v>
      </c>
      <c r="F87" s="21">
        <v>231.4</v>
      </c>
      <c r="G87" s="21">
        <v>231.4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37"/>
      <c r="C88" s="32"/>
      <c r="D88" s="82"/>
      <c r="E88" s="82"/>
      <c r="F88" s="21"/>
      <c r="G88" s="21"/>
      <c r="H88" s="48">
        <f>H84+H85</f>
        <v>17940.99999999972</v>
      </c>
      <c r="I88" s="85">
        <f>H88-H91-H86-H87</f>
        <v>427.39999999989595</v>
      </c>
      <c r="J88" s="25">
        <f>I88/H88</f>
        <v>2.3822529401923115E-2</v>
      </c>
    </row>
    <row r="89" spans="1:10" ht="15.75" x14ac:dyDescent="0.25">
      <c r="A89" s="27" t="s">
        <v>103</v>
      </c>
      <c r="B89" s="135" t="s">
        <v>51</v>
      </c>
      <c r="C89" s="106">
        <v>51431342</v>
      </c>
      <c r="D89" s="88" t="s">
        <v>34</v>
      </c>
      <c r="E89" s="135">
        <v>4800</v>
      </c>
      <c r="F89" s="21">
        <v>274.78100000000001</v>
      </c>
      <c r="G89" s="21">
        <v>275.95100000000002</v>
      </c>
      <c r="H89" s="18">
        <f>(G89-F89)*E89</f>
        <v>5616.0000000000764</v>
      </c>
      <c r="I89" s="51"/>
      <c r="J89" s="52"/>
    </row>
    <row r="90" spans="1:10" ht="15.75" x14ac:dyDescent="0.25">
      <c r="A90" s="27" t="s">
        <v>104</v>
      </c>
      <c r="B90" s="135" t="s">
        <v>51</v>
      </c>
      <c r="C90" s="106">
        <v>51431343</v>
      </c>
      <c r="D90" s="88" t="s">
        <v>34</v>
      </c>
      <c r="E90" s="135">
        <v>4800</v>
      </c>
      <c r="F90" s="21">
        <v>424.84500000000003</v>
      </c>
      <c r="G90" s="21">
        <v>427.29199999999997</v>
      </c>
      <c r="H90" s="18">
        <f>(G90-F90)*E90</f>
        <v>11745.59999999974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17361.599999999817</v>
      </c>
      <c r="I91" s="85">
        <f>H91-H99</f>
        <v>-128.60000000017681</v>
      </c>
      <c r="J91" s="25">
        <f>I91/H91</f>
        <v>-7.4071514146264268E-3</v>
      </c>
    </row>
    <row r="92" spans="1:10" ht="15.75" x14ac:dyDescent="0.25">
      <c r="A92" s="27" t="s">
        <v>106</v>
      </c>
      <c r="B92" s="135" t="s">
        <v>51</v>
      </c>
      <c r="C92" s="106">
        <v>51431347</v>
      </c>
      <c r="D92" s="136" t="s">
        <v>52</v>
      </c>
      <c r="E92" s="135">
        <v>1200</v>
      </c>
      <c r="F92" s="21">
        <v>932.76</v>
      </c>
      <c r="G92" s="21">
        <v>941.12400000000002</v>
      </c>
      <c r="H92" s="18">
        <f t="shared" ref="H92:H100" si="4">(G92-F92)*E92</f>
        <v>10036.800000000039</v>
      </c>
      <c r="I92" s="51"/>
      <c r="J92" s="52"/>
    </row>
    <row r="93" spans="1:10" ht="15.75" x14ac:dyDescent="0.25">
      <c r="A93" s="27" t="s">
        <v>107</v>
      </c>
      <c r="B93" s="135" t="s">
        <v>51</v>
      </c>
      <c r="C93" s="106">
        <v>51431339</v>
      </c>
      <c r="D93" s="136" t="s">
        <v>52</v>
      </c>
      <c r="E93" s="135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35" t="s">
        <v>51</v>
      </c>
      <c r="C94" s="106">
        <v>51217244</v>
      </c>
      <c r="D94" s="135" t="s">
        <v>37</v>
      </c>
      <c r="E94" s="135">
        <v>600</v>
      </c>
      <c r="F94" s="30">
        <v>237.73099999999999</v>
      </c>
      <c r="G94" s="30">
        <v>240.477</v>
      </c>
      <c r="H94" s="18">
        <f t="shared" si="4"/>
        <v>1647.6000000000056</v>
      </c>
      <c r="I94" s="51"/>
      <c r="J94" s="52"/>
    </row>
    <row r="95" spans="1:10" ht="15.75" x14ac:dyDescent="0.25">
      <c r="A95" s="27" t="s">
        <v>109</v>
      </c>
      <c r="B95" s="135" t="s">
        <v>51</v>
      </c>
      <c r="C95" s="106">
        <v>51217267</v>
      </c>
      <c r="D95" s="88" t="s">
        <v>62</v>
      </c>
      <c r="E95" s="135">
        <v>2400</v>
      </c>
      <c r="F95" s="30">
        <v>18.558</v>
      </c>
      <c r="G95" s="30">
        <v>18.59</v>
      </c>
      <c r="H95" s="18">
        <f t="shared" si="4"/>
        <v>76.800000000000068</v>
      </c>
      <c r="I95" s="51"/>
      <c r="J95" s="52"/>
    </row>
    <row r="96" spans="1:10" ht="15.75" x14ac:dyDescent="0.25">
      <c r="A96" s="27" t="s">
        <v>110</v>
      </c>
      <c r="B96" s="135" t="s">
        <v>51</v>
      </c>
      <c r="C96" s="135">
        <v>51555165</v>
      </c>
      <c r="D96" s="136" t="s">
        <v>52</v>
      </c>
      <c r="E96" s="135">
        <v>1200</v>
      </c>
      <c r="F96" s="30">
        <v>649.726</v>
      </c>
      <c r="G96" s="30">
        <v>649.726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135" t="s">
        <v>51</v>
      </c>
      <c r="C97" s="106">
        <v>51431346</v>
      </c>
      <c r="D97" s="114" t="s">
        <v>37</v>
      </c>
      <c r="E97" s="114">
        <v>600</v>
      </c>
      <c r="F97" s="30">
        <v>278.48</v>
      </c>
      <c r="G97" s="30">
        <v>278.89499999999998</v>
      </c>
      <c r="H97" s="115">
        <f t="shared" si="4"/>
        <v>248.99999999997817</v>
      </c>
      <c r="I97" s="116"/>
      <c r="J97" s="117"/>
    </row>
    <row r="98" spans="1:10" ht="15.75" x14ac:dyDescent="0.25">
      <c r="A98" s="27" t="s">
        <v>112</v>
      </c>
      <c r="B98" s="135" t="s">
        <v>51</v>
      </c>
      <c r="C98" s="106">
        <v>51431352</v>
      </c>
      <c r="D98" s="88" t="s">
        <v>21</v>
      </c>
      <c r="E98" s="135">
        <v>3600</v>
      </c>
      <c r="F98" s="21">
        <v>144.10900000000001</v>
      </c>
      <c r="G98" s="21">
        <v>145.589</v>
      </c>
      <c r="H98" s="18">
        <f t="shared" si="4"/>
        <v>5327.9999999999636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17490.199999999993</v>
      </c>
      <c r="I99" s="51"/>
      <c r="J99" s="52"/>
    </row>
    <row r="100" spans="1:10" ht="15.75" x14ac:dyDescent="0.25">
      <c r="A100" s="45" t="s">
        <v>113</v>
      </c>
      <c r="B100" s="135" t="s">
        <v>51</v>
      </c>
      <c r="C100" s="120">
        <v>51431357</v>
      </c>
      <c r="D100" s="136" t="s">
        <v>62</v>
      </c>
      <c r="E100" s="136">
        <v>14000</v>
      </c>
      <c r="F100" s="28">
        <v>649.02700000000004</v>
      </c>
      <c r="G100" s="28">
        <v>652.94899999999996</v>
      </c>
      <c r="H100" s="121">
        <f t="shared" si="4"/>
        <v>54907.999999998763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C1" zoomScale="85" zoomScaleNormal="85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127</v>
      </c>
      <c r="G3" s="4" t="s">
        <v>128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38" t="s">
        <v>13</v>
      </c>
      <c r="C5" s="138">
        <v>51555166</v>
      </c>
      <c r="D5" s="138" t="s">
        <v>14</v>
      </c>
      <c r="E5" s="138">
        <v>132000</v>
      </c>
      <c r="F5" s="17">
        <v>2.2549999999999999</v>
      </c>
      <c r="G5" s="17">
        <v>2.2749999999999999</v>
      </c>
      <c r="H5" s="18">
        <f>(G5-F5)*E5</f>
        <v>2640.0000000000023</v>
      </c>
      <c r="I5" s="19"/>
      <c r="J5" s="20"/>
    </row>
    <row r="6" spans="1:10" ht="15.75" x14ac:dyDescent="0.25">
      <c r="A6" s="15" t="s">
        <v>15</v>
      </c>
      <c r="B6" s="138" t="s">
        <v>13</v>
      </c>
      <c r="C6" s="138">
        <v>51555191</v>
      </c>
      <c r="D6" s="138" t="s">
        <v>14</v>
      </c>
      <c r="E6" s="138">
        <v>132000</v>
      </c>
      <c r="F6" s="21">
        <v>263.74299999999999</v>
      </c>
      <c r="G6" s="21">
        <v>265.66000000000003</v>
      </c>
      <c r="H6" s="18">
        <f>(G6-F6)*E6</f>
        <v>253044.00000000396</v>
      </c>
      <c r="I6" s="19"/>
      <c r="J6" s="20"/>
    </row>
    <row r="7" spans="1:10" ht="15.75" x14ac:dyDescent="0.25">
      <c r="A7" s="219" t="s">
        <v>16</v>
      </c>
      <c r="B7" s="220"/>
      <c r="C7" s="138"/>
      <c r="D7" s="139"/>
      <c r="E7" s="138"/>
      <c r="H7" s="23">
        <f>H5+H6</f>
        <v>255684.00000000396</v>
      </c>
      <c r="I7" s="24">
        <f>H7-H10-H20</f>
        <v>2136.0000000070941</v>
      </c>
      <c r="J7" s="25">
        <f>I7/H7</f>
        <v>8.3540620453648289E-3</v>
      </c>
    </row>
    <row r="8" spans="1:10" ht="15.75" x14ac:dyDescent="0.25">
      <c r="A8" s="26" t="s">
        <v>17</v>
      </c>
      <c r="B8" s="138" t="s">
        <v>13</v>
      </c>
      <c r="C8" s="138">
        <v>51097629</v>
      </c>
      <c r="D8" s="139" t="s">
        <v>14</v>
      </c>
      <c r="E8" s="138">
        <v>42000</v>
      </c>
      <c r="F8" s="21">
        <v>859.59900000000005</v>
      </c>
      <c r="G8" s="21">
        <v>864.12099999999998</v>
      </c>
      <c r="H8" s="18">
        <f>(G8-F8)*E8</f>
        <v>189923.99999999726</v>
      </c>
      <c r="I8" s="19"/>
      <c r="J8" s="20"/>
    </row>
    <row r="9" spans="1:10" ht="15.75" x14ac:dyDescent="0.25">
      <c r="A9" s="26" t="s">
        <v>18</v>
      </c>
      <c r="B9" s="138" t="s">
        <v>13</v>
      </c>
      <c r="C9" s="138">
        <v>51616820</v>
      </c>
      <c r="D9" s="139" t="s">
        <v>14</v>
      </c>
      <c r="E9" s="138">
        <v>42000</v>
      </c>
      <c r="F9" s="21">
        <v>3.6429999999999998</v>
      </c>
      <c r="G9" s="21">
        <v>3.6659999999999999</v>
      </c>
      <c r="H9" s="18">
        <f>(G9-F9)*E9</f>
        <v>966.00000000000557</v>
      </c>
      <c r="I9" s="19"/>
      <c r="J9" s="20"/>
    </row>
    <row r="10" spans="1:10" ht="15.75" x14ac:dyDescent="0.25">
      <c r="A10" s="219" t="s">
        <v>19</v>
      </c>
      <c r="B10" s="220"/>
      <c r="C10" s="138"/>
      <c r="D10" s="139"/>
      <c r="E10" s="138"/>
      <c r="F10" s="21"/>
      <c r="G10" s="21"/>
      <c r="H10" s="23">
        <f>H8+H9</f>
        <v>190889.99999999726</v>
      </c>
      <c r="I10" s="24">
        <f>H10-H17</f>
        <v>-3.7543941289186478E-9</v>
      </c>
      <c r="J10" s="25">
        <f>I10/H10</f>
        <v>-1.966784079270104E-14</v>
      </c>
    </row>
    <row r="11" spans="1:10" ht="15.75" x14ac:dyDescent="0.25">
      <c r="A11" s="27" t="s">
        <v>20</v>
      </c>
      <c r="B11" s="138" t="s">
        <v>13</v>
      </c>
      <c r="C11" s="138">
        <v>51217286</v>
      </c>
      <c r="D11" s="139" t="s">
        <v>21</v>
      </c>
      <c r="E11" s="138">
        <v>21000</v>
      </c>
      <c r="F11" s="21">
        <v>684.447</v>
      </c>
      <c r="G11" s="21">
        <v>688.17600000000004</v>
      </c>
      <c r="H11" s="18">
        <f t="shared" ref="H11:H16" si="0">(G11-F11)*E11</f>
        <v>78309.000000000873</v>
      </c>
      <c r="I11" s="19"/>
      <c r="J11" s="20"/>
    </row>
    <row r="12" spans="1:10" ht="15.75" x14ac:dyDescent="0.25">
      <c r="A12" s="27" t="s">
        <v>22</v>
      </c>
      <c r="B12" s="138" t="s">
        <v>13</v>
      </c>
      <c r="C12" s="138">
        <v>51217292</v>
      </c>
      <c r="D12" s="139" t="s">
        <v>21</v>
      </c>
      <c r="E12" s="138">
        <v>21000</v>
      </c>
      <c r="F12" s="28">
        <v>2.5750000000000002</v>
      </c>
      <c r="G12" s="28">
        <v>2.5990000000000002</v>
      </c>
      <c r="H12" s="18">
        <f>(G12-F12)*E12</f>
        <v>504.00000000000045</v>
      </c>
      <c r="I12" s="19"/>
      <c r="J12" s="20"/>
    </row>
    <row r="13" spans="1:10" ht="15.75" x14ac:dyDescent="0.25">
      <c r="A13" s="27" t="s">
        <v>23</v>
      </c>
      <c r="B13" s="138" t="s">
        <v>13</v>
      </c>
      <c r="C13" s="138">
        <v>51217271</v>
      </c>
      <c r="D13" s="139" t="s">
        <v>21</v>
      </c>
      <c r="E13" s="138">
        <v>21000</v>
      </c>
      <c r="F13" s="21">
        <v>491.81299999999999</v>
      </c>
      <c r="G13" s="21">
        <v>494.27499999999998</v>
      </c>
      <c r="H13" s="18">
        <f t="shared" si="0"/>
        <v>51701.999999999767</v>
      </c>
      <c r="I13" s="19"/>
      <c r="J13" s="20"/>
    </row>
    <row r="14" spans="1:10" ht="15.75" x14ac:dyDescent="0.25">
      <c r="A14" s="27" t="s">
        <v>24</v>
      </c>
      <c r="B14" s="138" t="s">
        <v>13</v>
      </c>
      <c r="C14" s="138">
        <v>51217276</v>
      </c>
      <c r="D14" s="139" t="s">
        <v>21</v>
      </c>
      <c r="E14" s="138">
        <v>21000</v>
      </c>
      <c r="F14" s="28">
        <v>0.33100000000000002</v>
      </c>
      <c r="G14" s="28">
        <v>0.33800000000000002</v>
      </c>
      <c r="H14" s="18">
        <f>(G14-F14)*E14</f>
        <v>147.00000000000014</v>
      </c>
      <c r="I14" s="19"/>
      <c r="J14" s="20"/>
    </row>
    <row r="15" spans="1:10" ht="15.75" x14ac:dyDescent="0.25">
      <c r="A15" s="27" t="s">
        <v>25</v>
      </c>
      <c r="B15" s="138" t="s">
        <v>13</v>
      </c>
      <c r="C15" s="138">
        <v>51100990</v>
      </c>
      <c r="D15" s="139" t="s">
        <v>21</v>
      </c>
      <c r="E15" s="138">
        <v>21000</v>
      </c>
      <c r="F15" s="29">
        <v>547.45399999999995</v>
      </c>
      <c r="G15" s="29">
        <v>550.30899999999997</v>
      </c>
      <c r="H15" s="18">
        <f t="shared" si="0"/>
        <v>59955.000000000378</v>
      </c>
      <c r="I15" s="19"/>
      <c r="J15" s="20"/>
    </row>
    <row r="16" spans="1:10" ht="15.75" x14ac:dyDescent="0.25">
      <c r="A16" s="27" t="s">
        <v>26</v>
      </c>
      <c r="B16" s="138" t="s">
        <v>13</v>
      </c>
      <c r="C16" s="138">
        <v>51097622</v>
      </c>
      <c r="D16" s="139" t="s">
        <v>21</v>
      </c>
      <c r="E16" s="138">
        <v>21000</v>
      </c>
      <c r="F16" s="21">
        <v>2.3919999999999999</v>
      </c>
      <c r="G16" s="21">
        <v>2.4049999999999998</v>
      </c>
      <c r="H16" s="18">
        <f t="shared" si="0"/>
        <v>272.9999999999979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38"/>
      <c r="D17" s="139"/>
      <c r="E17" s="138"/>
      <c r="F17" s="21"/>
      <c r="G17" s="21"/>
      <c r="H17" s="23">
        <f>H11+H12+H13+H14+H15+H16</f>
        <v>190890.00000000102</v>
      </c>
      <c r="I17" s="19"/>
      <c r="J17" s="20"/>
    </row>
    <row r="18" spans="1:10" ht="15.75" x14ac:dyDescent="0.25">
      <c r="A18" s="26" t="s">
        <v>29</v>
      </c>
      <c r="B18" s="138" t="s">
        <v>13</v>
      </c>
      <c r="C18" s="138">
        <v>51097617</v>
      </c>
      <c r="D18" s="139" t="s">
        <v>30</v>
      </c>
      <c r="E18" s="138">
        <v>18000</v>
      </c>
      <c r="F18" s="30">
        <v>636.76400000000001</v>
      </c>
      <c r="G18" s="30">
        <v>640.18799999999999</v>
      </c>
      <c r="H18" s="18">
        <f>(G18-F18)*E18</f>
        <v>61631.999999999607</v>
      </c>
      <c r="I18" s="19"/>
      <c r="J18" s="20"/>
    </row>
    <row r="19" spans="1:10" ht="15.75" x14ac:dyDescent="0.25">
      <c r="A19" s="26" t="s">
        <v>31</v>
      </c>
      <c r="B19" s="138" t="s">
        <v>13</v>
      </c>
      <c r="C19" s="138">
        <v>51097655</v>
      </c>
      <c r="D19" s="139" t="s">
        <v>30</v>
      </c>
      <c r="E19" s="138">
        <v>18000</v>
      </c>
      <c r="F19" s="30">
        <v>6.07</v>
      </c>
      <c r="G19" s="30">
        <v>6.1269999999999998</v>
      </c>
      <c r="H19" s="18">
        <f>(G19-F19)*E19</f>
        <v>1025.9999999999909</v>
      </c>
      <c r="I19" s="19"/>
      <c r="J19" s="20"/>
    </row>
    <row r="20" spans="1:10" ht="15.75" x14ac:dyDescent="0.25">
      <c r="A20" s="219" t="s">
        <v>32</v>
      </c>
      <c r="B20" s="220"/>
      <c r="C20" s="138"/>
      <c r="D20" s="139"/>
      <c r="E20" s="138"/>
      <c r="F20" s="30"/>
      <c r="G20" s="30"/>
      <c r="H20" s="23">
        <f>H18+H19</f>
        <v>62657.9999999996</v>
      </c>
      <c r="I20" s="24">
        <f>H20-H35</f>
        <v>829.19999999908759</v>
      </c>
      <c r="J20" s="25">
        <f>I20/H20</f>
        <v>1.3233745092391919E-2</v>
      </c>
    </row>
    <row r="21" spans="1:10" ht="15.75" x14ac:dyDescent="0.25">
      <c r="A21" s="15" t="s">
        <v>33</v>
      </c>
      <c r="B21" s="138" t="s">
        <v>13</v>
      </c>
      <c r="C21" s="138">
        <v>51217282</v>
      </c>
      <c r="D21" s="139" t="s">
        <v>34</v>
      </c>
      <c r="E21" s="138">
        <v>4800</v>
      </c>
      <c r="F21" s="21">
        <v>378.36799999999999</v>
      </c>
      <c r="G21" s="21">
        <v>378.36900000000003</v>
      </c>
      <c r="H21" s="18">
        <f t="shared" ref="H21:H34" si="1">(G21-F21)*E21</f>
        <v>4.8000000001593435</v>
      </c>
      <c r="I21" s="19" t="s">
        <v>27</v>
      </c>
      <c r="J21" s="20"/>
    </row>
    <row r="22" spans="1:10" ht="15.75" x14ac:dyDescent="0.25">
      <c r="A22" s="15" t="s">
        <v>35</v>
      </c>
      <c r="B22" s="138" t="s">
        <v>13</v>
      </c>
      <c r="C22" s="138">
        <v>51217274</v>
      </c>
      <c r="D22" s="139" t="s">
        <v>34</v>
      </c>
      <c r="E22" s="138">
        <v>4800</v>
      </c>
      <c r="F22" s="21">
        <v>1010.607</v>
      </c>
      <c r="G22" s="21">
        <v>1016.466</v>
      </c>
      <c r="H22" s="18">
        <f t="shared" si="1"/>
        <v>28123.200000000179</v>
      </c>
      <c r="I22" s="19"/>
      <c r="J22" s="20"/>
    </row>
    <row r="23" spans="1:10" ht="15.75" x14ac:dyDescent="0.25">
      <c r="A23" s="15" t="s">
        <v>36</v>
      </c>
      <c r="B23" s="138" t="s">
        <v>13</v>
      </c>
      <c r="C23" s="138">
        <v>51097664</v>
      </c>
      <c r="D23" s="139" t="s">
        <v>37</v>
      </c>
      <c r="E23" s="138">
        <v>600</v>
      </c>
      <c r="F23" s="21">
        <v>3.7429999999999999</v>
      </c>
      <c r="G23" s="21">
        <v>3.7559999999999998</v>
      </c>
      <c r="H23" s="18">
        <f t="shared" si="1"/>
        <v>7.7999999999999403</v>
      </c>
      <c r="I23" s="19"/>
      <c r="J23" s="20"/>
    </row>
    <row r="24" spans="1:10" ht="15.75" x14ac:dyDescent="0.25">
      <c r="A24" s="15" t="s">
        <v>38</v>
      </c>
      <c r="B24" s="138" t="s">
        <v>13</v>
      </c>
      <c r="C24" s="138">
        <v>51097615</v>
      </c>
      <c r="D24" s="139" t="s">
        <v>37</v>
      </c>
      <c r="E24" s="138">
        <v>600</v>
      </c>
      <c r="F24" s="21">
        <v>23.5</v>
      </c>
      <c r="G24" s="21">
        <v>23.878</v>
      </c>
      <c r="H24" s="18">
        <f t="shared" si="1"/>
        <v>226.80000000000007</v>
      </c>
      <c r="I24" s="19"/>
      <c r="J24" s="20"/>
    </row>
    <row r="25" spans="1:10" ht="15.75" x14ac:dyDescent="0.25">
      <c r="A25" s="15" t="s">
        <v>39</v>
      </c>
      <c r="B25" s="138" t="s">
        <v>13</v>
      </c>
      <c r="C25" s="138">
        <v>51217264</v>
      </c>
      <c r="D25" s="139" t="s">
        <v>37</v>
      </c>
      <c r="E25" s="138">
        <v>600</v>
      </c>
      <c r="F25" s="21">
        <v>64.495000000000005</v>
      </c>
      <c r="G25" s="21">
        <v>65.14</v>
      </c>
      <c r="H25" s="18">
        <f t="shared" si="1"/>
        <v>386.99999999999761</v>
      </c>
      <c r="I25" s="19"/>
      <c r="J25" s="20"/>
    </row>
    <row r="26" spans="1:10" ht="15.75" x14ac:dyDescent="0.25">
      <c r="A26" s="15" t="s">
        <v>40</v>
      </c>
      <c r="B26" s="138" t="s">
        <v>13</v>
      </c>
      <c r="C26" s="138">
        <v>51217288</v>
      </c>
      <c r="D26" s="139" t="s">
        <v>37</v>
      </c>
      <c r="E26" s="138">
        <v>600</v>
      </c>
      <c r="F26" s="21">
        <v>18.73</v>
      </c>
      <c r="G26" s="21">
        <v>18.760999999999999</v>
      </c>
      <c r="H26" s="18">
        <f t="shared" si="1"/>
        <v>18.599999999999284</v>
      </c>
      <c r="I26" s="19" t="s">
        <v>27</v>
      </c>
      <c r="J26" s="20"/>
    </row>
    <row r="27" spans="1:10" ht="15.75" x14ac:dyDescent="0.25">
      <c r="A27" s="15" t="s">
        <v>41</v>
      </c>
      <c r="B27" s="138" t="s">
        <v>13</v>
      </c>
      <c r="C27" s="138">
        <v>51217279</v>
      </c>
      <c r="D27" s="139" t="s">
        <v>37</v>
      </c>
      <c r="E27" s="138">
        <v>600</v>
      </c>
      <c r="F27" s="21">
        <v>12.247</v>
      </c>
      <c r="G27" s="21">
        <v>12.302</v>
      </c>
      <c r="H27" s="18">
        <f t="shared" si="1"/>
        <v>32.999999999999829</v>
      </c>
      <c r="I27" s="19" t="s">
        <v>27</v>
      </c>
      <c r="J27" s="20"/>
    </row>
    <row r="28" spans="1:10" ht="15.75" x14ac:dyDescent="0.25">
      <c r="A28" s="15" t="s">
        <v>42</v>
      </c>
      <c r="B28" s="138" t="s">
        <v>13</v>
      </c>
      <c r="C28" s="138">
        <v>51217272</v>
      </c>
      <c r="D28" s="139" t="s">
        <v>37</v>
      </c>
      <c r="E28" s="138">
        <v>600</v>
      </c>
      <c r="F28" s="31">
        <v>12.015000000000001</v>
      </c>
      <c r="G28" s="31">
        <v>12.069000000000001</v>
      </c>
      <c r="H28" s="18">
        <f t="shared" si="1"/>
        <v>32.400000000000162</v>
      </c>
      <c r="I28" s="19"/>
      <c r="J28" s="20"/>
    </row>
    <row r="29" spans="1:10" ht="15.75" x14ac:dyDescent="0.25">
      <c r="A29" s="15" t="s">
        <v>43</v>
      </c>
      <c r="B29" s="138" t="s">
        <v>13</v>
      </c>
      <c r="C29" s="138">
        <v>51616744</v>
      </c>
      <c r="D29" s="139">
        <f>300/5</f>
        <v>60</v>
      </c>
      <c r="E29" s="138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38" t="s">
        <v>13</v>
      </c>
      <c r="C30" s="138">
        <v>51555226</v>
      </c>
      <c r="D30" s="139">
        <f>300/5</f>
        <v>60</v>
      </c>
      <c r="E30" s="138">
        <v>3600</v>
      </c>
      <c r="F30" s="31">
        <v>282.48599999999999</v>
      </c>
      <c r="G30" s="31">
        <v>286.77</v>
      </c>
      <c r="H30" s="18">
        <f>(G30-F30)*E30</f>
        <v>15422.399999999971</v>
      </c>
      <c r="I30" s="19"/>
      <c r="J30" s="20"/>
    </row>
    <row r="31" spans="1:10" ht="15.75" x14ac:dyDescent="0.25">
      <c r="A31" s="15" t="s">
        <v>45</v>
      </c>
      <c r="B31" s="138" t="s">
        <v>13</v>
      </c>
      <c r="C31" s="138">
        <v>51097658</v>
      </c>
      <c r="D31" s="139" t="s">
        <v>34</v>
      </c>
      <c r="E31" s="138">
        <v>4800</v>
      </c>
      <c r="F31" s="31">
        <v>469.00299999999999</v>
      </c>
      <c r="G31" s="31">
        <v>472.61200000000002</v>
      </c>
      <c r="H31" s="18">
        <f t="shared" si="1"/>
        <v>17323.200000000179</v>
      </c>
      <c r="I31" s="19"/>
      <c r="J31" s="20"/>
    </row>
    <row r="32" spans="1:10" ht="15.75" x14ac:dyDescent="0.25">
      <c r="A32" s="15" t="s">
        <v>46</v>
      </c>
      <c r="B32" s="138" t="s">
        <v>13</v>
      </c>
      <c r="C32" s="138">
        <v>51097635</v>
      </c>
      <c r="D32" s="139" t="s">
        <v>34</v>
      </c>
      <c r="E32" s="138">
        <v>4800</v>
      </c>
      <c r="F32" s="31">
        <v>48.427999999999997</v>
      </c>
      <c r="G32" s="31">
        <v>48.429000000000002</v>
      </c>
      <c r="H32" s="18">
        <f t="shared" si="1"/>
        <v>4.8000000000229193</v>
      </c>
      <c r="I32" s="19"/>
      <c r="J32" s="20"/>
    </row>
    <row r="33" spans="1:10" ht="15.75" x14ac:dyDescent="0.25">
      <c r="A33" s="15" t="s">
        <v>47</v>
      </c>
      <c r="B33" s="138" t="s">
        <v>13</v>
      </c>
      <c r="C33" s="32">
        <v>51097633</v>
      </c>
      <c r="D33" s="139" t="s">
        <v>34</v>
      </c>
      <c r="E33" s="138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38" t="s">
        <v>13</v>
      </c>
      <c r="C34" s="32">
        <v>51097662</v>
      </c>
      <c r="D34" s="139" t="s">
        <v>34</v>
      </c>
      <c r="E34" s="138">
        <v>4800</v>
      </c>
      <c r="F34" s="31">
        <v>0.375</v>
      </c>
      <c r="G34" s="31">
        <v>0.42599999999999999</v>
      </c>
      <c r="H34" s="33">
        <f t="shared" si="1"/>
        <v>244.79999999999995</v>
      </c>
      <c r="I34" s="34"/>
      <c r="J34" s="35"/>
    </row>
    <row r="35" spans="1:10" ht="15.75" x14ac:dyDescent="0.25">
      <c r="A35" s="219" t="s">
        <v>48</v>
      </c>
      <c r="B35" s="220"/>
      <c r="C35" s="138"/>
      <c r="D35" s="139"/>
      <c r="E35" s="138"/>
      <c r="F35" s="36"/>
      <c r="G35" s="36"/>
      <c r="H35" s="23">
        <f>H21+H22+H23+H24+H25+H26+H27+H28+H29+H30+H31+H32+H33+H34</f>
        <v>61828.800000000512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38" t="s">
        <v>51</v>
      </c>
      <c r="C37" s="138">
        <v>51555209</v>
      </c>
      <c r="D37" s="139" t="s">
        <v>52</v>
      </c>
      <c r="E37" s="138">
        <v>7000</v>
      </c>
      <c r="F37" s="17">
        <v>3.2040000000000002</v>
      </c>
      <c r="G37" s="17">
        <v>3.2509999999999999</v>
      </c>
      <c r="H37" s="41">
        <f>(G37-F37)*E37</f>
        <v>328.99999999999795</v>
      </c>
      <c r="I37" s="42"/>
      <c r="J37" s="14"/>
    </row>
    <row r="38" spans="1:10" ht="15.75" x14ac:dyDescent="0.25">
      <c r="A38" s="15" t="s">
        <v>53</v>
      </c>
      <c r="B38" s="138" t="s">
        <v>51</v>
      </c>
      <c r="C38" s="138">
        <v>51555209</v>
      </c>
      <c r="D38" s="139" t="s">
        <v>52</v>
      </c>
      <c r="E38" s="138">
        <v>7000</v>
      </c>
      <c r="F38" s="21">
        <v>8.1329999999999991</v>
      </c>
      <c r="G38" s="21">
        <v>8.1679999999999993</v>
      </c>
      <c r="H38" s="18">
        <f>(G38-F38)*E38</f>
        <v>245.00000000000099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38" t="s">
        <v>51</v>
      </c>
      <c r="C40" s="138">
        <v>51097674</v>
      </c>
      <c r="D40" s="138" t="s">
        <v>14</v>
      </c>
      <c r="E40" s="138">
        <v>7200</v>
      </c>
      <c r="F40" s="21">
        <v>462.87099999999998</v>
      </c>
      <c r="G40" s="21">
        <v>465.43599999999998</v>
      </c>
      <c r="H40" s="18">
        <f>(G40-F40)*E40</f>
        <v>18467.999999999985</v>
      </c>
      <c r="I40" s="47"/>
      <c r="J40" s="20"/>
    </row>
    <row r="41" spans="1:10" ht="15.75" x14ac:dyDescent="0.25">
      <c r="A41" s="27" t="s">
        <v>56</v>
      </c>
      <c r="B41" s="138" t="s">
        <v>51</v>
      </c>
      <c r="C41" s="138">
        <v>51259257</v>
      </c>
      <c r="D41" s="138" t="s">
        <v>14</v>
      </c>
      <c r="E41" s="138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38"/>
      <c r="C42" s="138"/>
      <c r="D42" s="138"/>
      <c r="E42" s="138"/>
      <c r="F42" s="21"/>
      <c r="G42" s="21"/>
      <c r="H42" s="48">
        <f>H40+H41</f>
        <v>18467.999999999985</v>
      </c>
      <c r="I42" s="24">
        <f>H42-H50</f>
        <v>-118.40000000008877</v>
      </c>
      <c r="J42" s="25">
        <f>I42/H42</f>
        <v>-6.4110894520299361E-3</v>
      </c>
    </row>
    <row r="43" spans="1:10" ht="15.75" x14ac:dyDescent="0.25">
      <c r="A43" s="15" t="s">
        <v>58</v>
      </c>
      <c r="B43" s="138"/>
      <c r="C43" s="138"/>
      <c r="D43" s="139"/>
      <c r="E43" s="138"/>
      <c r="H43" s="18"/>
      <c r="I43" s="43"/>
      <c r="J43" s="20"/>
    </row>
    <row r="44" spans="1:10" ht="15.75" x14ac:dyDescent="0.25">
      <c r="A44" s="27" t="s">
        <v>59</v>
      </c>
      <c r="B44" s="138" t="s">
        <v>51</v>
      </c>
      <c r="C44" s="32">
        <v>51097648</v>
      </c>
      <c r="D44" s="138" t="s">
        <v>52</v>
      </c>
      <c r="E44" s="138">
        <v>1200</v>
      </c>
      <c r="F44" s="21">
        <v>378.14400000000001</v>
      </c>
      <c r="G44" s="21">
        <v>380.25900000000001</v>
      </c>
      <c r="H44" s="33">
        <f>(G44-F44)*E44</f>
        <v>2538.0000000000109</v>
      </c>
      <c r="I44" s="43"/>
      <c r="J44" s="20"/>
    </row>
    <row r="45" spans="1:10" ht="15.75" x14ac:dyDescent="0.25">
      <c r="A45" s="27" t="s">
        <v>60</v>
      </c>
      <c r="B45" s="138" t="s">
        <v>51</v>
      </c>
      <c r="C45" s="32">
        <v>50555043</v>
      </c>
      <c r="D45" s="138" t="s">
        <v>52</v>
      </c>
      <c r="E45" s="138">
        <v>1200</v>
      </c>
      <c r="F45" s="21">
        <v>1590.8789999999999</v>
      </c>
      <c r="G45" s="21">
        <v>1599.278</v>
      </c>
      <c r="H45" s="33">
        <f>(G45-F45)*E45</f>
        <v>10078.800000000138</v>
      </c>
      <c r="I45" s="43"/>
      <c r="J45" s="20"/>
    </row>
    <row r="46" spans="1:10" ht="15.75" x14ac:dyDescent="0.25">
      <c r="A46" s="27" t="s">
        <v>61</v>
      </c>
      <c r="B46" s="138" t="s">
        <v>51</v>
      </c>
      <c r="C46" s="32">
        <v>51259336</v>
      </c>
      <c r="D46" s="138" t="s">
        <v>62</v>
      </c>
      <c r="E46" s="138">
        <v>2400</v>
      </c>
      <c r="F46" s="21">
        <v>3.3980000000000001</v>
      </c>
      <c r="G46" s="21">
        <v>3.4119999999999999</v>
      </c>
      <c r="H46" s="33">
        <f>(G46-F46)*E46</f>
        <v>33.599999999999497</v>
      </c>
      <c r="I46" s="43"/>
      <c r="J46" s="20"/>
    </row>
    <row r="47" spans="1:10" ht="15.75" x14ac:dyDescent="0.25">
      <c r="A47" s="27" t="s">
        <v>63</v>
      </c>
      <c r="B47" s="138" t="s">
        <v>51</v>
      </c>
      <c r="C47" s="32">
        <v>51259266</v>
      </c>
      <c r="D47" s="138" t="s">
        <v>52</v>
      </c>
      <c r="E47" s="138">
        <v>1200</v>
      </c>
      <c r="F47" s="21">
        <v>768.66800000000001</v>
      </c>
      <c r="G47" s="21">
        <v>773.26199999999994</v>
      </c>
      <c r="H47" s="33">
        <f>(G47-F47)*E47</f>
        <v>5512.7999999999247</v>
      </c>
      <c r="I47" s="43"/>
      <c r="J47" s="20"/>
    </row>
    <row r="48" spans="1:10" ht="15.75" x14ac:dyDescent="0.25">
      <c r="A48" s="27" t="s">
        <v>64</v>
      </c>
      <c r="B48" s="138" t="s">
        <v>51</v>
      </c>
      <c r="C48" s="32">
        <v>51431336</v>
      </c>
      <c r="D48" s="138" t="s">
        <v>52</v>
      </c>
      <c r="E48" s="138">
        <v>1200</v>
      </c>
      <c r="F48" s="21">
        <v>40.018000000000001</v>
      </c>
      <c r="G48" s="21">
        <v>40.329000000000001</v>
      </c>
      <c r="H48" s="33">
        <f>(G48-F48)*E48</f>
        <v>373.19999999999993</v>
      </c>
      <c r="I48" s="43"/>
      <c r="J48" s="20"/>
    </row>
    <row r="49" spans="1:10" ht="15.75" x14ac:dyDescent="0.25">
      <c r="A49" s="15" t="s">
        <v>65</v>
      </c>
      <c r="B49" s="138" t="s">
        <v>66</v>
      </c>
      <c r="C49" s="138">
        <v>49174</v>
      </c>
      <c r="D49" s="139" t="s">
        <v>52</v>
      </c>
      <c r="E49" s="138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18586.400000000074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38" t="s">
        <v>51</v>
      </c>
      <c r="C52" s="138">
        <v>51097603</v>
      </c>
      <c r="D52" s="139" t="s">
        <v>52</v>
      </c>
      <c r="E52" s="138">
        <v>7000</v>
      </c>
      <c r="F52" s="17">
        <v>1534.5260000000001</v>
      </c>
      <c r="G52" s="17">
        <v>1542.85</v>
      </c>
      <c r="H52" s="18">
        <f>(G52-F52)*E52</f>
        <v>58267.999999998894</v>
      </c>
      <c r="I52" s="43"/>
      <c r="J52" s="20"/>
    </row>
    <row r="53" spans="1:10" ht="15.75" x14ac:dyDescent="0.25">
      <c r="A53" s="27" t="s">
        <v>71</v>
      </c>
      <c r="B53" s="138" t="s">
        <v>51</v>
      </c>
      <c r="C53" s="138">
        <v>51097590</v>
      </c>
      <c r="D53" s="139" t="s">
        <v>52</v>
      </c>
      <c r="E53" s="138">
        <v>7000</v>
      </c>
      <c r="F53" s="21">
        <v>8.7070000000000007</v>
      </c>
      <c r="G53" s="21">
        <v>8.7780000000000005</v>
      </c>
      <c r="H53" s="18">
        <f>(G53-F53)*E53</f>
        <v>496.99999999999812</v>
      </c>
      <c r="I53" s="43"/>
      <c r="J53" s="20"/>
    </row>
    <row r="54" spans="1:10" ht="15.75" x14ac:dyDescent="0.25">
      <c r="A54" s="15" t="s">
        <v>65</v>
      </c>
      <c r="B54" s="138" t="s">
        <v>66</v>
      </c>
      <c r="C54" s="138">
        <v>49174</v>
      </c>
      <c r="D54" s="139" t="s">
        <v>52</v>
      </c>
      <c r="E54" s="138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38"/>
      <c r="D55" s="139"/>
      <c r="E55" s="138"/>
      <c r="F55" s="21"/>
      <c r="G55" s="21"/>
      <c r="H55" s="48">
        <f>H52+H53+H54</f>
        <v>58864.999999998894</v>
      </c>
      <c r="I55" s="47"/>
      <c r="J55" s="59"/>
    </row>
    <row r="56" spans="1:10" ht="15.75" x14ac:dyDescent="0.25">
      <c r="A56" s="27" t="s">
        <v>73</v>
      </c>
      <c r="B56" s="138" t="s">
        <v>51</v>
      </c>
      <c r="C56" s="138">
        <v>51100980</v>
      </c>
      <c r="D56" s="138" t="s">
        <v>74</v>
      </c>
      <c r="E56" s="138">
        <v>12000</v>
      </c>
      <c r="F56" s="21">
        <v>902.39499999999998</v>
      </c>
      <c r="G56" s="21">
        <v>907.29700000000003</v>
      </c>
      <c r="H56" s="18">
        <f>(G56-F56)*E56</f>
        <v>58824.000000000524</v>
      </c>
      <c r="I56" s="47"/>
      <c r="J56" s="58"/>
    </row>
    <row r="57" spans="1:10" ht="15.75" x14ac:dyDescent="0.25">
      <c r="A57" s="27" t="s">
        <v>75</v>
      </c>
      <c r="B57" s="138" t="s">
        <v>51</v>
      </c>
      <c r="C57" s="138">
        <v>51097623</v>
      </c>
      <c r="D57" s="138" t="s">
        <v>74</v>
      </c>
      <c r="E57" s="138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38"/>
      <c r="C58" s="138"/>
      <c r="D58" s="138"/>
      <c r="E58" s="138"/>
      <c r="F58" s="21"/>
      <c r="G58" s="21"/>
      <c r="H58" s="48">
        <f>H56+H57</f>
        <v>58824.000000000524</v>
      </c>
      <c r="I58" s="61">
        <f>H55-H65-H54</f>
        <v>-195.80000000054133</v>
      </c>
      <c r="J58" s="25">
        <f>I58/H58</f>
        <v>-3.3285733714222016E-3</v>
      </c>
    </row>
    <row r="59" spans="1:10" ht="15.75" x14ac:dyDescent="0.25">
      <c r="A59" s="27" t="s">
        <v>77</v>
      </c>
      <c r="B59" s="138" t="s">
        <v>51</v>
      </c>
      <c r="C59" s="138">
        <v>51097675</v>
      </c>
      <c r="D59" s="138" t="s">
        <v>34</v>
      </c>
      <c r="E59" s="138">
        <v>4800</v>
      </c>
      <c r="F59" s="21">
        <v>340.43400000000003</v>
      </c>
      <c r="G59" s="21">
        <v>343.47399999999999</v>
      </c>
      <c r="H59" s="18">
        <f t="shared" ref="H59:H64" si="2">(G59-F59)*E59</f>
        <v>14591.999999999825</v>
      </c>
      <c r="I59" s="62"/>
      <c r="J59" s="59"/>
    </row>
    <row r="60" spans="1:10" ht="15.75" x14ac:dyDescent="0.25">
      <c r="A60" s="27" t="s">
        <v>78</v>
      </c>
      <c r="B60" s="138" t="s">
        <v>51</v>
      </c>
      <c r="C60" s="138">
        <v>51100997</v>
      </c>
      <c r="D60" s="138" t="s">
        <v>21</v>
      </c>
      <c r="E60" s="138">
        <v>3600</v>
      </c>
      <c r="F60" s="21">
        <v>1165.6110000000001</v>
      </c>
      <c r="G60" s="21">
        <v>1171.1189999999999</v>
      </c>
      <c r="H60" s="18">
        <f t="shared" si="2"/>
        <v>19828.799999999319</v>
      </c>
      <c r="I60" s="62"/>
      <c r="J60" s="59"/>
    </row>
    <row r="61" spans="1:10" ht="15.75" x14ac:dyDescent="0.25">
      <c r="A61" s="27" t="s">
        <v>79</v>
      </c>
      <c r="B61" s="138" t="s">
        <v>51</v>
      </c>
      <c r="C61" s="138">
        <v>51555218</v>
      </c>
      <c r="D61" s="138">
        <f>400/5</f>
        <v>80</v>
      </c>
      <c r="E61" s="138">
        <v>4800</v>
      </c>
      <c r="F61" s="21">
        <v>37.235999999999997</v>
      </c>
      <c r="G61" s="21">
        <v>37.713999999999999</v>
      </c>
      <c r="H61" s="18">
        <f t="shared" si="2"/>
        <v>2294.4000000000074</v>
      </c>
      <c r="I61" s="62"/>
      <c r="J61" s="59"/>
    </row>
    <row r="62" spans="1:10" ht="15.75" x14ac:dyDescent="0.25">
      <c r="A62" s="27" t="s">
        <v>80</v>
      </c>
      <c r="B62" s="138" t="s">
        <v>51</v>
      </c>
      <c r="C62" s="138">
        <v>51555151</v>
      </c>
      <c r="D62" s="138">
        <f>400/5</f>
        <v>80</v>
      </c>
      <c r="E62" s="138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38" t="s">
        <v>51</v>
      </c>
      <c r="C63" s="138">
        <v>51097599</v>
      </c>
      <c r="D63" s="138" t="s">
        <v>21</v>
      </c>
      <c r="E63" s="138">
        <v>3600</v>
      </c>
      <c r="F63" s="21">
        <v>825.22799999999995</v>
      </c>
      <c r="G63" s="21">
        <v>828.20600000000002</v>
      </c>
      <c r="H63" s="18">
        <f t="shared" si="2"/>
        <v>10720.800000000236</v>
      </c>
      <c r="I63" s="62"/>
      <c r="J63" s="59"/>
    </row>
    <row r="64" spans="1:10" ht="15.75" x14ac:dyDescent="0.25">
      <c r="A64" s="27" t="s">
        <v>82</v>
      </c>
      <c r="B64" s="138" t="s">
        <v>51</v>
      </c>
      <c r="C64" s="138">
        <v>51097620</v>
      </c>
      <c r="D64" s="138" t="s">
        <v>34</v>
      </c>
      <c r="E64" s="138">
        <v>4800</v>
      </c>
      <c r="F64" s="21">
        <v>373.63299999999998</v>
      </c>
      <c r="G64" s="21">
        <v>376.03399999999999</v>
      </c>
      <c r="H64" s="18">
        <f t="shared" si="2"/>
        <v>11524.80000000005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58960.799999999435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38" t="s">
        <v>51</v>
      </c>
      <c r="C67" s="9">
        <v>51259238</v>
      </c>
      <c r="D67" s="74" t="s">
        <v>52</v>
      </c>
      <c r="E67" s="74">
        <v>7000</v>
      </c>
      <c r="F67" s="75">
        <v>409.40600000000001</v>
      </c>
      <c r="G67" s="75">
        <v>412.05799999999999</v>
      </c>
      <c r="H67" s="76">
        <f>(G67-F67)*E67</f>
        <v>18563.999999999909</v>
      </c>
      <c r="I67" s="77"/>
      <c r="J67" s="78"/>
    </row>
    <row r="68" spans="1:10" ht="15.75" x14ac:dyDescent="0.25">
      <c r="A68" s="27" t="s">
        <v>85</v>
      </c>
      <c r="B68" s="138" t="s">
        <v>51</v>
      </c>
      <c r="C68" s="138">
        <v>51259324</v>
      </c>
      <c r="D68" s="139" t="s">
        <v>52</v>
      </c>
      <c r="E68" s="139">
        <v>7000</v>
      </c>
      <c r="F68" s="21">
        <v>314.74700000000001</v>
      </c>
      <c r="G68" s="21">
        <v>316.91199999999998</v>
      </c>
      <c r="H68" s="18">
        <f>(G68-F68)*E68</f>
        <v>15154.999999999745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38">
        <v>51491618</v>
      </c>
      <c r="D69" s="139" t="s">
        <v>62</v>
      </c>
      <c r="E69" s="138">
        <v>40</v>
      </c>
      <c r="F69" s="28">
        <v>686.71900000000005</v>
      </c>
      <c r="G69" s="28">
        <v>696.44399999999996</v>
      </c>
      <c r="H69" s="18">
        <f>(G69-F69)*E69</f>
        <v>388.99999999999636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38">
        <v>51491624</v>
      </c>
      <c r="D70" s="139" t="s">
        <v>62</v>
      </c>
      <c r="E70" s="138">
        <v>40</v>
      </c>
      <c r="F70" s="28">
        <v>99.507000000000005</v>
      </c>
      <c r="G70" s="28">
        <v>100.34099999999999</v>
      </c>
      <c r="H70" s="18">
        <f>(G70-F70)*E70</f>
        <v>33.359999999999559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33718.999999999651</v>
      </c>
      <c r="I71" s="85">
        <f>H71-H74-H69-H70</f>
        <v>-1023.3600000005052</v>
      </c>
      <c r="J71" s="25">
        <f>I71/H71</f>
        <v>-3.0349654497479634E-2</v>
      </c>
    </row>
    <row r="72" spans="1:10" ht="15.75" x14ac:dyDescent="0.25">
      <c r="A72" s="27" t="s">
        <v>90</v>
      </c>
      <c r="B72" s="138" t="s">
        <v>51</v>
      </c>
      <c r="C72" s="86">
        <v>51097588</v>
      </c>
      <c r="D72" s="139" t="s">
        <v>74</v>
      </c>
      <c r="E72" s="138">
        <v>12000</v>
      </c>
      <c r="F72" s="21">
        <v>248.56800000000001</v>
      </c>
      <c r="G72" s="21">
        <v>250.11500000000001</v>
      </c>
      <c r="H72" s="18">
        <f>(G72-F72)*E72</f>
        <v>18563.999999999964</v>
      </c>
      <c r="I72" s="51"/>
      <c r="J72" s="58"/>
    </row>
    <row r="73" spans="1:10" ht="15.75" x14ac:dyDescent="0.25">
      <c r="A73" s="27" t="s">
        <v>91</v>
      </c>
      <c r="B73" s="138" t="s">
        <v>51</v>
      </c>
      <c r="C73" s="86">
        <v>51431335</v>
      </c>
      <c r="D73" s="139" t="s">
        <v>74</v>
      </c>
      <c r="E73" s="138">
        <v>12000</v>
      </c>
      <c r="F73" s="21">
        <v>193.57499999999999</v>
      </c>
      <c r="G73" s="21">
        <v>194.88800000000001</v>
      </c>
      <c r="H73" s="18">
        <f>(G73-F73)*E73</f>
        <v>15756.0000000002</v>
      </c>
      <c r="I73" s="51"/>
      <c r="J73" s="58"/>
    </row>
    <row r="74" spans="1:10" ht="15.75" x14ac:dyDescent="0.25">
      <c r="A74" s="87" t="s">
        <v>92</v>
      </c>
      <c r="B74" s="138" t="s">
        <v>27</v>
      </c>
      <c r="C74" s="138"/>
      <c r="D74" s="139"/>
      <c r="E74" s="138"/>
      <c r="F74" s="21"/>
      <c r="G74" s="21"/>
      <c r="H74" s="48">
        <f>H72+ H73</f>
        <v>34320.00000000016</v>
      </c>
      <c r="I74" s="85">
        <f>H74-H82</f>
        <v>-62.999999999912689</v>
      </c>
      <c r="J74" s="25">
        <f>I74/H74</f>
        <v>-1.835664335661783E-3</v>
      </c>
    </row>
    <row r="75" spans="1:10" ht="15.75" x14ac:dyDescent="0.25">
      <c r="A75" s="27" t="s">
        <v>93</v>
      </c>
      <c r="B75" s="138" t="s">
        <v>51</v>
      </c>
      <c r="C75" s="86">
        <v>51097676</v>
      </c>
      <c r="D75" s="88" t="s">
        <v>62</v>
      </c>
      <c r="E75" s="138">
        <v>2400</v>
      </c>
      <c r="F75" s="21">
        <v>493.6</v>
      </c>
      <c r="G75" s="21">
        <v>497.22199999999998</v>
      </c>
      <c r="H75" s="18">
        <f>(G75-F75)*E75</f>
        <v>8692.7999999998974</v>
      </c>
      <c r="I75" s="51"/>
      <c r="J75" s="58"/>
    </row>
    <row r="76" spans="1:10" ht="15.75" x14ac:dyDescent="0.25">
      <c r="A76" s="27" t="s">
        <v>94</v>
      </c>
      <c r="B76" s="138" t="s">
        <v>51</v>
      </c>
      <c r="C76" s="86">
        <v>51431355</v>
      </c>
      <c r="D76" s="139" t="s">
        <v>21</v>
      </c>
      <c r="E76" s="139">
        <v>3600</v>
      </c>
      <c r="F76" s="21">
        <v>294.50700000000001</v>
      </c>
      <c r="G76" s="21">
        <v>295.85700000000003</v>
      </c>
      <c r="H76" s="18">
        <f>(G76-F76)*E76</f>
        <v>4860.0000000000819</v>
      </c>
      <c r="I76" s="51"/>
      <c r="J76" s="52"/>
    </row>
    <row r="77" spans="1:10" ht="15.75" x14ac:dyDescent="0.25">
      <c r="A77" s="27" t="s">
        <v>95</v>
      </c>
      <c r="B77" s="138" t="s">
        <v>51</v>
      </c>
      <c r="C77" s="86">
        <v>51259331</v>
      </c>
      <c r="D77" s="88" t="s">
        <v>37</v>
      </c>
      <c r="E77" s="138">
        <v>600</v>
      </c>
      <c r="F77" s="21">
        <v>111.80800000000001</v>
      </c>
      <c r="G77" s="21">
        <v>113.633</v>
      </c>
      <c r="H77" s="18">
        <f>(G77-F77)*E77</f>
        <v>1094.9999999999932</v>
      </c>
      <c r="I77" s="51"/>
      <c r="J77" s="52"/>
    </row>
    <row r="78" spans="1:10" ht="15.75" x14ac:dyDescent="0.25">
      <c r="A78" s="27" t="s">
        <v>96</v>
      </c>
      <c r="B78" s="138" t="s">
        <v>51</v>
      </c>
      <c r="C78" s="86">
        <v>51259326</v>
      </c>
      <c r="D78" s="88" t="s">
        <v>14</v>
      </c>
      <c r="E78" s="138">
        <v>7200</v>
      </c>
      <c r="F78" s="21">
        <v>253.99199999999999</v>
      </c>
      <c r="G78" s="21">
        <v>255.37299999999999</v>
      </c>
      <c r="H78" s="18">
        <f>(G78-F78)*E78</f>
        <v>9943.2000000000007</v>
      </c>
      <c r="I78" s="51"/>
      <c r="J78" s="52"/>
    </row>
    <row r="79" spans="1:10" ht="15.75" x14ac:dyDescent="0.25">
      <c r="A79" s="27" t="s">
        <v>97</v>
      </c>
      <c r="B79" s="138" t="s">
        <v>51</v>
      </c>
      <c r="C79" s="86">
        <v>51431351</v>
      </c>
      <c r="D79" s="88" t="s">
        <v>14</v>
      </c>
      <c r="E79" s="138">
        <v>7200</v>
      </c>
      <c r="F79" s="21">
        <v>163.107</v>
      </c>
      <c r="G79" s="21">
        <v>164.46700000000001</v>
      </c>
      <c r="H79" s="18">
        <f>(G79-F79)*E79</f>
        <v>9792.0000000000982</v>
      </c>
      <c r="I79" s="51"/>
      <c r="J79" s="52"/>
    </row>
    <row r="80" spans="1:10" ht="15.75" x14ac:dyDescent="0.25">
      <c r="A80" s="89" t="s">
        <v>98</v>
      </c>
      <c r="B80" s="138" t="s">
        <v>51</v>
      </c>
      <c r="C80" s="90">
        <v>51097666</v>
      </c>
      <c r="D80" s="88" t="s">
        <v>62</v>
      </c>
      <c r="E80" s="138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38" t="s">
        <v>51</v>
      </c>
      <c r="C81" s="90">
        <v>51259323</v>
      </c>
      <c r="D81" s="88" t="s">
        <v>62</v>
      </c>
      <c r="E81" s="138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34383.000000000073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38" t="s">
        <v>51</v>
      </c>
      <c r="C84" s="106">
        <v>51431297</v>
      </c>
      <c r="D84" s="139" t="s">
        <v>52</v>
      </c>
      <c r="E84" s="100">
        <v>7000</v>
      </c>
      <c r="F84" s="17">
        <v>195.34399999999999</v>
      </c>
      <c r="G84" s="17">
        <v>196.15199999999999</v>
      </c>
      <c r="H84" s="18">
        <f>(G84-F84)*E84</f>
        <v>5655.9999999999491</v>
      </c>
      <c r="I84" s="107"/>
      <c r="J84" s="108"/>
    </row>
    <row r="85" spans="1:10" ht="15.75" x14ac:dyDescent="0.25">
      <c r="A85" s="105" t="s">
        <v>85</v>
      </c>
      <c r="B85" s="138" t="s">
        <v>51</v>
      </c>
      <c r="C85" s="106">
        <v>51431332</v>
      </c>
      <c r="D85" s="139" t="s">
        <v>52</v>
      </c>
      <c r="E85" s="100">
        <v>7000</v>
      </c>
      <c r="F85" s="21">
        <v>301.02499999999998</v>
      </c>
      <c r="G85" s="21">
        <v>302.75900000000001</v>
      </c>
      <c r="H85" s="18">
        <f>(G85-F85)*E85</f>
        <v>12138.000000000262</v>
      </c>
      <c r="I85" s="138"/>
      <c r="J85" s="58"/>
    </row>
    <row r="86" spans="1:10" ht="15.75" x14ac:dyDescent="0.25">
      <c r="A86" s="27" t="s">
        <v>86</v>
      </c>
      <c r="B86" s="138" t="s">
        <v>102</v>
      </c>
      <c r="C86" s="109">
        <v>150773</v>
      </c>
      <c r="D86" s="139" t="s">
        <v>52</v>
      </c>
      <c r="E86" s="109">
        <v>20</v>
      </c>
      <c r="F86" s="17">
        <v>15221.9</v>
      </c>
      <c r="G86" s="17">
        <v>15229.4</v>
      </c>
      <c r="H86" s="18">
        <f>(G86-F86)*E86</f>
        <v>150</v>
      </c>
      <c r="I86" s="51"/>
      <c r="J86" s="58"/>
    </row>
    <row r="87" spans="1:10" ht="15.75" x14ac:dyDescent="0.25">
      <c r="A87" s="27" t="s">
        <v>88</v>
      </c>
      <c r="B87" s="138" t="s">
        <v>102</v>
      </c>
      <c r="C87" s="109">
        <v>150791</v>
      </c>
      <c r="D87" s="139" t="s">
        <v>52</v>
      </c>
      <c r="E87" s="109">
        <v>20</v>
      </c>
      <c r="F87" s="21">
        <v>231.4</v>
      </c>
      <c r="G87" s="21">
        <v>231.4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40"/>
      <c r="C88" s="32"/>
      <c r="D88" s="82"/>
      <c r="E88" s="82"/>
      <c r="F88" s="21"/>
      <c r="G88" s="21"/>
      <c r="H88" s="48">
        <f>H84+H85</f>
        <v>17794.000000000211</v>
      </c>
      <c r="I88" s="85">
        <f>H88-H91-H86-H87</f>
        <v>426.40000000026339</v>
      </c>
      <c r="J88" s="25">
        <f>I88/H88</f>
        <v>2.3963133640567513E-2</v>
      </c>
    </row>
    <row r="89" spans="1:10" ht="15.75" x14ac:dyDescent="0.25">
      <c r="A89" s="27" t="s">
        <v>103</v>
      </c>
      <c r="B89" s="138" t="s">
        <v>51</v>
      </c>
      <c r="C89" s="106">
        <v>51431342</v>
      </c>
      <c r="D89" s="88" t="s">
        <v>34</v>
      </c>
      <c r="E89" s="138">
        <v>4800</v>
      </c>
      <c r="F89" s="21">
        <v>275.95100000000002</v>
      </c>
      <c r="G89" s="21">
        <v>277.09199999999998</v>
      </c>
      <c r="H89" s="18">
        <f>(G89-F89)*E89</f>
        <v>5476.799999999821</v>
      </c>
      <c r="I89" s="51"/>
      <c r="J89" s="52"/>
    </row>
    <row r="90" spans="1:10" ht="15.75" x14ac:dyDescent="0.25">
      <c r="A90" s="27" t="s">
        <v>104</v>
      </c>
      <c r="B90" s="138" t="s">
        <v>51</v>
      </c>
      <c r="C90" s="106">
        <v>51431343</v>
      </c>
      <c r="D90" s="88" t="s">
        <v>34</v>
      </c>
      <c r="E90" s="138">
        <v>4800</v>
      </c>
      <c r="F90" s="21">
        <v>427.29199999999997</v>
      </c>
      <c r="G90" s="21">
        <v>429.738</v>
      </c>
      <c r="H90" s="18">
        <f>(G90-F90)*E90</f>
        <v>11740.800000000127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17217.599999999948</v>
      </c>
      <c r="I91" s="85">
        <f>H91-H99</f>
        <v>-120.60000000011496</v>
      </c>
      <c r="J91" s="25">
        <f>I91/H91</f>
        <v>-7.004460552000007E-3</v>
      </c>
    </row>
    <row r="92" spans="1:10" ht="15.75" x14ac:dyDescent="0.25">
      <c r="A92" s="27" t="s">
        <v>106</v>
      </c>
      <c r="B92" s="138" t="s">
        <v>51</v>
      </c>
      <c r="C92" s="106">
        <v>51431347</v>
      </c>
      <c r="D92" s="139" t="s">
        <v>52</v>
      </c>
      <c r="E92" s="138">
        <v>1200</v>
      </c>
      <c r="F92" s="21">
        <v>941.12400000000002</v>
      </c>
      <c r="G92" s="21">
        <v>949.48400000000004</v>
      </c>
      <c r="H92" s="18">
        <f t="shared" ref="H92:H100" si="4">(G92-F92)*E92</f>
        <v>10032.000000000016</v>
      </c>
      <c r="I92" s="51"/>
      <c r="J92" s="52"/>
    </row>
    <row r="93" spans="1:10" ht="15.75" x14ac:dyDescent="0.25">
      <c r="A93" s="27" t="s">
        <v>107</v>
      </c>
      <c r="B93" s="138" t="s">
        <v>51</v>
      </c>
      <c r="C93" s="106">
        <v>51431339</v>
      </c>
      <c r="D93" s="139" t="s">
        <v>52</v>
      </c>
      <c r="E93" s="138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38" t="s">
        <v>51</v>
      </c>
      <c r="C94" s="106">
        <v>51217244</v>
      </c>
      <c r="D94" s="138" t="s">
        <v>37</v>
      </c>
      <c r="E94" s="138">
        <v>600</v>
      </c>
      <c r="F94" s="30">
        <v>240.477</v>
      </c>
      <c r="G94" s="30">
        <v>243.22</v>
      </c>
      <c r="H94" s="18">
        <f t="shared" si="4"/>
        <v>1645.799999999997</v>
      </c>
      <c r="I94" s="51"/>
      <c r="J94" s="52"/>
    </row>
    <row r="95" spans="1:10" ht="15.75" x14ac:dyDescent="0.25">
      <c r="A95" s="27" t="s">
        <v>109</v>
      </c>
      <c r="B95" s="138" t="s">
        <v>51</v>
      </c>
      <c r="C95" s="106">
        <v>51217267</v>
      </c>
      <c r="D95" s="88" t="s">
        <v>62</v>
      </c>
      <c r="E95" s="138">
        <v>2400</v>
      </c>
      <c r="F95" s="30">
        <v>18.59</v>
      </c>
      <c r="G95" s="30">
        <v>18.623000000000001</v>
      </c>
      <c r="H95" s="18">
        <f t="shared" si="4"/>
        <v>79.200000000003001</v>
      </c>
      <c r="I95" s="51"/>
      <c r="J95" s="52"/>
    </row>
    <row r="96" spans="1:10" ht="15.75" x14ac:dyDescent="0.25">
      <c r="A96" s="27" t="s">
        <v>110</v>
      </c>
      <c r="B96" s="138" t="s">
        <v>51</v>
      </c>
      <c r="C96" s="138">
        <v>51555165</v>
      </c>
      <c r="D96" s="139" t="s">
        <v>52</v>
      </c>
      <c r="E96" s="138">
        <v>1200</v>
      </c>
      <c r="F96" s="30">
        <v>649.726</v>
      </c>
      <c r="G96" s="30">
        <v>649.726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138" t="s">
        <v>51</v>
      </c>
      <c r="C97" s="106">
        <v>51431346</v>
      </c>
      <c r="D97" s="114" t="s">
        <v>37</v>
      </c>
      <c r="E97" s="114">
        <v>600</v>
      </c>
      <c r="F97" s="30">
        <v>278.89499999999998</v>
      </c>
      <c r="G97" s="30">
        <v>279.25900000000001</v>
      </c>
      <c r="H97" s="115">
        <f t="shared" si="4"/>
        <v>218.40000000001965</v>
      </c>
      <c r="I97" s="116"/>
      <c r="J97" s="117"/>
    </row>
    <row r="98" spans="1:10" ht="15.75" x14ac:dyDescent="0.25">
      <c r="A98" s="27" t="s">
        <v>112</v>
      </c>
      <c r="B98" s="138" t="s">
        <v>51</v>
      </c>
      <c r="C98" s="106">
        <v>51431352</v>
      </c>
      <c r="D98" s="88" t="s">
        <v>21</v>
      </c>
      <c r="E98" s="138">
        <v>3600</v>
      </c>
      <c r="F98" s="21">
        <v>145.589</v>
      </c>
      <c r="G98" s="21">
        <v>147.03700000000001</v>
      </c>
      <c r="H98" s="18">
        <f t="shared" si="4"/>
        <v>5212.8000000000266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17338.200000000063</v>
      </c>
      <c r="I99" s="51"/>
      <c r="J99" s="52"/>
    </row>
    <row r="100" spans="1:10" ht="15.75" x14ac:dyDescent="0.25">
      <c r="A100" s="45" t="s">
        <v>113</v>
      </c>
      <c r="B100" s="138" t="s">
        <v>51</v>
      </c>
      <c r="C100" s="120">
        <v>51431357</v>
      </c>
      <c r="D100" s="139" t="s">
        <v>62</v>
      </c>
      <c r="E100" s="139">
        <v>14000</v>
      </c>
      <c r="F100" s="28">
        <v>652.94899999999996</v>
      </c>
      <c r="G100" s="28">
        <v>656.88400000000001</v>
      </c>
      <c r="H100" s="121">
        <f t="shared" si="4"/>
        <v>55090.000000000829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E1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130</v>
      </c>
      <c r="G3" s="4" t="s">
        <v>129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41" t="s">
        <v>13</v>
      </c>
      <c r="C5" s="141">
        <v>51555166</v>
      </c>
      <c r="D5" s="141" t="s">
        <v>14</v>
      </c>
      <c r="E5" s="141">
        <v>132000</v>
      </c>
      <c r="F5" s="17">
        <v>2.2749999999999999</v>
      </c>
      <c r="G5" s="17">
        <v>2.2869999999999999</v>
      </c>
      <c r="H5" s="18">
        <f>(G5-F5)*E5</f>
        <v>1584.0000000000014</v>
      </c>
      <c r="I5" s="19"/>
      <c r="J5" s="20"/>
    </row>
    <row r="6" spans="1:10" ht="15.75" x14ac:dyDescent="0.25">
      <c r="A6" s="15" t="s">
        <v>15</v>
      </c>
      <c r="B6" s="141" t="s">
        <v>13</v>
      </c>
      <c r="C6" s="141">
        <v>51555191</v>
      </c>
      <c r="D6" s="141" t="s">
        <v>14</v>
      </c>
      <c r="E6" s="141">
        <v>132000</v>
      </c>
      <c r="F6" s="21">
        <v>265.66000000000003</v>
      </c>
      <c r="G6" s="21">
        <v>267.58499999999998</v>
      </c>
      <c r="H6" s="18">
        <f>(G6-F6)*E6</f>
        <v>254099.999999994</v>
      </c>
      <c r="I6" s="19"/>
      <c r="J6" s="20"/>
    </row>
    <row r="7" spans="1:10" ht="15.75" x14ac:dyDescent="0.25">
      <c r="A7" s="219" t="s">
        <v>16</v>
      </c>
      <c r="B7" s="220"/>
      <c r="C7" s="141"/>
      <c r="D7" s="142"/>
      <c r="E7" s="141"/>
      <c r="H7" s="23">
        <f>H5+H6</f>
        <v>255683.999999994</v>
      </c>
      <c r="I7" s="24">
        <f>H7-H10-H20</f>
        <v>2039.9999999906286</v>
      </c>
      <c r="J7" s="25">
        <f>I7/H7</f>
        <v>7.9785985825889631E-3</v>
      </c>
    </row>
    <row r="8" spans="1:10" ht="15.75" x14ac:dyDescent="0.25">
      <c r="A8" s="26" t="s">
        <v>17</v>
      </c>
      <c r="B8" s="141" t="s">
        <v>13</v>
      </c>
      <c r="C8" s="141">
        <v>51097629</v>
      </c>
      <c r="D8" s="142" t="s">
        <v>14</v>
      </c>
      <c r="E8" s="141">
        <v>42000</v>
      </c>
      <c r="F8" s="21">
        <v>864.12099999999998</v>
      </c>
      <c r="G8" s="21">
        <v>868.60400000000004</v>
      </c>
      <c r="H8" s="18">
        <f>(G8-F8)*E8</f>
        <v>188286.00000000256</v>
      </c>
      <c r="I8" s="19"/>
      <c r="J8" s="20"/>
    </row>
    <row r="9" spans="1:10" ht="15.75" x14ac:dyDescent="0.25">
      <c r="A9" s="26" t="s">
        <v>18</v>
      </c>
      <c r="B9" s="141" t="s">
        <v>13</v>
      </c>
      <c r="C9" s="141">
        <v>51616820</v>
      </c>
      <c r="D9" s="142" t="s">
        <v>14</v>
      </c>
      <c r="E9" s="141">
        <v>42000</v>
      </c>
      <c r="F9" s="21">
        <v>3.6659999999999999</v>
      </c>
      <c r="G9" s="21">
        <v>3.69</v>
      </c>
      <c r="H9" s="18">
        <f>(G9-F9)*E9</f>
        <v>1008.0000000000009</v>
      </c>
      <c r="I9" s="19"/>
      <c r="J9" s="20"/>
    </row>
    <row r="10" spans="1:10" ht="15.75" x14ac:dyDescent="0.25">
      <c r="A10" s="219" t="s">
        <v>19</v>
      </c>
      <c r="B10" s="220"/>
      <c r="C10" s="141"/>
      <c r="D10" s="142"/>
      <c r="E10" s="141"/>
      <c r="F10" s="21"/>
      <c r="G10" s="21"/>
      <c r="H10" s="23">
        <f>H8+H9</f>
        <v>189294.00000000256</v>
      </c>
      <c r="I10" s="24">
        <f>H10-H17</f>
        <v>4.5984052121639252E-9</v>
      </c>
      <c r="J10" s="25">
        <f>I10/H10</f>
        <v>2.4292398132871951E-14</v>
      </c>
    </row>
    <row r="11" spans="1:10" ht="15.75" x14ac:dyDescent="0.25">
      <c r="A11" s="27" t="s">
        <v>20</v>
      </c>
      <c r="B11" s="141" t="s">
        <v>13</v>
      </c>
      <c r="C11" s="141">
        <v>51217286</v>
      </c>
      <c r="D11" s="142" t="s">
        <v>21</v>
      </c>
      <c r="E11" s="141">
        <v>21000</v>
      </c>
      <c r="F11" s="21">
        <v>688.17600000000004</v>
      </c>
      <c r="G11" s="21">
        <v>691.90599999999995</v>
      </c>
      <c r="H11" s="18">
        <f t="shared" ref="H11:H16" si="0">(G11-F11)*E11</f>
        <v>78329.999999997992</v>
      </c>
      <c r="I11" s="19"/>
      <c r="J11" s="20"/>
    </row>
    <row r="12" spans="1:10" ht="15.75" x14ac:dyDescent="0.25">
      <c r="A12" s="27" t="s">
        <v>22</v>
      </c>
      <c r="B12" s="141" t="s">
        <v>13</v>
      </c>
      <c r="C12" s="141">
        <v>51217292</v>
      </c>
      <c r="D12" s="142" t="s">
        <v>21</v>
      </c>
      <c r="E12" s="141">
        <v>21000</v>
      </c>
      <c r="F12" s="28">
        <v>2.5990000000000002</v>
      </c>
      <c r="G12" s="28">
        <v>2.6230000000000002</v>
      </c>
      <c r="H12" s="18">
        <f>(G12-F12)*E12</f>
        <v>504.00000000000045</v>
      </c>
      <c r="I12" s="19"/>
      <c r="J12" s="20"/>
    </row>
    <row r="13" spans="1:10" ht="15.75" x14ac:dyDescent="0.25">
      <c r="A13" s="27" t="s">
        <v>23</v>
      </c>
      <c r="B13" s="141" t="s">
        <v>13</v>
      </c>
      <c r="C13" s="141">
        <v>51217271</v>
      </c>
      <c r="D13" s="142" t="s">
        <v>21</v>
      </c>
      <c r="E13" s="141">
        <v>21000</v>
      </c>
      <c r="F13" s="21">
        <v>494.27499999999998</v>
      </c>
      <c r="G13" s="21">
        <v>496.738</v>
      </c>
      <c r="H13" s="18">
        <f t="shared" si="0"/>
        <v>51723.000000000466</v>
      </c>
      <c r="I13" s="19"/>
      <c r="J13" s="20"/>
    </row>
    <row r="14" spans="1:10" ht="15.75" x14ac:dyDescent="0.25">
      <c r="A14" s="27" t="s">
        <v>24</v>
      </c>
      <c r="B14" s="141" t="s">
        <v>13</v>
      </c>
      <c r="C14" s="141">
        <v>51217276</v>
      </c>
      <c r="D14" s="142" t="s">
        <v>21</v>
      </c>
      <c r="E14" s="141">
        <v>21000</v>
      </c>
      <c r="F14" s="28">
        <v>0.33800000000000002</v>
      </c>
      <c r="G14" s="28">
        <v>0.34699999999999998</v>
      </c>
      <c r="H14" s="18">
        <f>(G14-F14)*E14</f>
        <v>188.99999999999901</v>
      </c>
      <c r="I14" s="19"/>
      <c r="J14" s="20"/>
    </row>
    <row r="15" spans="1:10" ht="15.75" x14ac:dyDescent="0.25">
      <c r="A15" s="27" t="s">
        <v>25</v>
      </c>
      <c r="B15" s="141" t="s">
        <v>13</v>
      </c>
      <c r="C15" s="141">
        <v>51100990</v>
      </c>
      <c r="D15" s="142" t="s">
        <v>21</v>
      </c>
      <c r="E15" s="141">
        <v>21000</v>
      </c>
      <c r="F15" s="29">
        <v>550.30899999999997</v>
      </c>
      <c r="G15" s="29">
        <v>553.08399999999995</v>
      </c>
      <c r="H15" s="18">
        <f t="shared" si="0"/>
        <v>58274.99999999952</v>
      </c>
      <c r="I15" s="19"/>
      <c r="J15" s="20"/>
    </row>
    <row r="16" spans="1:10" ht="15.75" x14ac:dyDescent="0.25">
      <c r="A16" s="27" t="s">
        <v>26</v>
      </c>
      <c r="B16" s="141" t="s">
        <v>13</v>
      </c>
      <c r="C16" s="141">
        <v>51097622</v>
      </c>
      <c r="D16" s="142" t="s">
        <v>21</v>
      </c>
      <c r="E16" s="141">
        <v>21000</v>
      </c>
      <c r="F16" s="21">
        <v>2.4049999999999998</v>
      </c>
      <c r="G16" s="21">
        <v>2.4180000000000001</v>
      </c>
      <c r="H16" s="18">
        <f t="shared" si="0"/>
        <v>273.00000000000722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41"/>
      <c r="D17" s="142"/>
      <c r="E17" s="141"/>
      <c r="F17" s="21"/>
      <c r="G17" s="21"/>
      <c r="H17" s="23">
        <f>H11+H12+H13+H14+H15+H16</f>
        <v>189293.99999999796</v>
      </c>
      <c r="I17" s="19"/>
      <c r="J17" s="20"/>
    </row>
    <row r="18" spans="1:10" ht="15.75" x14ac:dyDescent="0.25">
      <c r="A18" s="26" t="s">
        <v>29</v>
      </c>
      <c r="B18" s="141" t="s">
        <v>13</v>
      </c>
      <c r="C18" s="141">
        <v>51097617</v>
      </c>
      <c r="D18" s="142" t="s">
        <v>30</v>
      </c>
      <c r="E18" s="141">
        <v>18000</v>
      </c>
      <c r="F18" s="30">
        <v>640.18799999999999</v>
      </c>
      <c r="G18" s="30">
        <v>643.76300000000003</v>
      </c>
      <c r="H18" s="18">
        <f>(G18-F18)*E18</f>
        <v>64350.000000000815</v>
      </c>
      <c r="I18" s="19"/>
      <c r="J18" s="20"/>
    </row>
    <row r="19" spans="1:10" ht="15.75" x14ac:dyDescent="0.25">
      <c r="A19" s="26" t="s">
        <v>31</v>
      </c>
      <c r="B19" s="141" t="s">
        <v>13</v>
      </c>
      <c r="C19" s="141">
        <v>51097655</v>
      </c>
      <c r="D19" s="142" t="s">
        <v>30</v>
      </c>
      <c r="E19" s="141">
        <v>18000</v>
      </c>
      <c r="F19" s="30">
        <v>6.1269999999999998</v>
      </c>
      <c r="G19" s="30">
        <v>6.1269999999999998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41"/>
      <c r="D20" s="142"/>
      <c r="E20" s="141"/>
      <c r="F20" s="30"/>
      <c r="G20" s="30"/>
      <c r="H20" s="23">
        <f>H18+H19</f>
        <v>64350.000000000815</v>
      </c>
      <c r="I20" s="24">
        <f>H20-H35</f>
        <v>1938.6000000011409</v>
      </c>
      <c r="J20" s="25">
        <f>I20/H20</f>
        <v>3.0125874125891475E-2</v>
      </c>
    </row>
    <row r="21" spans="1:10" ht="15.75" x14ac:dyDescent="0.25">
      <c r="A21" s="15" t="s">
        <v>33</v>
      </c>
      <c r="B21" s="141" t="s">
        <v>13</v>
      </c>
      <c r="C21" s="141">
        <v>51217282</v>
      </c>
      <c r="D21" s="142" t="s">
        <v>34</v>
      </c>
      <c r="E21" s="141">
        <v>4800</v>
      </c>
      <c r="F21" s="21">
        <v>378.36900000000003</v>
      </c>
      <c r="G21" s="21">
        <v>378.36900000000003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41" t="s">
        <v>13</v>
      </c>
      <c r="C22" s="141">
        <v>51217274</v>
      </c>
      <c r="D22" s="142" t="s">
        <v>34</v>
      </c>
      <c r="E22" s="141">
        <v>4800</v>
      </c>
      <c r="F22" s="21">
        <v>1016.466</v>
      </c>
      <c r="G22" s="21">
        <v>1022.487</v>
      </c>
      <c r="H22" s="18">
        <f t="shared" si="1"/>
        <v>28900.799999999799</v>
      </c>
      <c r="I22" s="19"/>
      <c r="J22" s="20"/>
    </row>
    <row r="23" spans="1:10" ht="15.75" x14ac:dyDescent="0.25">
      <c r="A23" s="15" t="s">
        <v>36</v>
      </c>
      <c r="B23" s="141" t="s">
        <v>13</v>
      </c>
      <c r="C23" s="141">
        <v>51097664</v>
      </c>
      <c r="D23" s="142" t="s">
        <v>37</v>
      </c>
      <c r="E23" s="141">
        <v>600</v>
      </c>
      <c r="F23" s="21">
        <v>3.7559999999999998</v>
      </c>
      <c r="G23" s="21">
        <v>3.774</v>
      </c>
      <c r="H23" s="18">
        <f t="shared" si="1"/>
        <v>10.800000000000143</v>
      </c>
      <c r="I23" s="19"/>
      <c r="J23" s="20"/>
    </row>
    <row r="24" spans="1:10" ht="15.75" x14ac:dyDescent="0.25">
      <c r="A24" s="15" t="s">
        <v>38</v>
      </c>
      <c r="B24" s="141" t="s">
        <v>13</v>
      </c>
      <c r="C24" s="141">
        <v>51097615</v>
      </c>
      <c r="D24" s="142" t="s">
        <v>37</v>
      </c>
      <c r="E24" s="141">
        <v>600</v>
      </c>
      <c r="F24" s="21">
        <v>23.878</v>
      </c>
      <c r="G24" s="21">
        <v>24.263000000000002</v>
      </c>
      <c r="H24" s="18">
        <f t="shared" si="1"/>
        <v>231.00000000000094</v>
      </c>
      <c r="I24" s="19"/>
      <c r="J24" s="20"/>
    </row>
    <row r="25" spans="1:10" ht="15.75" x14ac:dyDescent="0.25">
      <c r="A25" s="15" t="s">
        <v>39</v>
      </c>
      <c r="B25" s="141" t="s">
        <v>13</v>
      </c>
      <c r="C25" s="141">
        <v>51217264</v>
      </c>
      <c r="D25" s="142" t="s">
        <v>37</v>
      </c>
      <c r="E25" s="141">
        <v>600</v>
      </c>
      <c r="F25" s="21">
        <v>65.14</v>
      </c>
      <c r="G25" s="21">
        <v>65.822000000000003</v>
      </c>
      <c r="H25" s="18">
        <f t="shared" si="1"/>
        <v>409.2000000000013</v>
      </c>
      <c r="I25" s="19"/>
      <c r="J25" s="20"/>
    </row>
    <row r="26" spans="1:10" ht="15.75" x14ac:dyDescent="0.25">
      <c r="A26" s="15" t="s">
        <v>40</v>
      </c>
      <c r="B26" s="141" t="s">
        <v>13</v>
      </c>
      <c r="C26" s="141">
        <v>51217288</v>
      </c>
      <c r="D26" s="142" t="s">
        <v>37</v>
      </c>
      <c r="E26" s="141">
        <v>600</v>
      </c>
      <c r="F26" s="21">
        <v>18.760999999999999</v>
      </c>
      <c r="G26" s="21">
        <v>18.792000000000002</v>
      </c>
      <c r="H26" s="18">
        <f t="shared" si="1"/>
        <v>18.600000000001415</v>
      </c>
      <c r="I26" s="19" t="s">
        <v>27</v>
      </c>
      <c r="J26" s="20"/>
    </row>
    <row r="27" spans="1:10" ht="15.75" x14ac:dyDescent="0.25">
      <c r="A27" s="15" t="s">
        <v>41</v>
      </c>
      <c r="B27" s="141" t="s">
        <v>13</v>
      </c>
      <c r="C27" s="141">
        <v>51217279</v>
      </c>
      <c r="D27" s="142" t="s">
        <v>37</v>
      </c>
      <c r="E27" s="141">
        <v>600</v>
      </c>
      <c r="F27" s="21">
        <v>12.302</v>
      </c>
      <c r="G27" s="21">
        <v>12.356</v>
      </c>
      <c r="H27" s="18">
        <f t="shared" si="1"/>
        <v>32.400000000000162</v>
      </c>
      <c r="I27" s="19" t="s">
        <v>27</v>
      </c>
      <c r="J27" s="20"/>
    </row>
    <row r="28" spans="1:10" ht="15.75" x14ac:dyDescent="0.25">
      <c r="A28" s="15" t="s">
        <v>42</v>
      </c>
      <c r="B28" s="141" t="s">
        <v>13</v>
      </c>
      <c r="C28" s="141">
        <v>51217272</v>
      </c>
      <c r="D28" s="142" t="s">
        <v>37</v>
      </c>
      <c r="E28" s="141">
        <v>600</v>
      </c>
      <c r="F28" s="31">
        <v>12.069000000000001</v>
      </c>
      <c r="G28" s="31">
        <v>12.122</v>
      </c>
      <c r="H28" s="18">
        <f t="shared" si="1"/>
        <v>31.799999999999429</v>
      </c>
      <c r="I28" s="19"/>
      <c r="J28" s="20"/>
    </row>
    <row r="29" spans="1:10" ht="15.75" x14ac:dyDescent="0.25">
      <c r="A29" s="15" t="s">
        <v>43</v>
      </c>
      <c r="B29" s="141" t="s">
        <v>13</v>
      </c>
      <c r="C29" s="141">
        <v>51616744</v>
      </c>
      <c r="D29" s="142">
        <f>300/5</f>
        <v>60</v>
      </c>
      <c r="E29" s="141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41" t="s">
        <v>13</v>
      </c>
      <c r="C30" s="141">
        <v>51555226</v>
      </c>
      <c r="D30" s="142">
        <f>300/5</f>
        <v>60</v>
      </c>
      <c r="E30" s="141">
        <v>3600</v>
      </c>
      <c r="F30" s="31">
        <v>286.77</v>
      </c>
      <c r="G30" s="31">
        <v>290.90800000000002</v>
      </c>
      <c r="H30" s="18">
        <f>(G30-F30)*E30</f>
        <v>14896.800000000121</v>
      </c>
      <c r="I30" s="19"/>
      <c r="J30" s="20"/>
    </row>
    <row r="31" spans="1:10" ht="15.75" x14ac:dyDescent="0.25">
      <c r="A31" s="15" t="s">
        <v>45</v>
      </c>
      <c r="B31" s="141" t="s">
        <v>13</v>
      </c>
      <c r="C31" s="141">
        <v>51097658</v>
      </c>
      <c r="D31" s="142" t="s">
        <v>34</v>
      </c>
      <c r="E31" s="141">
        <v>4800</v>
      </c>
      <c r="F31" s="31">
        <v>472.61200000000002</v>
      </c>
      <c r="G31" s="31">
        <v>476.28</v>
      </c>
      <c r="H31" s="18">
        <f t="shared" si="1"/>
        <v>17606.399999999758</v>
      </c>
      <c r="I31" s="19"/>
      <c r="J31" s="20"/>
    </row>
    <row r="32" spans="1:10" ht="15.75" x14ac:dyDescent="0.25">
      <c r="A32" s="15" t="s">
        <v>46</v>
      </c>
      <c r="B32" s="141" t="s">
        <v>13</v>
      </c>
      <c r="C32" s="141">
        <v>51097635</v>
      </c>
      <c r="D32" s="142" t="s">
        <v>34</v>
      </c>
      <c r="E32" s="141">
        <v>4800</v>
      </c>
      <c r="F32" s="31">
        <v>48.429000000000002</v>
      </c>
      <c r="G32" s="31">
        <v>48.43</v>
      </c>
      <c r="H32" s="18">
        <f t="shared" si="1"/>
        <v>4.7999999999888132</v>
      </c>
      <c r="I32" s="19"/>
      <c r="J32" s="20"/>
    </row>
    <row r="33" spans="1:10" ht="15.75" x14ac:dyDescent="0.25">
      <c r="A33" s="15" t="s">
        <v>47</v>
      </c>
      <c r="B33" s="141" t="s">
        <v>13</v>
      </c>
      <c r="C33" s="32">
        <v>51097633</v>
      </c>
      <c r="D33" s="142" t="s">
        <v>34</v>
      </c>
      <c r="E33" s="141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41" t="s">
        <v>13</v>
      </c>
      <c r="C34" s="32">
        <v>51097662</v>
      </c>
      <c r="D34" s="142" t="s">
        <v>34</v>
      </c>
      <c r="E34" s="141">
        <v>4800</v>
      </c>
      <c r="F34" s="31">
        <v>0.42599999999999999</v>
      </c>
      <c r="G34" s="31">
        <v>0.48199999999999998</v>
      </c>
      <c r="H34" s="33">
        <f t="shared" si="1"/>
        <v>268.79999999999995</v>
      </c>
      <c r="I34" s="34"/>
      <c r="J34" s="35"/>
    </row>
    <row r="35" spans="1:10" ht="15.75" x14ac:dyDescent="0.25">
      <c r="A35" s="219" t="s">
        <v>48</v>
      </c>
      <c r="B35" s="220"/>
      <c r="C35" s="141"/>
      <c r="D35" s="142"/>
      <c r="E35" s="141"/>
      <c r="F35" s="36"/>
      <c r="G35" s="36"/>
      <c r="H35" s="23">
        <f>H21+H22+H23+H24+H25+H26+H27+H28+H29+H30+H31+H32+H33+H34</f>
        <v>62411.399999999674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41" t="s">
        <v>51</v>
      </c>
      <c r="C37" s="141">
        <v>51555209</v>
      </c>
      <c r="D37" s="142" t="s">
        <v>52</v>
      </c>
      <c r="E37" s="141">
        <v>7000</v>
      </c>
      <c r="F37" s="17">
        <v>3.2509999999999999</v>
      </c>
      <c r="G37" s="17">
        <v>3.298</v>
      </c>
      <c r="H37" s="41">
        <f>(G37-F37)*E37</f>
        <v>329.00000000000108</v>
      </c>
      <c r="I37" s="42"/>
      <c r="J37" s="14"/>
    </row>
    <row r="38" spans="1:10" ht="15.75" x14ac:dyDescent="0.25">
      <c r="A38" s="15" t="s">
        <v>53</v>
      </c>
      <c r="B38" s="141" t="s">
        <v>51</v>
      </c>
      <c r="C38" s="141">
        <v>51555209</v>
      </c>
      <c r="D38" s="142" t="s">
        <v>52</v>
      </c>
      <c r="E38" s="141">
        <v>7000</v>
      </c>
      <c r="F38" s="21">
        <v>8.1679999999999993</v>
      </c>
      <c r="G38" s="21">
        <v>8.2010000000000005</v>
      </c>
      <c r="H38" s="18">
        <f>(G38-F38)*E38</f>
        <v>231.00000000000875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41" t="s">
        <v>51</v>
      </c>
      <c r="C40" s="141">
        <v>51097674</v>
      </c>
      <c r="D40" s="141" t="s">
        <v>14</v>
      </c>
      <c r="E40" s="141">
        <v>7200</v>
      </c>
      <c r="F40" s="21">
        <v>465.43599999999998</v>
      </c>
      <c r="G40" s="21">
        <v>467.98599999999999</v>
      </c>
      <c r="H40" s="18">
        <f>(G40-F40)*E40</f>
        <v>18360.00000000008</v>
      </c>
      <c r="I40" s="47"/>
      <c r="J40" s="20"/>
    </row>
    <row r="41" spans="1:10" ht="15.75" x14ac:dyDescent="0.25">
      <c r="A41" s="27" t="s">
        <v>56</v>
      </c>
      <c r="B41" s="141" t="s">
        <v>51</v>
      </c>
      <c r="C41" s="141">
        <v>51259257</v>
      </c>
      <c r="D41" s="141" t="s">
        <v>14</v>
      </c>
      <c r="E41" s="141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41"/>
      <c r="C42" s="141"/>
      <c r="D42" s="141"/>
      <c r="E42" s="141"/>
      <c r="F42" s="21"/>
      <c r="G42" s="21"/>
      <c r="H42" s="48">
        <f>H40+H41</f>
        <v>18360.00000000008</v>
      </c>
      <c r="I42" s="24">
        <f>H42-H50</f>
        <v>-124.40000000008513</v>
      </c>
      <c r="J42" s="25">
        <f>I42/H42</f>
        <v>-6.7755991285449119E-3</v>
      </c>
    </row>
    <row r="43" spans="1:10" ht="15.75" x14ac:dyDescent="0.25">
      <c r="A43" s="15" t="s">
        <v>58</v>
      </c>
      <c r="B43" s="141"/>
      <c r="C43" s="141"/>
      <c r="D43" s="142"/>
      <c r="E43" s="141"/>
      <c r="H43" s="18"/>
      <c r="I43" s="43"/>
      <c r="J43" s="20"/>
    </row>
    <row r="44" spans="1:10" ht="15.75" x14ac:dyDescent="0.25">
      <c r="A44" s="27" t="s">
        <v>59</v>
      </c>
      <c r="B44" s="141" t="s">
        <v>51</v>
      </c>
      <c r="C44" s="32">
        <v>51097648</v>
      </c>
      <c r="D44" s="141" t="s">
        <v>52</v>
      </c>
      <c r="E44" s="141">
        <v>1200</v>
      </c>
      <c r="F44" s="21">
        <v>380.25900000000001</v>
      </c>
      <c r="G44" s="21">
        <v>382.30200000000002</v>
      </c>
      <c r="H44" s="33">
        <f>(G44-F44)*E44</f>
        <v>2451.6000000000076</v>
      </c>
      <c r="I44" s="43"/>
      <c r="J44" s="20"/>
    </row>
    <row r="45" spans="1:10" ht="15.75" x14ac:dyDescent="0.25">
      <c r="A45" s="27" t="s">
        <v>60</v>
      </c>
      <c r="B45" s="141" t="s">
        <v>51</v>
      </c>
      <c r="C45" s="32">
        <v>50555043</v>
      </c>
      <c r="D45" s="141" t="s">
        <v>52</v>
      </c>
      <c r="E45" s="141">
        <v>1200</v>
      </c>
      <c r="F45" s="21">
        <v>1599.278</v>
      </c>
      <c r="G45" s="21">
        <v>1607.66</v>
      </c>
      <c r="H45" s="33">
        <f>(G45-F45)*E45</f>
        <v>10058.400000000074</v>
      </c>
      <c r="I45" s="43"/>
      <c r="J45" s="20"/>
    </row>
    <row r="46" spans="1:10" ht="15.75" x14ac:dyDescent="0.25">
      <c r="A46" s="27" t="s">
        <v>61</v>
      </c>
      <c r="B46" s="141" t="s">
        <v>51</v>
      </c>
      <c r="C46" s="32">
        <v>51259336</v>
      </c>
      <c r="D46" s="141" t="s">
        <v>62</v>
      </c>
      <c r="E46" s="141">
        <v>2400</v>
      </c>
      <c r="F46" s="21">
        <v>3.4119999999999999</v>
      </c>
      <c r="G46" s="21">
        <v>3.4260000000000002</v>
      </c>
      <c r="H46" s="33">
        <f>(G46-F46)*E46</f>
        <v>33.600000000000563</v>
      </c>
      <c r="I46" s="43"/>
      <c r="J46" s="20"/>
    </row>
    <row r="47" spans="1:10" ht="15.75" x14ac:dyDescent="0.25">
      <c r="A47" s="27" t="s">
        <v>63</v>
      </c>
      <c r="B47" s="141" t="s">
        <v>51</v>
      </c>
      <c r="C47" s="32">
        <v>51259266</v>
      </c>
      <c r="D47" s="141" t="s">
        <v>52</v>
      </c>
      <c r="E47" s="141">
        <v>1200</v>
      </c>
      <c r="F47" s="21">
        <v>773.26199999999994</v>
      </c>
      <c r="G47" s="21">
        <v>777.83600000000001</v>
      </c>
      <c r="H47" s="33">
        <f>(G47-F47)*E47</f>
        <v>5488.8000000000829</v>
      </c>
      <c r="I47" s="43"/>
      <c r="J47" s="20"/>
    </row>
    <row r="48" spans="1:10" ht="15.75" x14ac:dyDescent="0.25">
      <c r="A48" s="27" t="s">
        <v>64</v>
      </c>
      <c r="B48" s="141" t="s">
        <v>51</v>
      </c>
      <c r="C48" s="32">
        <v>51431336</v>
      </c>
      <c r="D48" s="141" t="s">
        <v>52</v>
      </c>
      <c r="E48" s="141">
        <v>1200</v>
      </c>
      <c r="F48" s="21">
        <v>40.329000000000001</v>
      </c>
      <c r="G48" s="21">
        <v>40.664000000000001</v>
      </c>
      <c r="H48" s="33">
        <f>(G48-F48)*E48</f>
        <v>402.00000000000102</v>
      </c>
      <c r="I48" s="43"/>
      <c r="J48" s="20"/>
    </row>
    <row r="49" spans="1:10" ht="15.75" x14ac:dyDescent="0.25">
      <c r="A49" s="15" t="s">
        <v>65</v>
      </c>
      <c r="B49" s="141" t="s">
        <v>66</v>
      </c>
      <c r="C49" s="141">
        <v>49174</v>
      </c>
      <c r="D49" s="142" t="s">
        <v>52</v>
      </c>
      <c r="E49" s="141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18484.400000000165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41" t="s">
        <v>51</v>
      </c>
      <c r="C52" s="141">
        <v>51097603</v>
      </c>
      <c r="D52" s="142" t="s">
        <v>52</v>
      </c>
      <c r="E52" s="141">
        <v>7000</v>
      </c>
      <c r="F52" s="17">
        <v>1542.85</v>
      </c>
      <c r="G52" s="17">
        <v>1551.191</v>
      </c>
      <c r="H52" s="18">
        <f>(G52-F52)*E52</f>
        <v>58387.000000000851</v>
      </c>
      <c r="I52" s="43"/>
      <c r="J52" s="20"/>
    </row>
    <row r="53" spans="1:10" ht="15.75" x14ac:dyDescent="0.25">
      <c r="A53" s="27" t="s">
        <v>71</v>
      </c>
      <c r="B53" s="141" t="s">
        <v>51</v>
      </c>
      <c r="C53" s="141">
        <v>51097590</v>
      </c>
      <c r="D53" s="142" t="s">
        <v>52</v>
      </c>
      <c r="E53" s="141">
        <v>7000</v>
      </c>
      <c r="F53" s="21">
        <v>8.7780000000000005</v>
      </c>
      <c r="G53" s="21">
        <v>8.8490000000000002</v>
      </c>
      <c r="H53" s="18">
        <f>(G53-F53)*E53</f>
        <v>496.99999999999812</v>
      </c>
      <c r="I53" s="43"/>
      <c r="J53" s="20"/>
    </row>
    <row r="54" spans="1:10" ht="15.75" x14ac:dyDescent="0.25">
      <c r="A54" s="15" t="s">
        <v>65</v>
      </c>
      <c r="B54" s="141" t="s">
        <v>66</v>
      </c>
      <c r="C54" s="141">
        <v>49174</v>
      </c>
      <c r="D54" s="142" t="s">
        <v>52</v>
      </c>
      <c r="E54" s="141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41"/>
      <c r="D55" s="142"/>
      <c r="E55" s="141"/>
      <c r="F55" s="21"/>
      <c r="G55" s="21"/>
      <c r="H55" s="48">
        <f>H52+H53+H54</f>
        <v>58984.000000000851</v>
      </c>
      <c r="I55" s="47"/>
      <c r="J55" s="59"/>
    </row>
    <row r="56" spans="1:10" ht="15.75" x14ac:dyDescent="0.25">
      <c r="A56" s="27" t="s">
        <v>73</v>
      </c>
      <c r="B56" s="141" t="s">
        <v>51</v>
      </c>
      <c r="C56" s="141">
        <v>51100980</v>
      </c>
      <c r="D56" s="141" t="s">
        <v>74</v>
      </c>
      <c r="E56" s="141">
        <v>12000</v>
      </c>
      <c r="F56" s="21">
        <v>907.29700000000003</v>
      </c>
      <c r="G56" s="21">
        <v>912.21100000000001</v>
      </c>
      <c r="H56" s="18">
        <f>(G56-F56)*E56</f>
        <v>58967.999999999847</v>
      </c>
      <c r="I56" s="47"/>
      <c r="J56" s="58"/>
    </row>
    <row r="57" spans="1:10" ht="15.75" x14ac:dyDescent="0.25">
      <c r="A57" s="27" t="s">
        <v>75</v>
      </c>
      <c r="B57" s="141" t="s">
        <v>51</v>
      </c>
      <c r="C57" s="141">
        <v>51097623</v>
      </c>
      <c r="D57" s="141" t="s">
        <v>74</v>
      </c>
      <c r="E57" s="141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41"/>
      <c r="C58" s="141"/>
      <c r="D58" s="141"/>
      <c r="E58" s="141"/>
      <c r="F58" s="21"/>
      <c r="G58" s="21"/>
      <c r="H58" s="48">
        <f>H56+H57</f>
        <v>58967.999999999847</v>
      </c>
      <c r="I58" s="61">
        <f>H55-H65-H54</f>
        <v>-213.59999999991851</v>
      </c>
      <c r="J58" s="25">
        <f>I58/H58</f>
        <v>-3.6223036223022496E-3</v>
      </c>
    </row>
    <row r="59" spans="1:10" ht="15.75" x14ac:dyDescent="0.25">
      <c r="A59" s="27" t="s">
        <v>77</v>
      </c>
      <c r="B59" s="141" t="s">
        <v>51</v>
      </c>
      <c r="C59" s="141">
        <v>51097675</v>
      </c>
      <c r="D59" s="141" t="s">
        <v>34</v>
      </c>
      <c r="E59" s="141">
        <v>4800</v>
      </c>
      <c r="F59" s="21">
        <v>343.47399999999999</v>
      </c>
      <c r="G59" s="21">
        <v>346.57400000000001</v>
      </c>
      <c r="H59" s="18">
        <f t="shared" ref="H59:H64" si="2">(G59-F59)*E59</f>
        <v>14880.000000000109</v>
      </c>
      <c r="I59" s="62"/>
      <c r="J59" s="59"/>
    </row>
    <row r="60" spans="1:10" ht="15.75" x14ac:dyDescent="0.25">
      <c r="A60" s="27" t="s">
        <v>78</v>
      </c>
      <c r="B60" s="141" t="s">
        <v>51</v>
      </c>
      <c r="C60" s="141">
        <v>51100997</v>
      </c>
      <c r="D60" s="141" t="s">
        <v>21</v>
      </c>
      <c r="E60" s="141">
        <v>3600</v>
      </c>
      <c r="F60" s="21">
        <v>1171.1189999999999</v>
      </c>
      <c r="G60" s="21">
        <v>1176.479</v>
      </c>
      <c r="H60" s="18">
        <f t="shared" si="2"/>
        <v>19296.000000000458</v>
      </c>
      <c r="I60" s="62"/>
      <c r="J60" s="59"/>
    </row>
    <row r="61" spans="1:10" ht="15.75" x14ac:dyDescent="0.25">
      <c r="A61" s="27" t="s">
        <v>79</v>
      </c>
      <c r="B61" s="141" t="s">
        <v>51</v>
      </c>
      <c r="C61" s="141">
        <v>51555218</v>
      </c>
      <c r="D61" s="141">
        <f>400/5</f>
        <v>80</v>
      </c>
      <c r="E61" s="141">
        <v>4800</v>
      </c>
      <c r="F61" s="21">
        <v>37.713999999999999</v>
      </c>
      <c r="G61" s="21">
        <v>38.201000000000001</v>
      </c>
      <c r="H61" s="18">
        <f t="shared" si="2"/>
        <v>2337.600000000009</v>
      </c>
      <c r="I61" s="62"/>
      <c r="J61" s="59"/>
    </row>
    <row r="62" spans="1:10" ht="15.75" x14ac:dyDescent="0.25">
      <c r="A62" s="27" t="s">
        <v>80</v>
      </c>
      <c r="B62" s="141" t="s">
        <v>51</v>
      </c>
      <c r="C62" s="141">
        <v>51555151</v>
      </c>
      <c r="D62" s="141">
        <f>400/5</f>
        <v>80</v>
      </c>
      <c r="E62" s="141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41" t="s">
        <v>51</v>
      </c>
      <c r="C63" s="141">
        <v>51097599</v>
      </c>
      <c r="D63" s="141" t="s">
        <v>21</v>
      </c>
      <c r="E63" s="141">
        <v>3600</v>
      </c>
      <c r="F63" s="21">
        <v>828.20600000000002</v>
      </c>
      <c r="G63" s="21">
        <v>831.23400000000004</v>
      </c>
      <c r="H63" s="18">
        <f t="shared" si="2"/>
        <v>10900.800000000072</v>
      </c>
      <c r="I63" s="62"/>
      <c r="J63" s="59"/>
    </row>
    <row r="64" spans="1:10" ht="15.75" x14ac:dyDescent="0.25">
      <c r="A64" s="27" t="s">
        <v>82</v>
      </c>
      <c r="B64" s="141" t="s">
        <v>51</v>
      </c>
      <c r="C64" s="141">
        <v>51097620</v>
      </c>
      <c r="D64" s="141" t="s">
        <v>34</v>
      </c>
      <c r="E64" s="141">
        <v>4800</v>
      </c>
      <c r="F64" s="21">
        <v>376.03399999999999</v>
      </c>
      <c r="G64" s="21">
        <v>378.46800000000002</v>
      </c>
      <c r="H64" s="18">
        <f t="shared" si="2"/>
        <v>11683.200000000124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59097.60000000077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41" t="s">
        <v>51</v>
      </c>
      <c r="C67" s="9">
        <v>51259238</v>
      </c>
      <c r="D67" s="74" t="s">
        <v>52</v>
      </c>
      <c r="E67" s="74">
        <v>7000</v>
      </c>
      <c r="F67" s="75">
        <v>412.05799999999999</v>
      </c>
      <c r="G67" s="75">
        <v>414.75</v>
      </c>
      <c r="H67" s="76">
        <f>(G67-F67)*E67</f>
        <v>18844.000000000051</v>
      </c>
      <c r="I67" s="77"/>
      <c r="J67" s="78"/>
    </row>
    <row r="68" spans="1:10" ht="15.75" x14ac:dyDescent="0.25">
      <c r="A68" s="27" t="s">
        <v>85</v>
      </c>
      <c r="B68" s="141" t="s">
        <v>51</v>
      </c>
      <c r="C68" s="141">
        <v>51259324</v>
      </c>
      <c r="D68" s="142" t="s">
        <v>52</v>
      </c>
      <c r="E68" s="142">
        <v>7000</v>
      </c>
      <c r="F68" s="21">
        <v>316.91199999999998</v>
      </c>
      <c r="G68" s="21">
        <v>319.01900000000001</v>
      </c>
      <c r="H68" s="18">
        <f>(G68-F68)*E68</f>
        <v>14749.000000000195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41">
        <v>51491618</v>
      </c>
      <c r="D69" s="142" t="s">
        <v>62</v>
      </c>
      <c r="E69" s="141">
        <v>40</v>
      </c>
      <c r="F69" s="28">
        <v>696.44399999999996</v>
      </c>
      <c r="G69" s="28">
        <v>706.15700000000004</v>
      </c>
      <c r="H69" s="18">
        <f>(G69-F69)*E69</f>
        <v>388.52000000000317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41">
        <v>51491624</v>
      </c>
      <c r="D70" s="142" t="s">
        <v>62</v>
      </c>
      <c r="E70" s="141">
        <v>40</v>
      </c>
      <c r="F70" s="28">
        <v>100.34099999999999</v>
      </c>
      <c r="G70" s="28">
        <v>101.209</v>
      </c>
      <c r="H70" s="18">
        <f>(G70-F70)*E70</f>
        <v>34.720000000000368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33593.000000000247</v>
      </c>
      <c r="I71" s="85">
        <f>H71-H74-H69-H70</f>
        <v>-1006.2399999995743</v>
      </c>
      <c r="J71" s="25">
        <f>I71/H71</f>
        <v>-2.9953859434988444E-2</v>
      </c>
    </row>
    <row r="72" spans="1:10" ht="15.75" x14ac:dyDescent="0.25">
      <c r="A72" s="27" t="s">
        <v>90</v>
      </c>
      <c r="B72" s="141" t="s">
        <v>51</v>
      </c>
      <c r="C72" s="86">
        <v>51097588</v>
      </c>
      <c r="D72" s="142" t="s">
        <v>74</v>
      </c>
      <c r="E72" s="141">
        <v>12000</v>
      </c>
      <c r="F72" s="21">
        <v>250.11500000000001</v>
      </c>
      <c r="G72" s="21">
        <v>251.684</v>
      </c>
      <c r="H72" s="18">
        <f>(G72-F72)*E72</f>
        <v>18827.999999999862</v>
      </c>
      <c r="I72" s="51"/>
      <c r="J72" s="58"/>
    </row>
    <row r="73" spans="1:10" ht="15.75" x14ac:dyDescent="0.25">
      <c r="A73" s="27" t="s">
        <v>91</v>
      </c>
      <c r="B73" s="141" t="s">
        <v>51</v>
      </c>
      <c r="C73" s="86">
        <v>51431335</v>
      </c>
      <c r="D73" s="142" t="s">
        <v>74</v>
      </c>
      <c r="E73" s="141">
        <v>12000</v>
      </c>
      <c r="F73" s="21">
        <v>194.88800000000001</v>
      </c>
      <c r="G73" s="21">
        <v>196.167</v>
      </c>
      <c r="H73" s="18">
        <f>(G73-F73)*E73</f>
        <v>15347.999999999956</v>
      </c>
      <c r="I73" s="51"/>
      <c r="J73" s="58"/>
    </row>
    <row r="74" spans="1:10" ht="15.75" x14ac:dyDescent="0.25">
      <c r="A74" s="87" t="s">
        <v>92</v>
      </c>
      <c r="B74" s="141" t="s">
        <v>27</v>
      </c>
      <c r="C74" s="141"/>
      <c r="D74" s="142"/>
      <c r="E74" s="141"/>
      <c r="F74" s="21"/>
      <c r="G74" s="21"/>
      <c r="H74" s="48">
        <f>H72+ H73</f>
        <v>34175.999999999818</v>
      </c>
      <c r="I74" s="85">
        <f>H74-H82</f>
        <v>-59.400000000088767</v>
      </c>
      <c r="J74" s="25">
        <f>I74/H74</f>
        <v>-1.7380617977554155E-3</v>
      </c>
    </row>
    <row r="75" spans="1:10" ht="15.75" x14ac:dyDescent="0.25">
      <c r="A75" s="27" t="s">
        <v>93</v>
      </c>
      <c r="B75" s="141" t="s">
        <v>51</v>
      </c>
      <c r="C75" s="86">
        <v>51097676</v>
      </c>
      <c r="D75" s="88" t="s">
        <v>62</v>
      </c>
      <c r="E75" s="141">
        <v>2400</v>
      </c>
      <c r="F75" s="21">
        <v>497.22199999999998</v>
      </c>
      <c r="G75" s="21">
        <v>500.95600000000002</v>
      </c>
      <c r="H75" s="18">
        <f>(G75-F75)*E75</f>
        <v>8961.6000000000895</v>
      </c>
      <c r="I75" s="51"/>
      <c r="J75" s="58"/>
    </row>
    <row r="76" spans="1:10" ht="15.75" x14ac:dyDescent="0.25">
      <c r="A76" s="27" t="s">
        <v>94</v>
      </c>
      <c r="B76" s="141" t="s">
        <v>51</v>
      </c>
      <c r="C76" s="86">
        <v>51431355</v>
      </c>
      <c r="D76" s="142" t="s">
        <v>21</v>
      </c>
      <c r="E76" s="142">
        <v>3600</v>
      </c>
      <c r="F76" s="21">
        <v>295.85700000000003</v>
      </c>
      <c r="G76" s="21">
        <v>297.23599999999999</v>
      </c>
      <c r="H76" s="18">
        <f>(G76-F76)*E76</f>
        <v>4964.3999999998641</v>
      </c>
      <c r="I76" s="51"/>
      <c r="J76" s="52"/>
    </row>
    <row r="77" spans="1:10" ht="15.75" x14ac:dyDescent="0.25">
      <c r="A77" s="27" t="s">
        <v>95</v>
      </c>
      <c r="B77" s="141" t="s">
        <v>51</v>
      </c>
      <c r="C77" s="86">
        <v>51259331</v>
      </c>
      <c r="D77" s="88" t="s">
        <v>37</v>
      </c>
      <c r="E77" s="141">
        <v>600</v>
      </c>
      <c r="F77" s="21">
        <v>113.633</v>
      </c>
      <c r="G77" s="21">
        <v>114.71</v>
      </c>
      <c r="H77" s="18">
        <f>(G77-F77)*E77</f>
        <v>646.19999999999891</v>
      </c>
      <c r="I77" s="51"/>
      <c r="J77" s="52"/>
    </row>
    <row r="78" spans="1:10" ht="15.75" x14ac:dyDescent="0.25">
      <c r="A78" s="27" t="s">
        <v>96</v>
      </c>
      <c r="B78" s="141" t="s">
        <v>51</v>
      </c>
      <c r="C78" s="86">
        <v>51259326</v>
      </c>
      <c r="D78" s="88" t="s">
        <v>14</v>
      </c>
      <c r="E78" s="141">
        <v>7200</v>
      </c>
      <c r="F78" s="21">
        <v>255.37299999999999</v>
      </c>
      <c r="G78" s="21">
        <v>256.75299999999999</v>
      </c>
      <c r="H78" s="18">
        <f>(G78-F78)*E78</f>
        <v>9935.9999999999673</v>
      </c>
      <c r="I78" s="51"/>
      <c r="J78" s="52"/>
    </row>
    <row r="79" spans="1:10" ht="15.75" x14ac:dyDescent="0.25">
      <c r="A79" s="27" t="s">
        <v>97</v>
      </c>
      <c r="B79" s="141" t="s">
        <v>51</v>
      </c>
      <c r="C79" s="86">
        <v>51431351</v>
      </c>
      <c r="D79" s="88" t="s">
        <v>14</v>
      </c>
      <c r="E79" s="141">
        <v>7200</v>
      </c>
      <c r="F79" s="21">
        <v>164.46700000000001</v>
      </c>
      <c r="G79" s="21">
        <v>165.81800000000001</v>
      </c>
      <c r="H79" s="18">
        <f>(G79-F79)*E79</f>
        <v>9727.1999999999935</v>
      </c>
      <c r="I79" s="51"/>
      <c r="J79" s="52"/>
    </row>
    <row r="80" spans="1:10" ht="15.75" x14ac:dyDescent="0.25">
      <c r="A80" s="89" t="s">
        <v>98</v>
      </c>
      <c r="B80" s="141" t="s">
        <v>51</v>
      </c>
      <c r="C80" s="90">
        <v>51097666</v>
      </c>
      <c r="D80" s="88" t="s">
        <v>62</v>
      </c>
      <c r="E80" s="141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41" t="s">
        <v>51</v>
      </c>
      <c r="C81" s="90">
        <v>51259323</v>
      </c>
      <c r="D81" s="88" t="s">
        <v>62</v>
      </c>
      <c r="E81" s="141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34235.399999999907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41" t="s">
        <v>51</v>
      </c>
      <c r="C84" s="106">
        <v>51431297</v>
      </c>
      <c r="D84" s="142" t="s">
        <v>52</v>
      </c>
      <c r="E84" s="100">
        <v>7000</v>
      </c>
      <c r="F84" s="17">
        <v>196.15199999999999</v>
      </c>
      <c r="G84" s="17">
        <v>196.96899999999999</v>
      </c>
      <c r="H84" s="18">
        <f>(G84-F84)*E84</f>
        <v>5719.0000000000509</v>
      </c>
      <c r="I84" s="107"/>
      <c r="J84" s="108"/>
    </row>
    <row r="85" spans="1:10" ht="15.75" x14ac:dyDescent="0.25">
      <c r="A85" s="105" t="s">
        <v>85</v>
      </c>
      <c r="B85" s="141" t="s">
        <v>51</v>
      </c>
      <c r="C85" s="106">
        <v>51431332</v>
      </c>
      <c r="D85" s="142" t="s">
        <v>52</v>
      </c>
      <c r="E85" s="100">
        <v>7000</v>
      </c>
      <c r="F85" s="21">
        <v>302.75900000000001</v>
      </c>
      <c r="G85" s="21">
        <v>304.48700000000002</v>
      </c>
      <c r="H85" s="18">
        <f>(G85-F85)*E85</f>
        <v>12096.00000000006</v>
      </c>
      <c r="I85" s="141"/>
      <c r="J85" s="58"/>
    </row>
    <row r="86" spans="1:10" ht="15.75" x14ac:dyDescent="0.25">
      <c r="A86" s="27" t="s">
        <v>86</v>
      </c>
      <c r="B86" s="141" t="s">
        <v>102</v>
      </c>
      <c r="C86" s="109">
        <v>150773</v>
      </c>
      <c r="D86" s="142" t="s">
        <v>52</v>
      </c>
      <c r="E86" s="109">
        <v>20</v>
      </c>
      <c r="F86" s="17">
        <v>15229.4</v>
      </c>
      <c r="G86" s="17">
        <v>15235.7</v>
      </c>
      <c r="H86" s="18">
        <f>(G86-F86)*E86</f>
        <v>126.00000000002183</v>
      </c>
      <c r="I86" s="51"/>
      <c r="J86" s="58"/>
    </row>
    <row r="87" spans="1:10" ht="15.75" x14ac:dyDescent="0.25">
      <c r="A87" s="27" t="s">
        <v>88</v>
      </c>
      <c r="B87" s="141" t="s">
        <v>102</v>
      </c>
      <c r="C87" s="109">
        <v>150791</v>
      </c>
      <c r="D87" s="142" t="s">
        <v>52</v>
      </c>
      <c r="E87" s="109">
        <v>20</v>
      </c>
      <c r="F87" s="21">
        <v>231.4</v>
      </c>
      <c r="G87" s="21">
        <v>231.4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43"/>
      <c r="C88" s="32"/>
      <c r="D88" s="82"/>
      <c r="E88" s="82"/>
      <c r="F88" s="21"/>
      <c r="G88" s="21"/>
      <c r="H88" s="48">
        <f>H84+H85</f>
        <v>17815.000000000109</v>
      </c>
      <c r="I88" s="85">
        <f>H88-H91-H86-H87</f>
        <v>408.99999999997817</v>
      </c>
      <c r="J88" s="25">
        <f>I88/H88</f>
        <v>2.2958181307885246E-2</v>
      </c>
    </row>
    <row r="89" spans="1:10" ht="15.75" x14ac:dyDescent="0.25">
      <c r="A89" s="27" t="s">
        <v>103</v>
      </c>
      <c r="B89" s="141" t="s">
        <v>51</v>
      </c>
      <c r="C89" s="106">
        <v>51431342</v>
      </c>
      <c r="D89" s="88" t="s">
        <v>34</v>
      </c>
      <c r="E89" s="141">
        <v>4800</v>
      </c>
      <c r="F89" s="21">
        <v>277.09199999999998</v>
      </c>
      <c r="G89" s="21">
        <v>278.24400000000003</v>
      </c>
      <c r="H89" s="18">
        <f>(G89-F89)*E89</f>
        <v>5529.6000000002095</v>
      </c>
      <c r="I89" s="51"/>
      <c r="J89" s="52"/>
    </row>
    <row r="90" spans="1:10" ht="15.75" x14ac:dyDescent="0.25">
      <c r="A90" s="27" t="s">
        <v>104</v>
      </c>
      <c r="B90" s="141" t="s">
        <v>51</v>
      </c>
      <c r="C90" s="106">
        <v>51431343</v>
      </c>
      <c r="D90" s="88" t="s">
        <v>34</v>
      </c>
      <c r="E90" s="141">
        <v>4800</v>
      </c>
      <c r="F90" s="21">
        <v>429.738</v>
      </c>
      <c r="G90" s="21">
        <v>432.18599999999998</v>
      </c>
      <c r="H90" s="18">
        <f>(G90-F90)*E90</f>
        <v>11750.3999999999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17280.000000000109</v>
      </c>
      <c r="I91" s="85">
        <f>H91-H99</f>
        <v>-98.999999999869033</v>
      </c>
      <c r="J91" s="25">
        <f>I91/H91</f>
        <v>-5.7291666666590517E-3</v>
      </c>
    </row>
    <row r="92" spans="1:10" ht="15.75" x14ac:dyDescent="0.25">
      <c r="A92" s="27" t="s">
        <v>106</v>
      </c>
      <c r="B92" s="141" t="s">
        <v>51</v>
      </c>
      <c r="C92" s="106">
        <v>51431347</v>
      </c>
      <c r="D92" s="142" t="s">
        <v>52</v>
      </c>
      <c r="E92" s="141">
        <v>1200</v>
      </c>
      <c r="F92" s="21">
        <v>949.48400000000004</v>
      </c>
      <c r="G92" s="21">
        <v>957.851</v>
      </c>
      <c r="H92" s="18">
        <f t="shared" ref="H92:H100" si="4">(G92-F92)*E92</f>
        <v>10040.399999999954</v>
      </c>
      <c r="I92" s="51"/>
      <c r="J92" s="52"/>
    </row>
    <row r="93" spans="1:10" ht="15.75" x14ac:dyDescent="0.25">
      <c r="A93" s="27" t="s">
        <v>107</v>
      </c>
      <c r="B93" s="141" t="s">
        <v>51</v>
      </c>
      <c r="C93" s="106">
        <v>51431339</v>
      </c>
      <c r="D93" s="142" t="s">
        <v>52</v>
      </c>
      <c r="E93" s="141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41" t="s">
        <v>51</v>
      </c>
      <c r="C94" s="106">
        <v>51217244</v>
      </c>
      <c r="D94" s="141" t="s">
        <v>37</v>
      </c>
      <c r="E94" s="141">
        <v>600</v>
      </c>
      <c r="F94" s="30">
        <v>243.22</v>
      </c>
      <c r="G94" s="30">
        <v>245.96</v>
      </c>
      <c r="H94" s="18">
        <f t="shared" si="4"/>
        <v>1644.0000000000055</v>
      </c>
      <c r="I94" s="51"/>
      <c r="J94" s="52"/>
    </row>
    <row r="95" spans="1:10" ht="15.75" x14ac:dyDescent="0.25">
      <c r="A95" s="27" t="s">
        <v>109</v>
      </c>
      <c r="B95" s="141" t="s">
        <v>51</v>
      </c>
      <c r="C95" s="106">
        <v>51217267</v>
      </c>
      <c r="D95" s="88" t="s">
        <v>62</v>
      </c>
      <c r="E95" s="141">
        <v>2400</v>
      </c>
      <c r="F95" s="30">
        <v>18.623000000000001</v>
      </c>
      <c r="G95" s="30">
        <v>18.655999999999999</v>
      </c>
      <c r="H95" s="18">
        <f t="shared" si="4"/>
        <v>79.199999999994475</v>
      </c>
      <c r="I95" s="51"/>
      <c r="J95" s="52"/>
    </row>
    <row r="96" spans="1:10" ht="15.75" x14ac:dyDescent="0.25">
      <c r="A96" s="27" t="s">
        <v>110</v>
      </c>
      <c r="B96" s="141" t="s">
        <v>51</v>
      </c>
      <c r="C96" s="141">
        <v>51555165</v>
      </c>
      <c r="D96" s="142" t="s">
        <v>52</v>
      </c>
      <c r="E96" s="141">
        <v>1200</v>
      </c>
      <c r="F96" s="30">
        <v>649.726</v>
      </c>
      <c r="G96" s="30">
        <v>649.726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141" t="s">
        <v>51</v>
      </c>
      <c r="C97" s="106">
        <v>51431346</v>
      </c>
      <c r="D97" s="114" t="s">
        <v>37</v>
      </c>
      <c r="E97" s="114">
        <v>600</v>
      </c>
      <c r="F97" s="30">
        <v>279.25900000000001</v>
      </c>
      <c r="G97" s="30">
        <v>279.62400000000002</v>
      </c>
      <c r="H97" s="115">
        <f t="shared" si="4"/>
        <v>219.00000000000546</v>
      </c>
      <c r="I97" s="116"/>
      <c r="J97" s="117"/>
    </row>
    <row r="98" spans="1:10" ht="15.75" x14ac:dyDescent="0.25">
      <c r="A98" s="27" t="s">
        <v>112</v>
      </c>
      <c r="B98" s="141" t="s">
        <v>51</v>
      </c>
      <c r="C98" s="106">
        <v>51431352</v>
      </c>
      <c r="D98" s="88" t="s">
        <v>21</v>
      </c>
      <c r="E98" s="141">
        <v>3600</v>
      </c>
      <c r="F98" s="21">
        <v>147.03700000000001</v>
      </c>
      <c r="G98" s="21">
        <v>148.501</v>
      </c>
      <c r="H98" s="18">
        <f t="shared" si="4"/>
        <v>5270.3999999999951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17378.999999999978</v>
      </c>
      <c r="I99" s="51"/>
      <c r="J99" s="52"/>
    </row>
    <row r="100" spans="1:10" ht="15.75" x14ac:dyDescent="0.25">
      <c r="A100" s="45" t="s">
        <v>113</v>
      </c>
      <c r="B100" s="141" t="s">
        <v>51</v>
      </c>
      <c r="C100" s="120">
        <v>51431357</v>
      </c>
      <c r="D100" s="142" t="s">
        <v>62</v>
      </c>
      <c r="E100" s="142">
        <v>14000</v>
      </c>
      <c r="F100" s="28">
        <v>656.88400000000001</v>
      </c>
      <c r="G100" s="28">
        <v>660.80799999999999</v>
      </c>
      <c r="H100" s="121">
        <f t="shared" si="4"/>
        <v>54935.999999999694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D1" zoomScale="85" zoomScaleNormal="85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131</v>
      </c>
      <c r="G3" s="4" t="s">
        <v>132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44" t="s">
        <v>13</v>
      </c>
      <c r="C5" s="144">
        <v>51555166</v>
      </c>
      <c r="D5" s="144" t="s">
        <v>14</v>
      </c>
      <c r="E5" s="144">
        <v>132000</v>
      </c>
      <c r="F5" s="17">
        <v>2.2869999999999999</v>
      </c>
      <c r="G5" s="17">
        <v>2.2989999999999999</v>
      </c>
      <c r="H5" s="18">
        <f>(G5-F5)*E5</f>
        <v>1584.0000000000014</v>
      </c>
      <c r="I5" s="19"/>
      <c r="J5" s="20"/>
    </row>
    <row r="6" spans="1:10" ht="15.75" x14ac:dyDescent="0.25">
      <c r="A6" s="15" t="s">
        <v>15</v>
      </c>
      <c r="B6" s="144" t="s">
        <v>13</v>
      </c>
      <c r="C6" s="144">
        <v>51555191</v>
      </c>
      <c r="D6" s="144" t="s">
        <v>14</v>
      </c>
      <c r="E6" s="144">
        <v>132000</v>
      </c>
      <c r="F6" s="21">
        <v>267.58499999999998</v>
      </c>
      <c r="G6" s="21">
        <v>269.59300000000002</v>
      </c>
      <c r="H6" s="18">
        <f>(G6-F6)*E6</f>
        <v>265056.00000000506</v>
      </c>
      <c r="I6" s="19"/>
      <c r="J6" s="20"/>
    </row>
    <row r="7" spans="1:10" ht="15.75" x14ac:dyDescent="0.25">
      <c r="A7" s="219" t="s">
        <v>16</v>
      </c>
      <c r="B7" s="220"/>
      <c r="C7" s="144"/>
      <c r="D7" s="145"/>
      <c r="E7" s="144"/>
      <c r="H7" s="23">
        <f>H5+H6</f>
        <v>266640.00000000506</v>
      </c>
      <c r="I7" s="24">
        <f>H7-H10-H20</f>
        <v>2142.0000000080036</v>
      </c>
      <c r="J7" s="25">
        <f>I7/H7</f>
        <v>8.0333033303628971E-3</v>
      </c>
    </row>
    <row r="8" spans="1:10" ht="15.75" x14ac:dyDescent="0.25">
      <c r="A8" s="26" t="s">
        <v>17</v>
      </c>
      <c r="B8" s="144" t="s">
        <v>13</v>
      </c>
      <c r="C8" s="144">
        <v>51097629</v>
      </c>
      <c r="D8" s="145" t="s">
        <v>14</v>
      </c>
      <c r="E8" s="144">
        <v>42000</v>
      </c>
      <c r="F8" s="21">
        <v>868.60400000000004</v>
      </c>
      <c r="G8" s="21">
        <v>873.35699999999997</v>
      </c>
      <c r="H8" s="18">
        <f>(G8-F8)*E8</f>
        <v>199625.99999999703</v>
      </c>
      <c r="I8" s="19"/>
      <c r="J8" s="20"/>
    </row>
    <row r="9" spans="1:10" ht="15.75" x14ac:dyDescent="0.25">
      <c r="A9" s="26" t="s">
        <v>18</v>
      </c>
      <c r="B9" s="144" t="s">
        <v>13</v>
      </c>
      <c r="C9" s="144">
        <v>51616820</v>
      </c>
      <c r="D9" s="145" t="s">
        <v>14</v>
      </c>
      <c r="E9" s="144">
        <v>42000</v>
      </c>
      <c r="F9" s="21">
        <v>3.69</v>
      </c>
      <c r="G9" s="21">
        <v>3.714</v>
      </c>
      <c r="H9" s="18">
        <f>(G9-F9)*E9</f>
        <v>1008.0000000000009</v>
      </c>
      <c r="I9" s="19"/>
      <c r="J9" s="20"/>
    </row>
    <row r="10" spans="1:10" ht="15.75" x14ac:dyDescent="0.25">
      <c r="A10" s="219" t="s">
        <v>19</v>
      </c>
      <c r="B10" s="220"/>
      <c r="C10" s="144"/>
      <c r="D10" s="145"/>
      <c r="E10" s="144"/>
      <c r="F10" s="21"/>
      <c r="G10" s="21"/>
      <c r="H10" s="23">
        <f>H8+H9</f>
        <v>200633.99999999703</v>
      </c>
      <c r="I10" s="24">
        <f>H10-H17</f>
        <v>-42.00000000584987</v>
      </c>
      <c r="J10" s="25">
        <f>I10/H10</f>
        <v>-2.0933640362974615E-4</v>
      </c>
    </row>
    <row r="11" spans="1:10" ht="15.75" x14ac:dyDescent="0.25">
      <c r="A11" s="27" t="s">
        <v>20</v>
      </c>
      <c r="B11" s="144" t="s">
        <v>13</v>
      </c>
      <c r="C11" s="144">
        <v>51217286</v>
      </c>
      <c r="D11" s="145" t="s">
        <v>21</v>
      </c>
      <c r="E11" s="144">
        <v>21000</v>
      </c>
      <c r="F11" s="21">
        <v>691.90599999999995</v>
      </c>
      <c r="G11" s="21">
        <v>695.65800000000002</v>
      </c>
      <c r="H11" s="18">
        <f t="shared" ref="H11:H16" si="0">(G11-F11)*E11</f>
        <v>78792.000000001397</v>
      </c>
      <c r="I11" s="19"/>
      <c r="J11" s="20"/>
    </row>
    <row r="12" spans="1:10" ht="15.75" x14ac:dyDescent="0.25">
      <c r="A12" s="27" t="s">
        <v>22</v>
      </c>
      <c r="B12" s="144" t="s">
        <v>13</v>
      </c>
      <c r="C12" s="144">
        <v>51217292</v>
      </c>
      <c r="D12" s="145" t="s">
        <v>21</v>
      </c>
      <c r="E12" s="144">
        <v>21000</v>
      </c>
      <c r="F12" s="28">
        <v>2.6230000000000002</v>
      </c>
      <c r="G12" s="28">
        <v>2.649</v>
      </c>
      <c r="H12" s="18">
        <f>(G12-F12)*E12</f>
        <v>545.99999999999579</v>
      </c>
      <c r="I12" s="19"/>
      <c r="J12" s="20"/>
    </row>
    <row r="13" spans="1:10" ht="15.75" x14ac:dyDescent="0.25">
      <c r="A13" s="27" t="s">
        <v>23</v>
      </c>
      <c r="B13" s="144" t="s">
        <v>13</v>
      </c>
      <c r="C13" s="144">
        <v>51217271</v>
      </c>
      <c r="D13" s="145" t="s">
        <v>21</v>
      </c>
      <c r="E13" s="144">
        <v>21000</v>
      </c>
      <c r="F13" s="21">
        <v>496.738</v>
      </c>
      <c r="G13" s="21">
        <v>499.69600000000003</v>
      </c>
      <c r="H13" s="18">
        <f t="shared" si="0"/>
        <v>62118.00000000056</v>
      </c>
      <c r="I13" s="19"/>
      <c r="J13" s="20"/>
    </row>
    <row r="14" spans="1:10" ht="15.75" x14ac:dyDescent="0.25">
      <c r="A14" s="27" t="s">
        <v>24</v>
      </c>
      <c r="B14" s="144" t="s">
        <v>13</v>
      </c>
      <c r="C14" s="144">
        <v>51217276</v>
      </c>
      <c r="D14" s="145" t="s">
        <v>21</v>
      </c>
      <c r="E14" s="144">
        <v>21000</v>
      </c>
      <c r="F14" s="28">
        <v>0.34699999999999998</v>
      </c>
      <c r="G14" s="28">
        <v>0.35299999999999998</v>
      </c>
      <c r="H14" s="18">
        <f>(G14-F14)*E14</f>
        <v>126.00000000000011</v>
      </c>
      <c r="I14" s="19"/>
      <c r="J14" s="20"/>
    </row>
    <row r="15" spans="1:10" ht="15.75" x14ac:dyDescent="0.25">
      <c r="A15" s="27" t="s">
        <v>25</v>
      </c>
      <c r="B15" s="144" t="s">
        <v>13</v>
      </c>
      <c r="C15" s="144">
        <v>51100990</v>
      </c>
      <c r="D15" s="145" t="s">
        <v>21</v>
      </c>
      <c r="E15" s="144">
        <v>21000</v>
      </c>
      <c r="F15" s="29">
        <v>553.08399999999995</v>
      </c>
      <c r="G15" s="29">
        <v>555.88499999999999</v>
      </c>
      <c r="H15" s="18">
        <f t="shared" si="0"/>
        <v>58821.000000000939</v>
      </c>
      <c r="I15" s="19"/>
      <c r="J15" s="20"/>
    </row>
    <row r="16" spans="1:10" ht="15.75" x14ac:dyDescent="0.25">
      <c r="A16" s="27" t="s">
        <v>26</v>
      </c>
      <c r="B16" s="144" t="s">
        <v>13</v>
      </c>
      <c r="C16" s="144">
        <v>51097622</v>
      </c>
      <c r="D16" s="145" t="s">
        <v>21</v>
      </c>
      <c r="E16" s="144">
        <v>21000</v>
      </c>
      <c r="F16" s="21">
        <v>2.4180000000000001</v>
      </c>
      <c r="G16" s="21">
        <v>2.431</v>
      </c>
      <c r="H16" s="18">
        <f t="shared" si="0"/>
        <v>272.9999999999979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44"/>
      <c r="D17" s="145"/>
      <c r="E17" s="144"/>
      <c r="F17" s="21"/>
      <c r="G17" s="21"/>
      <c r="H17" s="23">
        <f>H11+H12+H13+H14+H15+H16</f>
        <v>200676.00000000288</v>
      </c>
      <c r="I17" s="19"/>
      <c r="J17" s="20"/>
    </row>
    <row r="18" spans="1:10" ht="15.75" x14ac:dyDescent="0.25">
      <c r="A18" s="26" t="s">
        <v>29</v>
      </c>
      <c r="B18" s="144" t="s">
        <v>13</v>
      </c>
      <c r="C18" s="144">
        <v>51097617</v>
      </c>
      <c r="D18" s="145" t="s">
        <v>30</v>
      </c>
      <c r="E18" s="144">
        <v>18000</v>
      </c>
      <c r="F18" s="30">
        <v>643.76300000000003</v>
      </c>
      <c r="G18" s="30">
        <v>647.31100000000004</v>
      </c>
      <c r="H18" s="18">
        <f>(G18-F18)*E18</f>
        <v>63864.000000000029</v>
      </c>
      <c r="I18" s="19"/>
      <c r="J18" s="20"/>
    </row>
    <row r="19" spans="1:10" ht="15.75" x14ac:dyDescent="0.25">
      <c r="A19" s="26" t="s">
        <v>31</v>
      </c>
      <c r="B19" s="144" t="s">
        <v>13</v>
      </c>
      <c r="C19" s="144">
        <v>51097655</v>
      </c>
      <c r="D19" s="145" t="s">
        <v>30</v>
      </c>
      <c r="E19" s="144">
        <v>18000</v>
      </c>
      <c r="F19" s="30">
        <v>6.1269999999999998</v>
      </c>
      <c r="G19" s="30">
        <v>6.1269999999999998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44"/>
      <c r="D20" s="145"/>
      <c r="E20" s="144"/>
      <c r="F20" s="30"/>
      <c r="G20" s="30"/>
      <c r="H20" s="23">
        <f>H18+H19</f>
        <v>63864.000000000029</v>
      </c>
      <c r="I20" s="24">
        <f>H20-H35</f>
        <v>2543.4000000001251</v>
      </c>
      <c r="J20" s="25">
        <f>I20/H20</f>
        <v>3.9825253664038017E-2</v>
      </c>
    </row>
    <row r="21" spans="1:10" ht="15.75" x14ac:dyDescent="0.25">
      <c r="A21" s="15" t="s">
        <v>33</v>
      </c>
      <c r="B21" s="144" t="s">
        <v>13</v>
      </c>
      <c r="C21" s="144">
        <v>51217282</v>
      </c>
      <c r="D21" s="145" t="s">
        <v>34</v>
      </c>
      <c r="E21" s="144">
        <v>4800</v>
      </c>
      <c r="F21" s="21">
        <v>378.36900000000003</v>
      </c>
      <c r="G21" s="21">
        <v>378.36900000000003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44" t="s">
        <v>13</v>
      </c>
      <c r="C22" s="144">
        <v>51217274</v>
      </c>
      <c r="D22" s="145" t="s">
        <v>34</v>
      </c>
      <c r="E22" s="144">
        <v>4800</v>
      </c>
      <c r="F22" s="21">
        <v>1022.487</v>
      </c>
      <c r="G22" s="21">
        <v>1028.2809999999999</v>
      </c>
      <c r="H22" s="18">
        <f t="shared" si="1"/>
        <v>27811.199999999917</v>
      </c>
      <c r="I22" s="19"/>
      <c r="J22" s="20"/>
    </row>
    <row r="23" spans="1:10" ht="15.75" x14ac:dyDescent="0.25">
      <c r="A23" s="15" t="s">
        <v>36</v>
      </c>
      <c r="B23" s="144" t="s">
        <v>13</v>
      </c>
      <c r="C23" s="144">
        <v>51097664</v>
      </c>
      <c r="D23" s="145" t="s">
        <v>37</v>
      </c>
      <c r="E23" s="144">
        <v>600</v>
      </c>
      <c r="F23" s="21">
        <v>3.774</v>
      </c>
      <c r="G23" s="21">
        <v>3.7930000000000001</v>
      </c>
      <c r="H23" s="18">
        <f t="shared" si="1"/>
        <v>11.400000000000077</v>
      </c>
      <c r="I23" s="19"/>
      <c r="J23" s="20"/>
    </row>
    <row r="24" spans="1:10" ht="15.75" x14ac:dyDescent="0.25">
      <c r="A24" s="15" t="s">
        <v>38</v>
      </c>
      <c r="B24" s="144" t="s">
        <v>13</v>
      </c>
      <c r="C24" s="144">
        <v>51097615</v>
      </c>
      <c r="D24" s="145" t="s">
        <v>37</v>
      </c>
      <c r="E24" s="144">
        <v>600</v>
      </c>
      <c r="F24" s="21">
        <v>24.263000000000002</v>
      </c>
      <c r="G24" s="21">
        <v>24.646999999999998</v>
      </c>
      <c r="H24" s="18">
        <f t="shared" si="1"/>
        <v>230.39999999999807</v>
      </c>
      <c r="I24" s="19"/>
      <c r="J24" s="20"/>
    </row>
    <row r="25" spans="1:10" ht="15.75" x14ac:dyDescent="0.25">
      <c r="A25" s="15" t="s">
        <v>39</v>
      </c>
      <c r="B25" s="144" t="s">
        <v>13</v>
      </c>
      <c r="C25" s="144">
        <v>51217264</v>
      </c>
      <c r="D25" s="145" t="s">
        <v>37</v>
      </c>
      <c r="E25" s="144">
        <v>600</v>
      </c>
      <c r="F25" s="21">
        <v>65.822000000000003</v>
      </c>
      <c r="G25" s="21">
        <v>66.498000000000005</v>
      </c>
      <c r="H25" s="18">
        <f t="shared" si="1"/>
        <v>405.60000000000116</v>
      </c>
      <c r="I25" s="19"/>
      <c r="J25" s="20"/>
    </row>
    <row r="26" spans="1:10" ht="15.75" x14ac:dyDescent="0.25">
      <c r="A26" s="15" t="s">
        <v>40</v>
      </c>
      <c r="B26" s="144" t="s">
        <v>13</v>
      </c>
      <c r="C26" s="144">
        <v>51217288</v>
      </c>
      <c r="D26" s="145" t="s">
        <v>37</v>
      </c>
      <c r="E26" s="144">
        <v>600</v>
      </c>
      <c r="F26" s="21">
        <v>18.792000000000002</v>
      </c>
      <c r="G26" s="21">
        <v>18.823</v>
      </c>
      <c r="H26" s="18">
        <f t="shared" si="1"/>
        <v>18.599999999999284</v>
      </c>
      <c r="I26" s="19" t="s">
        <v>27</v>
      </c>
      <c r="J26" s="20"/>
    </row>
    <row r="27" spans="1:10" ht="15.75" x14ac:dyDescent="0.25">
      <c r="A27" s="15" t="s">
        <v>41</v>
      </c>
      <c r="B27" s="144" t="s">
        <v>13</v>
      </c>
      <c r="C27" s="144">
        <v>51217279</v>
      </c>
      <c r="D27" s="145" t="s">
        <v>37</v>
      </c>
      <c r="E27" s="144">
        <v>600</v>
      </c>
      <c r="F27" s="21">
        <v>12.356</v>
      </c>
      <c r="G27" s="21">
        <v>12.41</v>
      </c>
      <c r="H27" s="18">
        <f t="shared" si="1"/>
        <v>32.400000000000162</v>
      </c>
      <c r="I27" s="19" t="s">
        <v>27</v>
      </c>
      <c r="J27" s="20"/>
    </row>
    <row r="28" spans="1:10" ht="15.75" x14ac:dyDescent="0.25">
      <c r="A28" s="15" t="s">
        <v>42</v>
      </c>
      <c r="B28" s="144" t="s">
        <v>13</v>
      </c>
      <c r="C28" s="144">
        <v>51217272</v>
      </c>
      <c r="D28" s="145" t="s">
        <v>37</v>
      </c>
      <c r="E28" s="144">
        <v>600</v>
      </c>
      <c r="F28" s="31">
        <v>12.122</v>
      </c>
      <c r="G28" s="31">
        <v>12.175000000000001</v>
      </c>
      <c r="H28" s="18">
        <f t="shared" si="1"/>
        <v>31.800000000000495</v>
      </c>
      <c r="I28" s="19"/>
      <c r="J28" s="20"/>
    </row>
    <row r="29" spans="1:10" ht="15.75" x14ac:dyDescent="0.25">
      <c r="A29" s="15" t="s">
        <v>43</v>
      </c>
      <c r="B29" s="144" t="s">
        <v>13</v>
      </c>
      <c r="C29" s="144">
        <v>51616744</v>
      </c>
      <c r="D29" s="145">
        <f>300/5</f>
        <v>60</v>
      </c>
      <c r="E29" s="144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44" t="s">
        <v>13</v>
      </c>
      <c r="C30" s="144">
        <v>51555226</v>
      </c>
      <c r="D30" s="145">
        <f>300/5</f>
        <v>60</v>
      </c>
      <c r="E30" s="144">
        <v>3600</v>
      </c>
      <c r="F30" s="31">
        <v>290.90800000000002</v>
      </c>
      <c r="G30" s="31">
        <v>295.084</v>
      </c>
      <c r="H30" s="18">
        <f>(G30-F30)*E30</f>
        <v>15033.599999999955</v>
      </c>
      <c r="I30" s="19"/>
      <c r="J30" s="20"/>
    </row>
    <row r="31" spans="1:10" ht="15.75" x14ac:dyDescent="0.25">
      <c r="A31" s="15" t="s">
        <v>45</v>
      </c>
      <c r="B31" s="144" t="s">
        <v>13</v>
      </c>
      <c r="C31" s="144">
        <v>51097658</v>
      </c>
      <c r="D31" s="145" t="s">
        <v>34</v>
      </c>
      <c r="E31" s="144">
        <v>4800</v>
      </c>
      <c r="F31" s="31">
        <v>476.28</v>
      </c>
      <c r="G31" s="31">
        <v>479.91899999999998</v>
      </c>
      <c r="H31" s="18">
        <f t="shared" si="1"/>
        <v>17467.200000000048</v>
      </c>
      <c r="I31" s="19"/>
      <c r="J31" s="20"/>
    </row>
    <row r="32" spans="1:10" ht="15.75" x14ac:dyDescent="0.25">
      <c r="A32" s="15" t="s">
        <v>46</v>
      </c>
      <c r="B32" s="144" t="s">
        <v>13</v>
      </c>
      <c r="C32" s="144">
        <v>51097635</v>
      </c>
      <c r="D32" s="145" t="s">
        <v>34</v>
      </c>
      <c r="E32" s="144">
        <v>4800</v>
      </c>
      <c r="F32" s="31">
        <v>48.43</v>
      </c>
      <c r="G32" s="31">
        <v>48.430999999999997</v>
      </c>
      <c r="H32" s="18">
        <f t="shared" si="1"/>
        <v>4.7999999999888132</v>
      </c>
      <c r="I32" s="19"/>
      <c r="J32" s="20"/>
    </row>
    <row r="33" spans="1:10" ht="15.75" x14ac:dyDescent="0.25">
      <c r="A33" s="15" t="s">
        <v>47</v>
      </c>
      <c r="B33" s="144" t="s">
        <v>13</v>
      </c>
      <c r="C33" s="32">
        <v>51097633</v>
      </c>
      <c r="D33" s="145" t="s">
        <v>34</v>
      </c>
      <c r="E33" s="144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44" t="s">
        <v>13</v>
      </c>
      <c r="C34" s="32">
        <v>51097662</v>
      </c>
      <c r="D34" s="145" t="s">
        <v>34</v>
      </c>
      <c r="E34" s="144">
        <v>4800</v>
      </c>
      <c r="F34" s="31">
        <v>0.48199999999999998</v>
      </c>
      <c r="G34" s="31">
        <v>0.53900000000000003</v>
      </c>
      <c r="H34" s="33">
        <f t="shared" si="1"/>
        <v>273.60000000000025</v>
      </c>
      <c r="I34" s="34"/>
      <c r="J34" s="35"/>
    </row>
    <row r="35" spans="1:10" ht="15.75" x14ac:dyDescent="0.25">
      <c r="A35" s="219" t="s">
        <v>48</v>
      </c>
      <c r="B35" s="220"/>
      <c r="C35" s="144"/>
      <c r="D35" s="145"/>
      <c r="E35" s="144"/>
      <c r="F35" s="36"/>
      <c r="G35" s="36"/>
      <c r="H35" s="23">
        <f>H21+H22+H23+H24+H25+H26+H27+H28+H29+H30+H31+H32+H33+H34</f>
        <v>61320.599999999904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44" t="s">
        <v>51</v>
      </c>
      <c r="C37" s="144">
        <v>51555209</v>
      </c>
      <c r="D37" s="145" t="s">
        <v>52</v>
      </c>
      <c r="E37" s="144">
        <v>7000</v>
      </c>
      <c r="F37" s="17">
        <v>3.298</v>
      </c>
      <c r="G37" s="17">
        <v>3.3439999999999999</v>
      </c>
      <c r="H37" s="41">
        <f>(G37-F37)*E37</f>
        <v>321.99999999999875</v>
      </c>
      <c r="I37" s="42"/>
      <c r="J37" s="14"/>
    </row>
    <row r="38" spans="1:10" ht="15.75" x14ac:dyDescent="0.25">
      <c r="A38" s="15" t="s">
        <v>53</v>
      </c>
      <c r="B38" s="144" t="s">
        <v>51</v>
      </c>
      <c r="C38" s="144">
        <v>51555209</v>
      </c>
      <c r="D38" s="145" t="s">
        <v>52</v>
      </c>
      <c r="E38" s="144">
        <v>7000</v>
      </c>
      <c r="F38" s="21">
        <v>8.2010000000000005</v>
      </c>
      <c r="G38" s="21">
        <v>8.234</v>
      </c>
      <c r="H38" s="18">
        <f>(G38-F38)*E38</f>
        <v>230.99999999999631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44" t="s">
        <v>51</v>
      </c>
      <c r="C40" s="144">
        <v>51097674</v>
      </c>
      <c r="D40" s="144" t="s">
        <v>14</v>
      </c>
      <c r="E40" s="144">
        <v>7200</v>
      </c>
      <c r="F40" s="21">
        <v>467.98599999999999</v>
      </c>
      <c r="G40" s="21">
        <v>470.48</v>
      </c>
      <c r="H40" s="18">
        <f>(G40-F40)*E40</f>
        <v>17956.800000000203</v>
      </c>
      <c r="I40" s="47"/>
      <c r="J40" s="20"/>
    </row>
    <row r="41" spans="1:10" ht="15.75" x14ac:dyDescent="0.25">
      <c r="A41" s="27" t="s">
        <v>56</v>
      </c>
      <c r="B41" s="144" t="s">
        <v>51</v>
      </c>
      <c r="C41" s="144">
        <v>51259257</v>
      </c>
      <c r="D41" s="144" t="s">
        <v>14</v>
      </c>
      <c r="E41" s="144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44"/>
      <c r="C42" s="144"/>
      <c r="D42" s="144"/>
      <c r="E42" s="144"/>
      <c r="F42" s="21"/>
      <c r="G42" s="21"/>
      <c r="H42" s="48">
        <f>H40+H41</f>
        <v>17956.800000000203</v>
      </c>
      <c r="I42" s="24">
        <f>H42-H50</f>
        <v>-118.39999999964493</v>
      </c>
      <c r="J42" s="25">
        <f>I42/H42</f>
        <v>-6.5936024235745561E-3</v>
      </c>
    </row>
    <row r="43" spans="1:10" ht="15.75" x14ac:dyDescent="0.25">
      <c r="A43" s="15" t="s">
        <v>58</v>
      </c>
      <c r="B43" s="144"/>
      <c r="C43" s="144"/>
      <c r="D43" s="145"/>
      <c r="E43" s="144"/>
      <c r="H43" s="18"/>
      <c r="I43" s="43"/>
      <c r="J43" s="20"/>
    </row>
    <row r="44" spans="1:10" ht="15.75" x14ac:dyDescent="0.25">
      <c r="A44" s="27" t="s">
        <v>59</v>
      </c>
      <c r="B44" s="144" t="s">
        <v>51</v>
      </c>
      <c r="C44" s="32">
        <v>51097648</v>
      </c>
      <c r="D44" s="144" t="s">
        <v>52</v>
      </c>
      <c r="E44" s="144">
        <v>1200</v>
      </c>
      <c r="F44" s="21">
        <v>382.30200000000002</v>
      </c>
      <c r="G44" s="21">
        <v>384.45100000000002</v>
      </c>
      <c r="H44" s="33">
        <f>(G44-F44)*E44</f>
        <v>2578.8000000000011</v>
      </c>
      <c r="I44" s="43"/>
      <c r="J44" s="20"/>
    </row>
    <row r="45" spans="1:10" ht="15.75" x14ac:dyDescent="0.25">
      <c r="A45" s="27" t="s">
        <v>60</v>
      </c>
      <c r="B45" s="144" t="s">
        <v>51</v>
      </c>
      <c r="C45" s="32">
        <v>50555043</v>
      </c>
      <c r="D45" s="144" t="s">
        <v>52</v>
      </c>
      <c r="E45" s="144">
        <v>1200</v>
      </c>
      <c r="F45" s="21">
        <v>1607.66</v>
      </c>
      <c r="G45" s="21">
        <v>1615.7429999999999</v>
      </c>
      <c r="H45" s="33">
        <f>(G45-F45)*E45</f>
        <v>9699.5999999998276</v>
      </c>
      <c r="I45" s="43"/>
      <c r="J45" s="20"/>
    </row>
    <row r="46" spans="1:10" ht="15.75" x14ac:dyDescent="0.25">
      <c r="A46" s="27" t="s">
        <v>61</v>
      </c>
      <c r="B46" s="144" t="s">
        <v>51</v>
      </c>
      <c r="C46" s="32">
        <v>51259336</v>
      </c>
      <c r="D46" s="144" t="s">
        <v>62</v>
      </c>
      <c r="E46" s="144">
        <v>2400</v>
      </c>
      <c r="F46" s="21">
        <v>3.4260000000000002</v>
      </c>
      <c r="G46" s="21">
        <v>3.44</v>
      </c>
      <c r="H46" s="33">
        <f>(G46-F46)*E46</f>
        <v>33.599999999999497</v>
      </c>
      <c r="I46" s="43"/>
      <c r="J46" s="20"/>
    </row>
    <row r="47" spans="1:10" ht="15.75" x14ac:dyDescent="0.25">
      <c r="A47" s="27" t="s">
        <v>63</v>
      </c>
      <c r="B47" s="144" t="s">
        <v>51</v>
      </c>
      <c r="C47" s="32">
        <v>51259266</v>
      </c>
      <c r="D47" s="144" t="s">
        <v>52</v>
      </c>
      <c r="E47" s="144">
        <v>1200</v>
      </c>
      <c r="F47" s="21">
        <v>777.83600000000001</v>
      </c>
      <c r="G47" s="21">
        <v>782.28700000000003</v>
      </c>
      <c r="H47" s="33">
        <f>(G47-F47)*E47</f>
        <v>5341.2000000000262</v>
      </c>
      <c r="I47" s="43"/>
      <c r="J47" s="20"/>
    </row>
    <row r="48" spans="1:10" ht="15.75" x14ac:dyDescent="0.25">
      <c r="A48" s="27" t="s">
        <v>64</v>
      </c>
      <c r="B48" s="144" t="s">
        <v>51</v>
      </c>
      <c r="C48" s="32">
        <v>51431336</v>
      </c>
      <c r="D48" s="144" t="s">
        <v>52</v>
      </c>
      <c r="E48" s="144">
        <v>1200</v>
      </c>
      <c r="F48" s="21">
        <v>40.664000000000001</v>
      </c>
      <c r="G48" s="21">
        <v>40.973999999999997</v>
      </c>
      <c r="H48" s="33">
        <f>(G48-F48)*E48</f>
        <v>371.9999999999942</v>
      </c>
      <c r="I48" s="43"/>
      <c r="J48" s="20"/>
    </row>
    <row r="49" spans="1:10" ht="15.75" x14ac:dyDescent="0.25">
      <c r="A49" s="15" t="s">
        <v>65</v>
      </c>
      <c r="B49" s="144" t="s">
        <v>66</v>
      </c>
      <c r="C49" s="144">
        <v>49174</v>
      </c>
      <c r="D49" s="145" t="s">
        <v>52</v>
      </c>
      <c r="E49" s="144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18075.199999999848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44" t="s">
        <v>51</v>
      </c>
      <c r="C52" s="144">
        <v>51097603</v>
      </c>
      <c r="D52" s="145" t="s">
        <v>52</v>
      </c>
      <c r="E52" s="144">
        <v>7000</v>
      </c>
      <c r="F52" s="17">
        <v>1551.191</v>
      </c>
      <c r="G52" s="17">
        <v>1559.654</v>
      </c>
      <c r="H52" s="18">
        <f>(G52-F52)*E52</f>
        <v>59240.99999999976</v>
      </c>
      <c r="I52" s="43"/>
      <c r="J52" s="20"/>
    </row>
    <row r="53" spans="1:10" ht="15.75" x14ac:dyDescent="0.25">
      <c r="A53" s="27" t="s">
        <v>71</v>
      </c>
      <c r="B53" s="144" t="s">
        <v>51</v>
      </c>
      <c r="C53" s="144">
        <v>51097590</v>
      </c>
      <c r="D53" s="145" t="s">
        <v>52</v>
      </c>
      <c r="E53" s="144">
        <v>7000</v>
      </c>
      <c r="F53" s="21">
        <v>8.8490000000000002</v>
      </c>
      <c r="G53" s="21">
        <v>8.9239999999999995</v>
      </c>
      <c r="H53" s="18">
        <f>(G53-F53)*E53</f>
        <v>524.999999999995</v>
      </c>
      <c r="I53" s="43"/>
      <c r="J53" s="20"/>
    </row>
    <row r="54" spans="1:10" ht="15.75" x14ac:dyDescent="0.25">
      <c r="A54" s="15" t="s">
        <v>65</v>
      </c>
      <c r="B54" s="144" t="s">
        <v>66</v>
      </c>
      <c r="C54" s="144">
        <v>49174</v>
      </c>
      <c r="D54" s="145" t="s">
        <v>52</v>
      </c>
      <c r="E54" s="144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44"/>
      <c r="D55" s="145"/>
      <c r="E55" s="144"/>
      <c r="F55" s="21"/>
      <c r="G55" s="21"/>
      <c r="H55" s="48">
        <f>H52+H53+H54</f>
        <v>59865.999999999753</v>
      </c>
      <c r="I55" s="47"/>
      <c r="J55" s="59"/>
    </row>
    <row r="56" spans="1:10" ht="15.75" x14ac:dyDescent="0.25">
      <c r="A56" s="27" t="s">
        <v>73</v>
      </c>
      <c r="B56" s="144" t="s">
        <v>51</v>
      </c>
      <c r="C56" s="144">
        <v>51100980</v>
      </c>
      <c r="D56" s="144" t="s">
        <v>74</v>
      </c>
      <c r="E56" s="144">
        <v>12000</v>
      </c>
      <c r="F56" s="21">
        <v>912.21100000000001</v>
      </c>
      <c r="G56" s="21">
        <v>917.197</v>
      </c>
      <c r="H56" s="18">
        <f>(G56-F56)*E56</f>
        <v>59831.999999999884</v>
      </c>
      <c r="I56" s="47"/>
      <c r="J56" s="58"/>
    </row>
    <row r="57" spans="1:10" ht="15.75" x14ac:dyDescent="0.25">
      <c r="A57" s="27" t="s">
        <v>75</v>
      </c>
      <c r="B57" s="144" t="s">
        <v>51</v>
      </c>
      <c r="C57" s="144">
        <v>51097623</v>
      </c>
      <c r="D57" s="144" t="s">
        <v>74</v>
      </c>
      <c r="E57" s="144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44"/>
      <c r="C58" s="144"/>
      <c r="D58" s="144"/>
      <c r="E58" s="144"/>
      <c r="F58" s="21"/>
      <c r="G58" s="21"/>
      <c r="H58" s="48">
        <f>H56+H57</f>
        <v>59831.999999999884</v>
      </c>
      <c r="I58" s="61">
        <f>H55-H65-H54</f>
        <v>-213.6000000002532</v>
      </c>
      <c r="J58" s="25">
        <f>I58/H58</f>
        <v>-3.5699959887727909E-3</v>
      </c>
    </row>
    <row r="59" spans="1:10" ht="15.75" x14ac:dyDescent="0.25">
      <c r="A59" s="27" t="s">
        <v>77</v>
      </c>
      <c r="B59" s="144" t="s">
        <v>51</v>
      </c>
      <c r="C59" s="144">
        <v>51097675</v>
      </c>
      <c r="D59" s="144" t="s">
        <v>34</v>
      </c>
      <c r="E59" s="144">
        <v>4800</v>
      </c>
      <c r="F59" s="21">
        <v>346.57400000000001</v>
      </c>
      <c r="G59" s="21">
        <v>349.69600000000003</v>
      </c>
      <c r="H59" s="18">
        <f t="shared" ref="H59:H64" si="2">(G59-F59)*E59</f>
        <v>14985.600000000068</v>
      </c>
      <c r="I59" s="62"/>
      <c r="J59" s="59"/>
    </row>
    <row r="60" spans="1:10" ht="15.75" x14ac:dyDescent="0.25">
      <c r="A60" s="27" t="s">
        <v>78</v>
      </c>
      <c r="B60" s="144" t="s">
        <v>51</v>
      </c>
      <c r="C60" s="144">
        <v>51100997</v>
      </c>
      <c r="D60" s="144" t="s">
        <v>21</v>
      </c>
      <c r="E60" s="144">
        <v>3600</v>
      </c>
      <c r="F60" s="21">
        <v>1176.479</v>
      </c>
      <c r="G60" s="21">
        <v>1181.923</v>
      </c>
      <c r="H60" s="18">
        <f t="shared" si="2"/>
        <v>19598.399999999856</v>
      </c>
      <c r="I60" s="62"/>
      <c r="J60" s="59"/>
    </row>
    <row r="61" spans="1:10" ht="15.75" x14ac:dyDescent="0.25">
      <c r="A61" s="27" t="s">
        <v>79</v>
      </c>
      <c r="B61" s="144" t="s">
        <v>51</v>
      </c>
      <c r="C61" s="144">
        <v>51555218</v>
      </c>
      <c r="D61" s="144">
        <f>400/5</f>
        <v>80</v>
      </c>
      <c r="E61" s="144">
        <v>4800</v>
      </c>
      <c r="F61" s="21">
        <v>38.201000000000001</v>
      </c>
      <c r="G61" s="21">
        <v>38.686</v>
      </c>
      <c r="H61" s="18">
        <f t="shared" si="2"/>
        <v>2327.9999999999973</v>
      </c>
      <c r="I61" s="62"/>
      <c r="J61" s="59"/>
    </row>
    <row r="62" spans="1:10" ht="15.75" x14ac:dyDescent="0.25">
      <c r="A62" s="27" t="s">
        <v>80</v>
      </c>
      <c r="B62" s="144" t="s">
        <v>51</v>
      </c>
      <c r="C62" s="144">
        <v>51555151</v>
      </c>
      <c r="D62" s="144">
        <f>400/5</f>
        <v>80</v>
      </c>
      <c r="E62" s="144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44" t="s">
        <v>51</v>
      </c>
      <c r="C63" s="144">
        <v>51097599</v>
      </c>
      <c r="D63" s="144" t="s">
        <v>21</v>
      </c>
      <c r="E63" s="144">
        <v>3600</v>
      </c>
      <c r="F63" s="21">
        <v>831.23400000000004</v>
      </c>
      <c r="G63" s="21">
        <v>834.36300000000006</v>
      </c>
      <c r="H63" s="18">
        <f t="shared" si="2"/>
        <v>11264.400000000069</v>
      </c>
      <c r="I63" s="62"/>
      <c r="J63" s="59"/>
    </row>
    <row r="64" spans="1:10" ht="15.75" x14ac:dyDescent="0.25">
      <c r="A64" s="27" t="s">
        <v>82</v>
      </c>
      <c r="B64" s="144" t="s">
        <v>51</v>
      </c>
      <c r="C64" s="144">
        <v>51097620</v>
      </c>
      <c r="D64" s="144" t="s">
        <v>34</v>
      </c>
      <c r="E64" s="144">
        <v>4800</v>
      </c>
      <c r="F64" s="21">
        <v>378.46800000000002</v>
      </c>
      <c r="G64" s="21">
        <v>380.92700000000002</v>
      </c>
      <c r="H64" s="18">
        <f t="shared" si="2"/>
        <v>11803.200000000015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59979.600000000006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44" t="s">
        <v>51</v>
      </c>
      <c r="C67" s="9">
        <v>51259238</v>
      </c>
      <c r="D67" s="74" t="s">
        <v>52</v>
      </c>
      <c r="E67" s="74">
        <v>7000</v>
      </c>
      <c r="F67" s="75">
        <v>414.75</v>
      </c>
      <c r="G67" s="75">
        <v>417.42399999999998</v>
      </c>
      <c r="H67" s="76">
        <f>(G67-F67)*E67</f>
        <v>18717.999999999847</v>
      </c>
      <c r="I67" s="77"/>
      <c r="J67" s="78"/>
    </row>
    <row r="68" spans="1:10" ht="15.75" x14ac:dyDescent="0.25">
      <c r="A68" s="27" t="s">
        <v>85</v>
      </c>
      <c r="B68" s="144" t="s">
        <v>51</v>
      </c>
      <c r="C68" s="144">
        <v>51259324</v>
      </c>
      <c r="D68" s="145" t="s">
        <v>52</v>
      </c>
      <c r="E68" s="145">
        <v>7000</v>
      </c>
      <c r="F68" s="21">
        <v>319.01900000000001</v>
      </c>
      <c r="G68" s="21">
        <v>321.14400000000001</v>
      </c>
      <c r="H68" s="18">
        <f>(G68-F68)*E68</f>
        <v>14875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44">
        <v>51491618</v>
      </c>
      <c r="D69" s="145" t="s">
        <v>62</v>
      </c>
      <c r="E69" s="144">
        <v>40</v>
      </c>
      <c r="F69" s="28">
        <v>706.15700000000004</v>
      </c>
      <c r="G69" s="28">
        <v>715.77099999999996</v>
      </c>
      <c r="H69" s="18">
        <f>(G69-F69)*E69</f>
        <v>384.55999999999676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44">
        <v>51491624</v>
      </c>
      <c r="D70" s="145" t="s">
        <v>62</v>
      </c>
      <c r="E70" s="144">
        <v>40</v>
      </c>
      <c r="F70" s="28">
        <v>101.209</v>
      </c>
      <c r="G70" s="28">
        <v>102.06</v>
      </c>
      <c r="H70" s="18">
        <f>(G70-F70)*E70</f>
        <v>34.039999999999964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33592.999999999847</v>
      </c>
      <c r="I71" s="85">
        <f>H71-H74-H69-H70</f>
        <v>-965.60000000013497</v>
      </c>
      <c r="J71" s="25">
        <f>I71/H71</f>
        <v>-2.8744083588847062E-2</v>
      </c>
    </row>
    <row r="72" spans="1:10" ht="15.75" x14ac:dyDescent="0.25">
      <c r="A72" s="27" t="s">
        <v>90</v>
      </c>
      <c r="B72" s="144" t="s">
        <v>51</v>
      </c>
      <c r="C72" s="86">
        <v>51097588</v>
      </c>
      <c r="D72" s="145" t="s">
        <v>74</v>
      </c>
      <c r="E72" s="144">
        <v>12000</v>
      </c>
      <c r="F72" s="21">
        <v>251.684</v>
      </c>
      <c r="G72" s="21">
        <v>253.24</v>
      </c>
      <c r="H72" s="18">
        <f>(G72-F72)*E72</f>
        <v>18672.000000000138</v>
      </c>
      <c r="I72" s="51"/>
      <c r="J72" s="58"/>
    </row>
    <row r="73" spans="1:10" ht="15.75" x14ac:dyDescent="0.25">
      <c r="A73" s="27" t="s">
        <v>91</v>
      </c>
      <c r="B73" s="144" t="s">
        <v>51</v>
      </c>
      <c r="C73" s="86">
        <v>51431335</v>
      </c>
      <c r="D73" s="145" t="s">
        <v>74</v>
      </c>
      <c r="E73" s="144">
        <v>12000</v>
      </c>
      <c r="F73" s="21">
        <v>196.167</v>
      </c>
      <c r="G73" s="21">
        <v>197.45599999999999</v>
      </c>
      <c r="H73" s="18">
        <f>(G73-F73)*E73</f>
        <v>15467.999999999847</v>
      </c>
      <c r="I73" s="51"/>
      <c r="J73" s="58"/>
    </row>
    <row r="74" spans="1:10" ht="15.75" x14ac:dyDescent="0.25">
      <c r="A74" s="87" t="s">
        <v>92</v>
      </c>
      <c r="B74" s="144" t="s">
        <v>27</v>
      </c>
      <c r="C74" s="144"/>
      <c r="D74" s="145"/>
      <c r="E74" s="144"/>
      <c r="F74" s="21"/>
      <c r="G74" s="21"/>
      <c r="H74" s="48">
        <f>H72+ H73</f>
        <v>34139.999999999985</v>
      </c>
      <c r="I74" s="85">
        <f>H74-H82</f>
        <v>-78.000000000174623</v>
      </c>
      <c r="J74" s="25">
        <f>I74/H74</f>
        <v>-2.2847100175798084E-3</v>
      </c>
    </row>
    <row r="75" spans="1:10" ht="15.75" x14ac:dyDescent="0.25">
      <c r="A75" s="27" t="s">
        <v>93</v>
      </c>
      <c r="B75" s="144" t="s">
        <v>51</v>
      </c>
      <c r="C75" s="86">
        <v>51097676</v>
      </c>
      <c r="D75" s="88" t="s">
        <v>62</v>
      </c>
      <c r="E75" s="144">
        <v>2400</v>
      </c>
      <c r="F75" s="21">
        <v>500.95600000000002</v>
      </c>
      <c r="G75" s="21">
        <v>504.73500000000001</v>
      </c>
      <c r="H75" s="18">
        <f>(G75-F75)*E75</f>
        <v>9069.5999999999913</v>
      </c>
      <c r="I75" s="51"/>
      <c r="J75" s="58"/>
    </row>
    <row r="76" spans="1:10" ht="15.75" x14ac:dyDescent="0.25">
      <c r="A76" s="27" t="s">
        <v>94</v>
      </c>
      <c r="B76" s="144" t="s">
        <v>51</v>
      </c>
      <c r="C76" s="86">
        <v>51431355</v>
      </c>
      <c r="D76" s="145" t="s">
        <v>21</v>
      </c>
      <c r="E76" s="145">
        <v>3600</v>
      </c>
      <c r="F76" s="21">
        <v>297.23599999999999</v>
      </c>
      <c r="G76" s="21">
        <v>298.625</v>
      </c>
      <c r="H76" s="18">
        <f>(G76-F76)*E76</f>
        <v>5000.400000000036</v>
      </c>
      <c r="I76" s="51"/>
      <c r="J76" s="52"/>
    </row>
    <row r="77" spans="1:10" ht="15.75" x14ac:dyDescent="0.25">
      <c r="A77" s="27" t="s">
        <v>95</v>
      </c>
      <c r="B77" s="144" t="s">
        <v>51</v>
      </c>
      <c r="C77" s="86">
        <v>51259331</v>
      </c>
      <c r="D77" s="88" t="s">
        <v>37</v>
      </c>
      <c r="E77" s="144">
        <v>600</v>
      </c>
      <c r="F77" s="21">
        <v>114.71</v>
      </c>
      <c r="G77" s="21">
        <v>115.67400000000001</v>
      </c>
      <c r="H77" s="18">
        <f>(G77-F77)*E77</f>
        <v>578.40000000000771</v>
      </c>
      <c r="I77" s="51"/>
      <c r="J77" s="52"/>
    </row>
    <row r="78" spans="1:10" ht="15.75" x14ac:dyDescent="0.25">
      <c r="A78" s="27" t="s">
        <v>96</v>
      </c>
      <c r="B78" s="144" t="s">
        <v>51</v>
      </c>
      <c r="C78" s="86">
        <v>51259326</v>
      </c>
      <c r="D78" s="88" t="s">
        <v>14</v>
      </c>
      <c r="E78" s="144">
        <v>7200</v>
      </c>
      <c r="F78" s="21">
        <v>256.75299999999999</v>
      </c>
      <c r="G78" s="21">
        <v>258.096</v>
      </c>
      <c r="H78" s="18">
        <f>(G78-F78)*E78</f>
        <v>9669.6000000001277</v>
      </c>
      <c r="I78" s="51"/>
      <c r="J78" s="52"/>
    </row>
    <row r="79" spans="1:10" ht="15.75" x14ac:dyDescent="0.25">
      <c r="A79" s="27" t="s">
        <v>97</v>
      </c>
      <c r="B79" s="144" t="s">
        <v>51</v>
      </c>
      <c r="C79" s="86">
        <v>51431351</v>
      </c>
      <c r="D79" s="88" t="s">
        <v>14</v>
      </c>
      <c r="E79" s="144">
        <v>7200</v>
      </c>
      <c r="F79" s="21">
        <v>165.81800000000001</v>
      </c>
      <c r="G79" s="21">
        <v>167.19300000000001</v>
      </c>
      <c r="H79" s="18">
        <f>(G79-F79)*E79</f>
        <v>9900</v>
      </c>
      <c r="I79" s="51"/>
      <c r="J79" s="52"/>
    </row>
    <row r="80" spans="1:10" ht="15.75" x14ac:dyDescent="0.25">
      <c r="A80" s="89" t="s">
        <v>98</v>
      </c>
      <c r="B80" s="144" t="s">
        <v>51</v>
      </c>
      <c r="C80" s="90">
        <v>51097666</v>
      </c>
      <c r="D80" s="88" t="s">
        <v>62</v>
      </c>
      <c r="E80" s="144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44" t="s">
        <v>51</v>
      </c>
      <c r="C81" s="90">
        <v>51259323</v>
      </c>
      <c r="D81" s="88" t="s">
        <v>62</v>
      </c>
      <c r="E81" s="144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34218.00000000016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44" t="s">
        <v>51</v>
      </c>
      <c r="C84" s="106">
        <v>51431297</v>
      </c>
      <c r="D84" s="145" t="s">
        <v>52</v>
      </c>
      <c r="E84" s="100">
        <v>7000</v>
      </c>
      <c r="F84" s="17">
        <v>196.96899999999999</v>
      </c>
      <c r="G84" s="17">
        <v>199.21899999999999</v>
      </c>
      <c r="H84" s="18">
        <f>(G84-F84)*E84</f>
        <v>15750</v>
      </c>
      <c r="I84" s="107"/>
      <c r="J84" s="108"/>
    </row>
    <row r="85" spans="1:10" ht="15.75" x14ac:dyDescent="0.25">
      <c r="A85" s="105" t="s">
        <v>85</v>
      </c>
      <c r="B85" s="144" t="s">
        <v>51</v>
      </c>
      <c r="C85" s="106">
        <v>51431332</v>
      </c>
      <c r="D85" s="145" t="s">
        <v>52</v>
      </c>
      <c r="E85" s="100">
        <v>7000</v>
      </c>
      <c r="F85" s="21">
        <v>304.48700000000002</v>
      </c>
      <c r="G85" s="21">
        <v>304.80799999999999</v>
      </c>
      <c r="H85" s="18">
        <f>(G85-F85)*E85</f>
        <v>2246.9999999997867</v>
      </c>
      <c r="I85" s="144"/>
      <c r="J85" s="58"/>
    </row>
    <row r="86" spans="1:10" ht="15.75" x14ac:dyDescent="0.25">
      <c r="A86" s="27" t="s">
        <v>86</v>
      </c>
      <c r="B86" s="144" t="s">
        <v>102</v>
      </c>
      <c r="C86" s="109">
        <v>150773</v>
      </c>
      <c r="D86" s="145" t="s">
        <v>52</v>
      </c>
      <c r="E86" s="109">
        <v>20</v>
      </c>
      <c r="F86" s="17">
        <v>15235.7</v>
      </c>
      <c r="G86" s="17">
        <v>15241.3</v>
      </c>
      <c r="H86" s="18">
        <f>(G86-F86)*E86</f>
        <v>111.9999999999709</v>
      </c>
      <c r="I86" s="51"/>
      <c r="J86" s="58"/>
    </row>
    <row r="87" spans="1:10" ht="15.75" x14ac:dyDescent="0.25">
      <c r="A87" s="27" t="s">
        <v>88</v>
      </c>
      <c r="B87" s="144" t="s">
        <v>102</v>
      </c>
      <c r="C87" s="109">
        <v>150791</v>
      </c>
      <c r="D87" s="145" t="s">
        <v>52</v>
      </c>
      <c r="E87" s="109">
        <v>20</v>
      </c>
      <c r="F87" s="21">
        <v>231.4</v>
      </c>
      <c r="G87" s="21">
        <v>231.5</v>
      </c>
      <c r="H87" s="18">
        <f>(G87-F87)*E87</f>
        <v>1.9999999999998863</v>
      </c>
      <c r="I87" s="51"/>
      <c r="J87" s="58"/>
    </row>
    <row r="88" spans="1:10" ht="15.75" x14ac:dyDescent="0.25">
      <c r="A88" s="110" t="s">
        <v>89</v>
      </c>
      <c r="B88" s="146"/>
      <c r="C88" s="32"/>
      <c r="D88" s="82"/>
      <c r="E88" s="82"/>
      <c r="F88" s="21"/>
      <c r="G88" s="21"/>
      <c r="H88" s="48">
        <f>H84+H85</f>
        <v>17996.999999999785</v>
      </c>
      <c r="I88" s="85">
        <f>H88-H91-H86-H87</f>
        <v>391.79999999978838</v>
      </c>
      <c r="J88" s="25">
        <f>I88/H88</f>
        <v>2.1770295049163363E-2</v>
      </c>
    </row>
    <row r="89" spans="1:10" ht="15.75" x14ac:dyDescent="0.25">
      <c r="A89" s="27" t="s">
        <v>103</v>
      </c>
      <c r="B89" s="144" t="s">
        <v>51</v>
      </c>
      <c r="C89" s="106">
        <v>51431342</v>
      </c>
      <c r="D89" s="88" t="s">
        <v>34</v>
      </c>
      <c r="E89" s="144">
        <v>4800</v>
      </c>
      <c r="F89" s="21">
        <v>278.24400000000003</v>
      </c>
      <c r="G89" s="21">
        <v>281.48</v>
      </c>
      <c r="H89" s="18">
        <f>(G89-F89)*E89</f>
        <v>15532.799999999952</v>
      </c>
      <c r="I89" s="51"/>
      <c r="J89" s="52"/>
    </row>
    <row r="90" spans="1:10" ht="15.75" x14ac:dyDescent="0.25">
      <c r="A90" s="27" t="s">
        <v>104</v>
      </c>
      <c r="B90" s="144" t="s">
        <v>51</v>
      </c>
      <c r="C90" s="106">
        <v>51431343</v>
      </c>
      <c r="D90" s="88" t="s">
        <v>34</v>
      </c>
      <c r="E90" s="144">
        <v>4800</v>
      </c>
      <c r="F90" s="21">
        <v>432.18599999999998</v>
      </c>
      <c r="G90" s="21">
        <v>432.59399999999999</v>
      </c>
      <c r="H90" s="18">
        <f>(G90-F90)*E90</f>
        <v>1958.4000000000742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17491.200000000026</v>
      </c>
      <c r="I91" s="85">
        <f>H91-H99</f>
        <v>-44.999999999890861</v>
      </c>
      <c r="J91" s="25">
        <f>I91/H91</f>
        <v>-2.5727222831990254E-3</v>
      </c>
    </row>
    <row r="92" spans="1:10" ht="15.75" x14ac:dyDescent="0.25">
      <c r="A92" s="27" t="s">
        <v>106</v>
      </c>
      <c r="B92" s="144" t="s">
        <v>51</v>
      </c>
      <c r="C92" s="106">
        <v>51431347</v>
      </c>
      <c r="D92" s="145" t="s">
        <v>52</v>
      </c>
      <c r="E92" s="144">
        <v>1200</v>
      </c>
      <c r="F92" s="21">
        <v>957.851</v>
      </c>
      <c r="G92" s="21">
        <v>958.84299999999996</v>
      </c>
      <c r="H92" s="18">
        <f t="shared" ref="H92:H100" si="4">(G92-F92)*E92</f>
        <v>1190.3999999999542</v>
      </c>
      <c r="I92" s="51"/>
      <c r="J92" s="52"/>
    </row>
    <row r="93" spans="1:10" ht="15.75" x14ac:dyDescent="0.25">
      <c r="A93" s="27" t="s">
        <v>107</v>
      </c>
      <c r="B93" s="144" t="s">
        <v>51</v>
      </c>
      <c r="C93" s="106">
        <v>51431339</v>
      </c>
      <c r="D93" s="145" t="s">
        <v>52</v>
      </c>
      <c r="E93" s="144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44" t="s">
        <v>51</v>
      </c>
      <c r="C94" s="106">
        <v>51217244</v>
      </c>
      <c r="D94" s="144" t="s">
        <v>37</v>
      </c>
      <c r="E94" s="144">
        <v>600</v>
      </c>
      <c r="F94" s="30">
        <v>245.96</v>
      </c>
      <c r="G94" s="30">
        <v>247.12</v>
      </c>
      <c r="H94" s="18">
        <f t="shared" si="4"/>
        <v>695.99999999999795</v>
      </c>
      <c r="I94" s="51"/>
      <c r="J94" s="52"/>
    </row>
    <row r="95" spans="1:10" ht="15.75" x14ac:dyDescent="0.25">
      <c r="A95" s="27" t="s">
        <v>109</v>
      </c>
      <c r="B95" s="144" t="s">
        <v>51</v>
      </c>
      <c r="C95" s="106">
        <v>51217267</v>
      </c>
      <c r="D95" s="88" t="s">
        <v>62</v>
      </c>
      <c r="E95" s="144">
        <v>2400</v>
      </c>
      <c r="F95" s="30">
        <v>18.655999999999999</v>
      </c>
      <c r="G95" s="30">
        <v>18.687999999999999</v>
      </c>
      <c r="H95" s="18">
        <f t="shared" si="4"/>
        <v>76.800000000000068</v>
      </c>
      <c r="I95" s="51"/>
      <c r="J95" s="52"/>
    </row>
    <row r="96" spans="1:10" ht="15.75" x14ac:dyDescent="0.25">
      <c r="A96" s="27" t="s">
        <v>110</v>
      </c>
      <c r="B96" s="144" t="s">
        <v>51</v>
      </c>
      <c r="C96" s="144">
        <v>51555165</v>
      </c>
      <c r="D96" s="145" t="s">
        <v>52</v>
      </c>
      <c r="E96" s="144">
        <v>1200</v>
      </c>
      <c r="F96" s="30">
        <v>649.726</v>
      </c>
      <c r="G96" s="30">
        <v>657.25599999999997</v>
      </c>
      <c r="H96" s="18">
        <f t="shared" si="4"/>
        <v>9035.9999999999673</v>
      </c>
      <c r="I96" s="51" t="s">
        <v>27</v>
      </c>
      <c r="J96" s="52"/>
    </row>
    <row r="97" spans="1:10" ht="15.75" x14ac:dyDescent="0.25">
      <c r="A97" s="113" t="s">
        <v>111</v>
      </c>
      <c r="B97" s="144" t="s">
        <v>51</v>
      </c>
      <c r="C97" s="106">
        <v>51431346</v>
      </c>
      <c r="D97" s="114" t="s">
        <v>37</v>
      </c>
      <c r="E97" s="114">
        <v>600</v>
      </c>
      <c r="F97" s="30">
        <v>279.62400000000002</v>
      </c>
      <c r="G97" s="30">
        <v>281.56900000000002</v>
      </c>
      <c r="H97" s="115">
        <f t="shared" si="4"/>
        <v>1166.9999999999959</v>
      </c>
      <c r="I97" s="116"/>
      <c r="J97" s="117"/>
    </row>
    <row r="98" spans="1:10" ht="15.75" x14ac:dyDescent="0.25">
      <c r="A98" s="27" t="s">
        <v>112</v>
      </c>
      <c r="B98" s="144" t="s">
        <v>51</v>
      </c>
      <c r="C98" s="106">
        <v>51431352</v>
      </c>
      <c r="D98" s="88" t="s">
        <v>21</v>
      </c>
      <c r="E98" s="144">
        <v>3600</v>
      </c>
      <c r="F98" s="21">
        <v>148.501</v>
      </c>
      <c r="G98" s="21">
        <v>149.96100000000001</v>
      </c>
      <c r="H98" s="18">
        <f t="shared" si="4"/>
        <v>5256.0000000000291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17536.199999999917</v>
      </c>
      <c r="I99" s="51"/>
      <c r="J99" s="52"/>
    </row>
    <row r="100" spans="1:10" ht="15.75" x14ac:dyDescent="0.25">
      <c r="A100" s="45" t="s">
        <v>113</v>
      </c>
      <c r="B100" s="144" t="s">
        <v>51</v>
      </c>
      <c r="C100" s="120">
        <v>51431357</v>
      </c>
      <c r="D100" s="145" t="s">
        <v>62</v>
      </c>
      <c r="E100" s="145">
        <v>14000</v>
      </c>
      <c r="F100" s="28">
        <v>660.80799999999999</v>
      </c>
      <c r="G100" s="28">
        <v>663.91800000000001</v>
      </c>
      <c r="H100" s="121">
        <f t="shared" si="4"/>
        <v>43540.000000000189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C1" zoomScale="85" zoomScaleNormal="85" workbookViewId="0">
      <selection activeCell="F33" sqref="F33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133</v>
      </c>
      <c r="G3" s="4" t="s">
        <v>134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47" t="s">
        <v>13</v>
      </c>
      <c r="C5" s="147">
        <v>51555166</v>
      </c>
      <c r="D5" s="147" t="s">
        <v>14</v>
      </c>
      <c r="E5" s="147">
        <v>132000</v>
      </c>
      <c r="F5" s="17">
        <v>2.2989999999999999</v>
      </c>
      <c r="G5" s="17">
        <v>2.3109999999999999</v>
      </c>
      <c r="H5" s="18">
        <f>(G5-F5)*E5</f>
        <v>1584.0000000000014</v>
      </c>
      <c r="I5" s="19"/>
      <c r="J5" s="20"/>
    </row>
    <row r="6" spans="1:10" ht="15.75" x14ac:dyDescent="0.25">
      <c r="A6" s="15" t="s">
        <v>15</v>
      </c>
      <c r="B6" s="147" t="s">
        <v>13</v>
      </c>
      <c r="C6" s="147">
        <v>51555191</v>
      </c>
      <c r="D6" s="147" t="s">
        <v>14</v>
      </c>
      <c r="E6" s="147">
        <v>132000</v>
      </c>
      <c r="F6" s="21">
        <v>269.59300000000002</v>
      </c>
      <c r="G6" s="21">
        <v>271.63900000000001</v>
      </c>
      <c r="H6" s="18">
        <f>(G6-F6)*E6</f>
        <v>270071.99999999895</v>
      </c>
      <c r="I6" s="19"/>
      <c r="J6" s="20"/>
    </row>
    <row r="7" spans="1:10" ht="15.75" x14ac:dyDescent="0.25">
      <c r="A7" s="219" t="s">
        <v>16</v>
      </c>
      <c r="B7" s="220"/>
      <c r="C7" s="147"/>
      <c r="D7" s="148"/>
      <c r="E7" s="147"/>
      <c r="H7" s="23">
        <f>H5+H6</f>
        <v>271655.99999999895</v>
      </c>
      <c r="I7" s="24">
        <f>H7-H10-H20</f>
        <v>2153.999999999498</v>
      </c>
      <c r="J7" s="25">
        <f>I7/H7</f>
        <v>7.9291456842459068E-3</v>
      </c>
    </row>
    <row r="8" spans="1:10" ht="15.75" x14ac:dyDescent="0.25">
      <c r="A8" s="26" t="s">
        <v>17</v>
      </c>
      <c r="B8" s="147" t="s">
        <v>13</v>
      </c>
      <c r="C8" s="147">
        <v>51097629</v>
      </c>
      <c r="D8" s="148" t="s">
        <v>14</v>
      </c>
      <c r="E8" s="147">
        <v>42000</v>
      </c>
      <c r="F8" s="21">
        <v>873.35699999999997</v>
      </c>
      <c r="G8" s="21">
        <v>878.19399999999996</v>
      </c>
      <c r="H8" s="18">
        <f>(G8-F8)*E8</f>
        <v>203153.99999999953</v>
      </c>
      <c r="I8" s="19"/>
      <c r="J8" s="20"/>
    </row>
    <row r="9" spans="1:10" ht="15.75" x14ac:dyDescent="0.25">
      <c r="A9" s="26" t="s">
        <v>18</v>
      </c>
      <c r="B9" s="147" t="s">
        <v>13</v>
      </c>
      <c r="C9" s="147">
        <v>51616820</v>
      </c>
      <c r="D9" s="148" t="s">
        <v>14</v>
      </c>
      <c r="E9" s="147">
        <v>42000</v>
      </c>
      <c r="F9" s="21">
        <v>3.714</v>
      </c>
      <c r="G9" s="21">
        <v>3.738</v>
      </c>
      <c r="H9" s="18">
        <f>(G9-F9)*E9</f>
        <v>1008.0000000000009</v>
      </c>
      <c r="I9" s="19"/>
      <c r="J9" s="20"/>
    </row>
    <row r="10" spans="1:10" ht="15.75" x14ac:dyDescent="0.25">
      <c r="A10" s="219" t="s">
        <v>19</v>
      </c>
      <c r="B10" s="220"/>
      <c r="C10" s="147"/>
      <c r="D10" s="148"/>
      <c r="E10" s="147"/>
      <c r="F10" s="21"/>
      <c r="G10" s="21"/>
      <c r="H10" s="23">
        <f>H8+H9</f>
        <v>204161.99999999953</v>
      </c>
      <c r="I10" s="24">
        <f>H10-H17</f>
        <v>62.999999999301508</v>
      </c>
      <c r="J10" s="25">
        <f>I10/H10</f>
        <v>3.0857848179044901E-4</v>
      </c>
    </row>
    <row r="11" spans="1:10" ht="15.75" x14ac:dyDescent="0.25">
      <c r="A11" s="27" t="s">
        <v>20</v>
      </c>
      <c r="B11" s="147" t="s">
        <v>13</v>
      </c>
      <c r="C11" s="147">
        <v>51217286</v>
      </c>
      <c r="D11" s="148" t="s">
        <v>21</v>
      </c>
      <c r="E11" s="147">
        <v>21000</v>
      </c>
      <c r="F11" s="21">
        <v>695.65800000000002</v>
      </c>
      <c r="G11" s="21">
        <v>699.47400000000005</v>
      </c>
      <c r="H11" s="18">
        <f t="shared" ref="H11:H16" si="0">(G11-F11)*E11</f>
        <v>80136.000000000655</v>
      </c>
      <c r="I11" s="19"/>
      <c r="J11" s="20"/>
    </row>
    <row r="12" spans="1:10" ht="15.75" x14ac:dyDescent="0.25">
      <c r="A12" s="27" t="s">
        <v>22</v>
      </c>
      <c r="B12" s="147" t="s">
        <v>13</v>
      </c>
      <c r="C12" s="147">
        <v>51217292</v>
      </c>
      <c r="D12" s="148" t="s">
        <v>21</v>
      </c>
      <c r="E12" s="147">
        <v>21000</v>
      </c>
      <c r="F12" s="28">
        <v>2.649</v>
      </c>
      <c r="G12" s="28">
        <v>2.6739999999999999</v>
      </c>
      <c r="H12" s="18">
        <f>(G12-F12)*E12</f>
        <v>524.99999999999818</v>
      </c>
      <c r="I12" s="19"/>
      <c r="J12" s="20"/>
    </row>
    <row r="13" spans="1:10" ht="15.75" x14ac:dyDescent="0.25">
      <c r="A13" s="27" t="s">
        <v>23</v>
      </c>
      <c r="B13" s="147" t="s">
        <v>13</v>
      </c>
      <c r="C13" s="147">
        <v>51217271</v>
      </c>
      <c r="D13" s="148" t="s">
        <v>21</v>
      </c>
      <c r="E13" s="147">
        <v>21000</v>
      </c>
      <c r="F13" s="21">
        <v>499.69600000000003</v>
      </c>
      <c r="G13" s="21">
        <v>502.73700000000002</v>
      </c>
      <c r="H13" s="18">
        <f t="shared" si="0"/>
        <v>63860.999999999935</v>
      </c>
      <c r="I13" s="19"/>
      <c r="J13" s="20"/>
    </row>
    <row r="14" spans="1:10" ht="15.75" x14ac:dyDescent="0.25">
      <c r="A14" s="27" t="s">
        <v>24</v>
      </c>
      <c r="B14" s="147" t="s">
        <v>13</v>
      </c>
      <c r="C14" s="147">
        <v>51217276</v>
      </c>
      <c r="D14" s="148" t="s">
        <v>21</v>
      </c>
      <c r="E14" s="147">
        <v>21000</v>
      </c>
      <c r="F14" s="28">
        <v>0.35299999999999998</v>
      </c>
      <c r="G14" s="28">
        <v>0.36</v>
      </c>
      <c r="H14" s="18">
        <f>(G14-F14)*E14</f>
        <v>147.00000000000014</v>
      </c>
      <c r="I14" s="19"/>
      <c r="J14" s="20"/>
    </row>
    <row r="15" spans="1:10" ht="15.75" x14ac:dyDescent="0.25">
      <c r="A15" s="27" t="s">
        <v>25</v>
      </c>
      <c r="B15" s="147" t="s">
        <v>13</v>
      </c>
      <c r="C15" s="147">
        <v>51100990</v>
      </c>
      <c r="D15" s="148" t="s">
        <v>21</v>
      </c>
      <c r="E15" s="147">
        <v>21000</v>
      </c>
      <c r="F15" s="29">
        <v>555.88499999999999</v>
      </c>
      <c r="G15" s="29">
        <v>558.70299999999997</v>
      </c>
      <c r="H15" s="18">
        <f t="shared" si="0"/>
        <v>59177.999999999658</v>
      </c>
      <c r="I15" s="19"/>
      <c r="J15" s="20"/>
    </row>
    <row r="16" spans="1:10" ht="15.75" x14ac:dyDescent="0.25">
      <c r="A16" s="27" t="s">
        <v>26</v>
      </c>
      <c r="B16" s="147" t="s">
        <v>13</v>
      </c>
      <c r="C16" s="147">
        <v>51097622</v>
      </c>
      <c r="D16" s="148" t="s">
        <v>21</v>
      </c>
      <c r="E16" s="147">
        <v>21000</v>
      </c>
      <c r="F16" s="21">
        <v>2.431</v>
      </c>
      <c r="G16" s="21">
        <v>2.4430000000000001</v>
      </c>
      <c r="H16" s="18">
        <f t="shared" si="0"/>
        <v>252.00000000000023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47"/>
      <c r="D17" s="148"/>
      <c r="E17" s="147"/>
      <c r="F17" s="21"/>
      <c r="G17" s="21"/>
      <c r="H17" s="23">
        <f>H11+H12+H13+H14+H15+H16</f>
        <v>204099.00000000023</v>
      </c>
      <c r="I17" s="19"/>
      <c r="J17" s="20"/>
    </row>
    <row r="18" spans="1:10" ht="15.75" x14ac:dyDescent="0.25">
      <c r="A18" s="26" t="s">
        <v>29</v>
      </c>
      <c r="B18" s="147" t="s">
        <v>13</v>
      </c>
      <c r="C18" s="147">
        <v>51097617</v>
      </c>
      <c r="D18" s="148" t="s">
        <v>30</v>
      </c>
      <c r="E18" s="147">
        <v>18000</v>
      </c>
      <c r="F18" s="30">
        <v>647.31100000000004</v>
      </c>
      <c r="G18" s="30">
        <v>650.94100000000003</v>
      </c>
      <c r="H18" s="18">
        <f>(G18-F18)*E18</f>
        <v>65339.99999999992</v>
      </c>
      <c r="I18" s="19"/>
      <c r="J18" s="20"/>
    </row>
    <row r="19" spans="1:10" ht="15.75" x14ac:dyDescent="0.25">
      <c r="A19" s="26" t="s">
        <v>31</v>
      </c>
      <c r="B19" s="147" t="s">
        <v>13</v>
      </c>
      <c r="C19" s="147">
        <v>51097655</v>
      </c>
      <c r="D19" s="148" t="s">
        <v>30</v>
      </c>
      <c r="E19" s="147">
        <v>18000</v>
      </c>
      <c r="F19" s="30">
        <v>6.1269999999999998</v>
      </c>
      <c r="G19" s="30">
        <v>6.1269999999999998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47"/>
      <c r="D20" s="148"/>
      <c r="E20" s="147"/>
      <c r="F20" s="30"/>
      <c r="G20" s="30"/>
      <c r="H20" s="23">
        <f>H18+H19</f>
        <v>65339.99999999992</v>
      </c>
      <c r="I20" s="24">
        <f>H20-H35</f>
        <v>2353.1999999997133</v>
      </c>
      <c r="J20" s="25">
        <f>I20/H20</f>
        <v>3.6014692378324401E-2</v>
      </c>
    </row>
    <row r="21" spans="1:10" ht="15.75" x14ac:dyDescent="0.25">
      <c r="A21" s="15" t="s">
        <v>33</v>
      </c>
      <c r="B21" s="147" t="s">
        <v>13</v>
      </c>
      <c r="C21" s="147">
        <v>51217282</v>
      </c>
      <c r="D21" s="148" t="s">
        <v>34</v>
      </c>
      <c r="E21" s="147">
        <v>4800</v>
      </c>
      <c r="F21" s="21">
        <v>378.36900000000003</v>
      </c>
      <c r="G21" s="21">
        <v>378.37</v>
      </c>
      <c r="H21" s="18">
        <f t="shared" ref="H21:H34" si="1">(G21-F21)*E21</f>
        <v>4.7999999998864951</v>
      </c>
      <c r="I21" s="19" t="s">
        <v>27</v>
      </c>
      <c r="J21" s="20"/>
    </row>
    <row r="22" spans="1:10" ht="15.75" x14ac:dyDescent="0.25">
      <c r="A22" s="15" t="s">
        <v>35</v>
      </c>
      <c r="B22" s="147" t="s">
        <v>13</v>
      </c>
      <c r="C22" s="147">
        <v>51217274</v>
      </c>
      <c r="D22" s="148" t="s">
        <v>34</v>
      </c>
      <c r="E22" s="147">
        <v>4800</v>
      </c>
      <c r="F22" s="21">
        <v>1028.2809999999999</v>
      </c>
      <c r="G22" s="21">
        <v>1034.297</v>
      </c>
      <c r="H22" s="18">
        <f t="shared" si="1"/>
        <v>28876.800000000367</v>
      </c>
      <c r="I22" s="19"/>
      <c r="J22" s="20"/>
    </row>
    <row r="23" spans="1:10" ht="15.75" x14ac:dyDescent="0.25">
      <c r="A23" s="15" t="s">
        <v>36</v>
      </c>
      <c r="B23" s="147" t="s">
        <v>13</v>
      </c>
      <c r="C23" s="147">
        <v>51097664</v>
      </c>
      <c r="D23" s="148" t="s">
        <v>37</v>
      </c>
      <c r="E23" s="147">
        <v>600</v>
      </c>
      <c r="F23" s="21">
        <v>3.7930000000000001</v>
      </c>
      <c r="G23" s="21">
        <v>3.8109999999999999</v>
      </c>
      <c r="H23" s="18">
        <f t="shared" si="1"/>
        <v>10.799999999999876</v>
      </c>
      <c r="I23" s="19"/>
      <c r="J23" s="20"/>
    </row>
    <row r="24" spans="1:10" ht="15.75" x14ac:dyDescent="0.25">
      <c r="A24" s="15" t="s">
        <v>38</v>
      </c>
      <c r="B24" s="147" t="s">
        <v>13</v>
      </c>
      <c r="C24" s="147">
        <v>51097615</v>
      </c>
      <c r="D24" s="148" t="s">
        <v>37</v>
      </c>
      <c r="E24" s="147">
        <v>600</v>
      </c>
      <c r="F24" s="21">
        <v>24.646999999999998</v>
      </c>
      <c r="G24" s="21">
        <v>25.030999999999999</v>
      </c>
      <c r="H24" s="18">
        <f t="shared" si="1"/>
        <v>230.4000000000002</v>
      </c>
      <c r="I24" s="19"/>
      <c r="J24" s="20"/>
    </row>
    <row r="25" spans="1:10" ht="15.75" x14ac:dyDescent="0.25">
      <c r="A25" s="15" t="s">
        <v>39</v>
      </c>
      <c r="B25" s="147" t="s">
        <v>13</v>
      </c>
      <c r="C25" s="147">
        <v>51217264</v>
      </c>
      <c r="D25" s="148" t="s">
        <v>37</v>
      </c>
      <c r="E25" s="147">
        <v>600</v>
      </c>
      <c r="F25" s="21">
        <v>66.498000000000005</v>
      </c>
      <c r="G25" s="21">
        <v>67.165999999999997</v>
      </c>
      <c r="H25" s="18">
        <f t="shared" si="1"/>
        <v>400.79999999999529</v>
      </c>
      <c r="I25" s="19"/>
      <c r="J25" s="20"/>
    </row>
    <row r="26" spans="1:10" ht="15.75" x14ac:dyDescent="0.25">
      <c r="A26" s="15" t="s">
        <v>40</v>
      </c>
      <c r="B26" s="147" t="s">
        <v>13</v>
      </c>
      <c r="C26" s="147">
        <v>51217288</v>
      </c>
      <c r="D26" s="148" t="s">
        <v>37</v>
      </c>
      <c r="E26" s="147">
        <v>600</v>
      </c>
      <c r="F26" s="21">
        <v>18.823</v>
      </c>
      <c r="G26" s="21">
        <v>18.853999999999999</v>
      </c>
      <c r="H26" s="18">
        <f t="shared" si="1"/>
        <v>18.599999999999284</v>
      </c>
      <c r="I26" s="19" t="s">
        <v>27</v>
      </c>
      <c r="J26" s="20"/>
    </row>
    <row r="27" spans="1:10" ht="15.75" x14ac:dyDescent="0.25">
      <c r="A27" s="15" t="s">
        <v>41</v>
      </c>
      <c r="B27" s="147" t="s">
        <v>13</v>
      </c>
      <c r="C27" s="147">
        <v>51217279</v>
      </c>
      <c r="D27" s="148" t="s">
        <v>37</v>
      </c>
      <c r="E27" s="147">
        <v>600</v>
      </c>
      <c r="F27" s="21">
        <v>12.41</v>
      </c>
      <c r="G27" s="21">
        <v>12.464</v>
      </c>
      <c r="H27" s="18">
        <f t="shared" si="1"/>
        <v>32.400000000000162</v>
      </c>
      <c r="I27" s="19" t="s">
        <v>27</v>
      </c>
      <c r="J27" s="20"/>
    </row>
    <row r="28" spans="1:10" ht="15.75" x14ac:dyDescent="0.25">
      <c r="A28" s="15" t="s">
        <v>42</v>
      </c>
      <c r="B28" s="147" t="s">
        <v>13</v>
      </c>
      <c r="C28" s="147">
        <v>51217272</v>
      </c>
      <c r="D28" s="148" t="s">
        <v>37</v>
      </c>
      <c r="E28" s="147">
        <v>600</v>
      </c>
      <c r="F28" s="31">
        <v>12.175000000000001</v>
      </c>
      <c r="G28" s="31">
        <v>12.228</v>
      </c>
      <c r="H28" s="18">
        <f t="shared" si="1"/>
        <v>31.799999999999429</v>
      </c>
      <c r="I28" s="19"/>
      <c r="J28" s="20"/>
    </row>
    <row r="29" spans="1:10" ht="15.75" x14ac:dyDescent="0.25">
      <c r="A29" s="15" t="s">
        <v>43</v>
      </c>
      <c r="B29" s="147" t="s">
        <v>13</v>
      </c>
      <c r="C29" s="147">
        <v>51616744</v>
      </c>
      <c r="D29" s="148">
        <f>300/5</f>
        <v>60</v>
      </c>
      <c r="E29" s="147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47" t="s">
        <v>13</v>
      </c>
      <c r="C30" s="147">
        <v>51555226</v>
      </c>
      <c r="D30" s="148">
        <f>300/5</f>
        <v>60</v>
      </c>
      <c r="E30" s="147">
        <v>3600</v>
      </c>
      <c r="F30" s="31">
        <v>295.084</v>
      </c>
      <c r="G30" s="31">
        <v>299.31099999999998</v>
      </c>
      <c r="H30" s="18">
        <f>(G30-F30)*E30</f>
        <v>15217.199999999912</v>
      </c>
      <c r="I30" s="19"/>
      <c r="J30" s="20"/>
    </row>
    <row r="31" spans="1:10" ht="15.75" x14ac:dyDescent="0.25">
      <c r="A31" s="15" t="s">
        <v>45</v>
      </c>
      <c r="B31" s="147" t="s">
        <v>13</v>
      </c>
      <c r="C31" s="147">
        <v>51097658</v>
      </c>
      <c r="D31" s="148" t="s">
        <v>34</v>
      </c>
      <c r="E31" s="147">
        <v>4800</v>
      </c>
      <c r="F31" s="31">
        <v>479.91899999999998</v>
      </c>
      <c r="G31" s="31">
        <v>483.66399999999999</v>
      </c>
      <c r="H31" s="18">
        <f t="shared" si="1"/>
        <v>17976.000000000022</v>
      </c>
      <c r="I31" s="19"/>
      <c r="J31" s="20"/>
    </row>
    <row r="32" spans="1:10" ht="15.75" x14ac:dyDescent="0.25">
      <c r="A32" s="15" t="s">
        <v>46</v>
      </c>
      <c r="B32" s="147" t="s">
        <v>13</v>
      </c>
      <c r="C32" s="147">
        <v>51097635</v>
      </c>
      <c r="D32" s="148" t="s">
        <v>34</v>
      </c>
      <c r="E32" s="147">
        <v>4800</v>
      </c>
      <c r="F32" s="31">
        <v>48.430999999999997</v>
      </c>
      <c r="G32" s="31">
        <v>48.432000000000002</v>
      </c>
      <c r="H32" s="18">
        <f t="shared" si="1"/>
        <v>4.8000000000229193</v>
      </c>
      <c r="I32" s="19"/>
      <c r="J32" s="20"/>
    </row>
    <row r="33" spans="1:10" ht="15.75" x14ac:dyDescent="0.25">
      <c r="A33" s="15" t="s">
        <v>47</v>
      </c>
      <c r="B33" s="147" t="s">
        <v>13</v>
      </c>
      <c r="C33" s="32">
        <v>51097633</v>
      </c>
      <c r="D33" s="148" t="s">
        <v>34</v>
      </c>
      <c r="E33" s="147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47" t="s">
        <v>13</v>
      </c>
      <c r="C34" s="32">
        <v>51097662</v>
      </c>
      <c r="D34" s="148" t="s">
        <v>34</v>
      </c>
      <c r="E34" s="147">
        <v>4800</v>
      </c>
      <c r="F34" s="31">
        <v>0.53900000000000003</v>
      </c>
      <c r="G34" s="31">
        <v>0.57699999999999996</v>
      </c>
      <c r="H34" s="33">
        <f t="shared" si="1"/>
        <v>182.39999999999964</v>
      </c>
      <c r="I34" s="34"/>
      <c r="J34" s="35"/>
    </row>
    <row r="35" spans="1:10" ht="15.75" x14ac:dyDescent="0.25">
      <c r="A35" s="219" t="s">
        <v>48</v>
      </c>
      <c r="B35" s="220"/>
      <c r="C35" s="147"/>
      <c r="D35" s="148"/>
      <c r="E35" s="147"/>
      <c r="F35" s="36"/>
      <c r="G35" s="36"/>
      <c r="H35" s="23">
        <f>H21+H22+H23+H24+H25+H26+H27+H28+H29+H30+H31+H32+H33+H34</f>
        <v>62986.800000000207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47" t="s">
        <v>51</v>
      </c>
      <c r="C37" s="147">
        <v>51555209</v>
      </c>
      <c r="D37" s="148" t="s">
        <v>52</v>
      </c>
      <c r="E37" s="147">
        <v>7000</v>
      </c>
      <c r="F37" s="17">
        <v>3.3439999999999999</v>
      </c>
      <c r="G37" s="17">
        <v>3.39</v>
      </c>
      <c r="H37" s="41">
        <f>(G37-F37)*E37</f>
        <v>322.00000000000182</v>
      </c>
      <c r="I37" s="42"/>
      <c r="J37" s="14"/>
    </row>
    <row r="38" spans="1:10" ht="15.75" x14ac:dyDescent="0.25">
      <c r="A38" s="15" t="s">
        <v>53</v>
      </c>
      <c r="B38" s="147" t="s">
        <v>51</v>
      </c>
      <c r="C38" s="147">
        <v>51555209</v>
      </c>
      <c r="D38" s="148" t="s">
        <v>52</v>
      </c>
      <c r="E38" s="147">
        <v>7000</v>
      </c>
      <c r="F38" s="21">
        <v>8.234</v>
      </c>
      <c r="G38" s="21">
        <v>8.2669999999999995</v>
      </c>
      <c r="H38" s="18">
        <f>(G38-F38)*E38</f>
        <v>230.99999999999631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47" t="s">
        <v>51</v>
      </c>
      <c r="C40" s="147">
        <v>51097674</v>
      </c>
      <c r="D40" s="147" t="s">
        <v>14</v>
      </c>
      <c r="E40" s="147">
        <v>7200</v>
      </c>
      <c r="F40" s="21">
        <v>470.48</v>
      </c>
      <c r="G40" s="21">
        <v>473.06200000000001</v>
      </c>
      <c r="H40" s="18">
        <f>(G40-F40)*E40</f>
        <v>18590.399999999954</v>
      </c>
      <c r="I40" s="47"/>
      <c r="J40" s="20"/>
    </row>
    <row r="41" spans="1:10" ht="15.75" x14ac:dyDescent="0.25">
      <c r="A41" s="27" t="s">
        <v>56</v>
      </c>
      <c r="B41" s="147" t="s">
        <v>51</v>
      </c>
      <c r="C41" s="147">
        <v>51259257</v>
      </c>
      <c r="D41" s="147" t="s">
        <v>14</v>
      </c>
      <c r="E41" s="147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47"/>
      <c r="C42" s="147"/>
      <c r="D42" s="147"/>
      <c r="E42" s="147"/>
      <c r="F42" s="21"/>
      <c r="G42" s="21"/>
      <c r="H42" s="48">
        <f>H40+H41</f>
        <v>18590.399999999954</v>
      </c>
      <c r="I42" s="24">
        <f>H42-H50</f>
        <v>-129.20000000000073</v>
      </c>
      <c r="J42" s="25">
        <f>I42/H42</f>
        <v>-6.9498235648507321E-3</v>
      </c>
    </row>
    <row r="43" spans="1:10" ht="15.75" x14ac:dyDescent="0.25">
      <c r="A43" s="15" t="s">
        <v>58</v>
      </c>
      <c r="B43" s="147"/>
      <c r="C43" s="147"/>
      <c r="D43" s="148"/>
      <c r="E43" s="147"/>
      <c r="H43" s="18"/>
      <c r="I43" s="43"/>
      <c r="J43" s="20"/>
    </row>
    <row r="44" spans="1:10" ht="15.75" x14ac:dyDescent="0.25">
      <c r="A44" s="27" t="s">
        <v>59</v>
      </c>
      <c r="B44" s="147" t="s">
        <v>51</v>
      </c>
      <c r="C44" s="32">
        <v>51097648</v>
      </c>
      <c r="D44" s="147" t="s">
        <v>52</v>
      </c>
      <c r="E44" s="147">
        <v>1200</v>
      </c>
      <c r="F44" s="21">
        <v>384.45100000000002</v>
      </c>
      <c r="G44" s="21">
        <v>386.59199999999998</v>
      </c>
      <c r="H44" s="33">
        <f>(G44-F44)*E44</f>
        <v>2569.1999999999553</v>
      </c>
      <c r="I44" s="43"/>
      <c r="J44" s="20"/>
    </row>
    <row r="45" spans="1:10" ht="15.75" x14ac:dyDescent="0.25">
      <c r="A45" s="27" t="s">
        <v>60</v>
      </c>
      <c r="B45" s="147" t="s">
        <v>51</v>
      </c>
      <c r="C45" s="32">
        <v>50555043</v>
      </c>
      <c r="D45" s="147" t="s">
        <v>52</v>
      </c>
      <c r="E45" s="147">
        <v>1200</v>
      </c>
      <c r="F45" s="21">
        <v>1615.7429999999999</v>
      </c>
      <c r="G45" s="21">
        <v>1624.0419999999999</v>
      </c>
      <c r="H45" s="33">
        <f>(G45-F45)*E45</f>
        <v>9958.7999999999738</v>
      </c>
      <c r="I45" s="43"/>
      <c r="J45" s="20"/>
    </row>
    <row r="46" spans="1:10" ht="15.75" x14ac:dyDescent="0.25">
      <c r="A46" s="27" t="s">
        <v>61</v>
      </c>
      <c r="B46" s="147" t="s">
        <v>51</v>
      </c>
      <c r="C46" s="32">
        <v>51259336</v>
      </c>
      <c r="D46" s="147" t="s">
        <v>62</v>
      </c>
      <c r="E46" s="147">
        <v>2400</v>
      </c>
      <c r="F46" s="21">
        <v>3.44</v>
      </c>
      <c r="G46" s="21">
        <v>3.4529999999999998</v>
      </c>
      <c r="H46" s="33">
        <f>(G46-F46)*E46</f>
        <v>31.199999999999761</v>
      </c>
      <c r="I46" s="43"/>
      <c r="J46" s="20"/>
    </row>
    <row r="47" spans="1:10" ht="15.75" x14ac:dyDescent="0.25">
      <c r="A47" s="27" t="s">
        <v>63</v>
      </c>
      <c r="B47" s="147" t="s">
        <v>51</v>
      </c>
      <c r="C47" s="32">
        <v>51259266</v>
      </c>
      <c r="D47" s="147" t="s">
        <v>52</v>
      </c>
      <c r="E47" s="147">
        <v>1200</v>
      </c>
      <c r="F47" s="21">
        <v>782.28700000000003</v>
      </c>
      <c r="G47" s="21">
        <v>786.99300000000005</v>
      </c>
      <c r="H47" s="33">
        <f>(G47-F47)*E47</f>
        <v>5647.2000000000207</v>
      </c>
      <c r="I47" s="43"/>
      <c r="J47" s="20"/>
    </row>
    <row r="48" spans="1:10" ht="15.75" x14ac:dyDescent="0.25">
      <c r="A48" s="27" t="s">
        <v>64</v>
      </c>
      <c r="B48" s="147" t="s">
        <v>51</v>
      </c>
      <c r="C48" s="32">
        <v>51431336</v>
      </c>
      <c r="D48" s="147" t="s">
        <v>52</v>
      </c>
      <c r="E48" s="147">
        <v>1200</v>
      </c>
      <c r="F48" s="21">
        <v>40.973999999999997</v>
      </c>
      <c r="G48" s="21">
        <v>41.36</v>
      </c>
      <c r="H48" s="33">
        <f>(G48-F48)*E48</f>
        <v>463.20000000000334</v>
      </c>
      <c r="I48" s="43"/>
      <c r="J48" s="20"/>
    </row>
    <row r="49" spans="1:10" ht="15.75" x14ac:dyDescent="0.25">
      <c r="A49" s="15" t="s">
        <v>65</v>
      </c>
      <c r="B49" s="147" t="s">
        <v>66</v>
      </c>
      <c r="C49" s="147">
        <v>49174</v>
      </c>
      <c r="D49" s="148" t="s">
        <v>52</v>
      </c>
      <c r="E49" s="147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18719.599999999955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47" t="s">
        <v>51</v>
      </c>
      <c r="C52" s="147">
        <v>51097603</v>
      </c>
      <c r="D52" s="148" t="s">
        <v>52</v>
      </c>
      <c r="E52" s="147">
        <v>7000</v>
      </c>
      <c r="F52" s="17">
        <v>1559.654</v>
      </c>
      <c r="G52" s="17">
        <v>1568.2149999999999</v>
      </c>
      <c r="H52" s="18">
        <f>(G52-F52)*E52</f>
        <v>59926.999999999454</v>
      </c>
      <c r="I52" s="43"/>
      <c r="J52" s="20"/>
    </row>
    <row r="53" spans="1:10" ht="15.75" x14ac:dyDescent="0.25">
      <c r="A53" s="27" t="s">
        <v>71</v>
      </c>
      <c r="B53" s="147" t="s">
        <v>51</v>
      </c>
      <c r="C53" s="147">
        <v>51097590</v>
      </c>
      <c r="D53" s="148" t="s">
        <v>52</v>
      </c>
      <c r="E53" s="147">
        <v>7000</v>
      </c>
      <c r="F53" s="21">
        <v>8.9239999999999995</v>
      </c>
      <c r="G53" s="21">
        <v>8.9979999999999993</v>
      </c>
      <c r="H53" s="18">
        <f>(G53-F53)*E53</f>
        <v>517.99999999999886</v>
      </c>
      <c r="I53" s="43"/>
      <c r="J53" s="20"/>
    </row>
    <row r="54" spans="1:10" ht="15.75" x14ac:dyDescent="0.25">
      <c r="A54" s="15" t="s">
        <v>65</v>
      </c>
      <c r="B54" s="147" t="s">
        <v>66</v>
      </c>
      <c r="C54" s="147">
        <v>49174</v>
      </c>
      <c r="D54" s="148" t="s">
        <v>52</v>
      </c>
      <c r="E54" s="147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47"/>
      <c r="D55" s="148"/>
      <c r="E55" s="147"/>
      <c r="F55" s="21"/>
      <c r="G55" s="21"/>
      <c r="H55" s="48">
        <f>H52+H53+H54</f>
        <v>60544.999999999454</v>
      </c>
      <c r="I55" s="47"/>
      <c r="J55" s="59"/>
    </row>
    <row r="56" spans="1:10" ht="15.75" x14ac:dyDescent="0.25">
      <c r="A56" s="27" t="s">
        <v>73</v>
      </c>
      <c r="B56" s="147" t="s">
        <v>51</v>
      </c>
      <c r="C56" s="147">
        <v>51100980</v>
      </c>
      <c r="D56" s="147" t="s">
        <v>74</v>
      </c>
      <c r="E56" s="147">
        <v>12000</v>
      </c>
      <c r="F56" s="21">
        <v>917.197</v>
      </c>
      <c r="G56" s="21">
        <v>922.24199999999996</v>
      </c>
      <c r="H56" s="18">
        <f>(G56-F56)*E56</f>
        <v>60539.999999999505</v>
      </c>
      <c r="I56" s="47"/>
      <c r="J56" s="58"/>
    </row>
    <row r="57" spans="1:10" ht="15.75" x14ac:dyDescent="0.25">
      <c r="A57" s="27" t="s">
        <v>75</v>
      </c>
      <c r="B57" s="147" t="s">
        <v>51</v>
      </c>
      <c r="C57" s="147">
        <v>51097623</v>
      </c>
      <c r="D57" s="147" t="s">
        <v>74</v>
      </c>
      <c r="E57" s="147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47"/>
      <c r="C58" s="147"/>
      <c r="D58" s="147"/>
      <c r="E58" s="147"/>
      <c r="F58" s="21"/>
      <c r="G58" s="21"/>
      <c r="H58" s="48">
        <f>H56+H57</f>
        <v>60539.999999999505</v>
      </c>
      <c r="I58" s="61">
        <f>H55-H65-H54</f>
        <v>-226.99999999990541</v>
      </c>
      <c r="J58" s="25">
        <f>I58/H58</f>
        <v>-3.7495870498828422E-3</v>
      </c>
    </row>
    <row r="59" spans="1:10" ht="15.75" x14ac:dyDescent="0.25">
      <c r="A59" s="27" t="s">
        <v>77</v>
      </c>
      <c r="B59" s="147" t="s">
        <v>51</v>
      </c>
      <c r="C59" s="147">
        <v>51097675</v>
      </c>
      <c r="D59" s="147" t="s">
        <v>34</v>
      </c>
      <c r="E59" s="147">
        <v>4800</v>
      </c>
      <c r="F59" s="21">
        <v>349.69600000000003</v>
      </c>
      <c r="G59" s="21">
        <v>352.82299999999998</v>
      </c>
      <c r="H59" s="18">
        <f t="shared" ref="H59:H64" si="2">(G59-F59)*E59</f>
        <v>15009.599999999773</v>
      </c>
      <c r="I59" s="62"/>
      <c r="J59" s="59"/>
    </row>
    <row r="60" spans="1:10" ht="15.75" x14ac:dyDescent="0.25">
      <c r="A60" s="27" t="s">
        <v>78</v>
      </c>
      <c r="B60" s="147" t="s">
        <v>51</v>
      </c>
      <c r="C60" s="147">
        <v>51100997</v>
      </c>
      <c r="D60" s="147" t="s">
        <v>21</v>
      </c>
      <c r="E60" s="147">
        <v>3600</v>
      </c>
      <c r="F60" s="21">
        <v>1181.923</v>
      </c>
      <c r="G60" s="21">
        <v>1187.529</v>
      </c>
      <c r="H60" s="18">
        <f t="shared" si="2"/>
        <v>20181.59999999998</v>
      </c>
      <c r="I60" s="62"/>
      <c r="J60" s="59"/>
    </row>
    <row r="61" spans="1:10" ht="15.75" x14ac:dyDescent="0.25">
      <c r="A61" s="27" t="s">
        <v>79</v>
      </c>
      <c r="B61" s="147" t="s">
        <v>51</v>
      </c>
      <c r="C61" s="147">
        <v>51555218</v>
      </c>
      <c r="D61" s="147">
        <f>400/5</f>
        <v>80</v>
      </c>
      <c r="E61" s="147">
        <v>4800</v>
      </c>
      <c r="F61" s="21">
        <v>38.686</v>
      </c>
      <c r="G61" s="21">
        <v>39.164000000000001</v>
      </c>
      <c r="H61" s="18">
        <f t="shared" si="2"/>
        <v>2294.4000000000074</v>
      </c>
      <c r="I61" s="62"/>
      <c r="J61" s="59"/>
    </row>
    <row r="62" spans="1:10" ht="15.75" x14ac:dyDescent="0.25">
      <c r="A62" s="27" t="s">
        <v>80</v>
      </c>
      <c r="B62" s="147" t="s">
        <v>51</v>
      </c>
      <c r="C62" s="147">
        <v>51555151</v>
      </c>
      <c r="D62" s="147">
        <f>400/5</f>
        <v>80</v>
      </c>
      <c r="E62" s="147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47" t="s">
        <v>51</v>
      </c>
      <c r="C63" s="147">
        <v>51097599</v>
      </c>
      <c r="D63" s="147" t="s">
        <v>21</v>
      </c>
      <c r="E63" s="147">
        <v>3600</v>
      </c>
      <c r="F63" s="21">
        <v>834.36300000000006</v>
      </c>
      <c r="G63" s="21">
        <v>837.52099999999996</v>
      </c>
      <c r="H63" s="18">
        <f t="shared" si="2"/>
        <v>11368.799999999646</v>
      </c>
      <c r="I63" s="62"/>
      <c r="J63" s="59"/>
    </row>
    <row r="64" spans="1:10" ht="15.75" x14ac:dyDescent="0.25">
      <c r="A64" s="27" t="s">
        <v>82</v>
      </c>
      <c r="B64" s="147" t="s">
        <v>51</v>
      </c>
      <c r="C64" s="147">
        <v>51097620</v>
      </c>
      <c r="D64" s="147" t="s">
        <v>34</v>
      </c>
      <c r="E64" s="147">
        <v>4800</v>
      </c>
      <c r="F64" s="21">
        <v>380.92700000000002</v>
      </c>
      <c r="G64" s="21">
        <v>383.38900000000001</v>
      </c>
      <c r="H64" s="18">
        <f t="shared" si="2"/>
        <v>11817.599999999948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60671.99999999936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47" t="s">
        <v>51</v>
      </c>
      <c r="C67" s="9">
        <v>51259238</v>
      </c>
      <c r="D67" s="74" t="s">
        <v>52</v>
      </c>
      <c r="E67" s="74">
        <v>7000</v>
      </c>
      <c r="F67" s="75">
        <v>417.42399999999998</v>
      </c>
      <c r="G67" s="75">
        <v>420.10700000000003</v>
      </c>
      <c r="H67" s="76">
        <f>(G67-F67)*E67</f>
        <v>18781.000000000346</v>
      </c>
      <c r="I67" s="77"/>
      <c r="J67" s="78"/>
    </row>
    <row r="68" spans="1:10" ht="15.75" x14ac:dyDescent="0.25">
      <c r="A68" s="27" t="s">
        <v>85</v>
      </c>
      <c r="B68" s="147" t="s">
        <v>51</v>
      </c>
      <c r="C68" s="147">
        <v>51259324</v>
      </c>
      <c r="D68" s="148" t="s">
        <v>52</v>
      </c>
      <c r="E68" s="148">
        <v>7000</v>
      </c>
      <c r="F68" s="21">
        <v>321.14400000000001</v>
      </c>
      <c r="G68" s="21">
        <v>323.25099999999998</v>
      </c>
      <c r="H68" s="18">
        <f>(G68-F68)*E68</f>
        <v>14748.999999999796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47">
        <v>51491618</v>
      </c>
      <c r="D69" s="148" t="s">
        <v>62</v>
      </c>
      <c r="E69" s="147">
        <v>40</v>
      </c>
      <c r="F69" s="28">
        <v>715.77099999999996</v>
      </c>
      <c r="G69" s="28">
        <v>725.51800000000003</v>
      </c>
      <c r="H69" s="18">
        <f>(G69-F69)*E69</f>
        <v>389.88000000000284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47">
        <v>51491624</v>
      </c>
      <c r="D70" s="148" t="s">
        <v>62</v>
      </c>
      <c r="E70" s="147">
        <v>40</v>
      </c>
      <c r="F70" s="28">
        <v>102.06</v>
      </c>
      <c r="G70" s="28">
        <v>102.88500000000001</v>
      </c>
      <c r="H70" s="18">
        <f>(G70-F70)*E70</f>
        <v>33.000000000000114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33530.000000000146</v>
      </c>
      <c r="I71" s="85">
        <f>H71-H74-H69-H70</f>
        <v>-960.87999999984288</v>
      </c>
      <c r="J71" s="25">
        <f>I71/H71</f>
        <v>-2.8657321801367097E-2</v>
      </c>
    </row>
    <row r="72" spans="1:10" ht="15.75" x14ac:dyDescent="0.25">
      <c r="A72" s="27" t="s">
        <v>90</v>
      </c>
      <c r="B72" s="147" t="s">
        <v>51</v>
      </c>
      <c r="C72" s="86">
        <v>51097588</v>
      </c>
      <c r="D72" s="148" t="s">
        <v>74</v>
      </c>
      <c r="E72" s="147">
        <v>12000</v>
      </c>
      <c r="F72" s="21">
        <v>253.24</v>
      </c>
      <c r="G72" s="21">
        <v>254.80199999999999</v>
      </c>
      <c r="H72" s="18">
        <f>(G72-F72)*E72</f>
        <v>18743.9999999998</v>
      </c>
      <c r="I72" s="51"/>
      <c r="J72" s="58"/>
    </row>
    <row r="73" spans="1:10" ht="15.75" x14ac:dyDescent="0.25">
      <c r="A73" s="27" t="s">
        <v>91</v>
      </c>
      <c r="B73" s="147" t="s">
        <v>51</v>
      </c>
      <c r="C73" s="86">
        <v>51431335</v>
      </c>
      <c r="D73" s="148" t="s">
        <v>74</v>
      </c>
      <c r="E73" s="147">
        <v>12000</v>
      </c>
      <c r="F73" s="21">
        <v>197.45599999999999</v>
      </c>
      <c r="G73" s="21">
        <v>198.733</v>
      </c>
      <c r="H73" s="18">
        <f>(G73-F73)*E73</f>
        <v>15324.000000000182</v>
      </c>
      <c r="I73" s="51"/>
      <c r="J73" s="58"/>
    </row>
    <row r="74" spans="1:10" ht="15.75" x14ac:dyDescent="0.25">
      <c r="A74" s="87" t="s">
        <v>92</v>
      </c>
      <c r="B74" s="147" t="s">
        <v>27</v>
      </c>
      <c r="C74" s="147"/>
      <c r="D74" s="148"/>
      <c r="E74" s="147"/>
      <c r="F74" s="21"/>
      <c r="G74" s="21"/>
      <c r="H74" s="48">
        <f>H72+ H73</f>
        <v>34067.999999999985</v>
      </c>
      <c r="I74" s="85">
        <f>H74-H82</f>
        <v>-76.799999999493593</v>
      </c>
      <c r="J74" s="25">
        <f>I74/H74</f>
        <v>-2.2543148995976762E-3</v>
      </c>
    </row>
    <row r="75" spans="1:10" ht="15.75" x14ac:dyDescent="0.25">
      <c r="A75" s="27" t="s">
        <v>93</v>
      </c>
      <c r="B75" s="147" t="s">
        <v>51</v>
      </c>
      <c r="C75" s="86">
        <v>51097676</v>
      </c>
      <c r="D75" s="88" t="s">
        <v>62</v>
      </c>
      <c r="E75" s="147">
        <v>2400</v>
      </c>
      <c r="F75" s="21">
        <v>504.73500000000001</v>
      </c>
      <c r="G75" s="21">
        <v>508.52</v>
      </c>
      <c r="H75" s="18">
        <f>(G75-F75)*E75</f>
        <v>9083.9999999999236</v>
      </c>
      <c r="I75" s="51"/>
      <c r="J75" s="58"/>
    </row>
    <row r="76" spans="1:10" ht="15.75" x14ac:dyDescent="0.25">
      <c r="A76" s="27" t="s">
        <v>94</v>
      </c>
      <c r="B76" s="147" t="s">
        <v>51</v>
      </c>
      <c r="C76" s="86">
        <v>51431355</v>
      </c>
      <c r="D76" s="148" t="s">
        <v>21</v>
      </c>
      <c r="E76" s="148">
        <v>3600</v>
      </c>
      <c r="F76" s="21">
        <v>298.625</v>
      </c>
      <c r="G76" s="21">
        <v>299.98899999999998</v>
      </c>
      <c r="H76" s="18">
        <f>(G76-F76)*E76</f>
        <v>4910.3999999999132</v>
      </c>
      <c r="I76" s="51"/>
      <c r="J76" s="52"/>
    </row>
    <row r="77" spans="1:10" ht="15.75" x14ac:dyDescent="0.25">
      <c r="A77" s="27" t="s">
        <v>95</v>
      </c>
      <c r="B77" s="147" t="s">
        <v>51</v>
      </c>
      <c r="C77" s="86">
        <v>51259331</v>
      </c>
      <c r="D77" s="88" t="s">
        <v>37</v>
      </c>
      <c r="E77" s="147">
        <v>600</v>
      </c>
      <c r="F77" s="21">
        <v>115.67400000000001</v>
      </c>
      <c r="G77" s="21">
        <v>116.59399999999999</v>
      </c>
      <c r="H77" s="18">
        <f>(G77-F77)*E77</f>
        <v>551.9999999999925</v>
      </c>
      <c r="I77" s="51"/>
      <c r="J77" s="52"/>
    </row>
    <row r="78" spans="1:10" ht="15.75" x14ac:dyDescent="0.25">
      <c r="A78" s="27" t="s">
        <v>96</v>
      </c>
      <c r="B78" s="147" t="s">
        <v>51</v>
      </c>
      <c r="C78" s="86">
        <v>51259326</v>
      </c>
      <c r="D78" s="88" t="s">
        <v>14</v>
      </c>
      <c r="E78" s="147">
        <v>7200</v>
      </c>
      <c r="F78" s="21">
        <v>258.096</v>
      </c>
      <c r="G78" s="21">
        <v>259.44799999999998</v>
      </c>
      <c r="H78" s="18">
        <f>(G78-F78)*E78</f>
        <v>9734.3999999998232</v>
      </c>
      <c r="I78" s="51"/>
      <c r="J78" s="52"/>
    </row>
    <row r="79" spans="1:10" ht="15.75" x14ac:dyDescent="0.25">
      <c r="A79" s="27" t="s">
        <v>97</v>
      </c>
      <c r="B79" s="147" t="s">
        <v>51</v>
      </c>
      <c r="C79" s="86">
        <v>51431351</v>
      </c>
      <c r="D79" s="88" t="s">
        <v>14</v>
      </c>
      <c r="E79" s="147">
        <v>7200</v>
      </c>
      <c r="F79" s="21">
        <v>167.19300000000001</v>
      </c>
      <c r="G79" s="21">
        <v>168.56299999999999</v>
      </c>
      <c r="H79" s="18">
        <f>(G79-F79)*E79</f>
        <v>9863.999999999829</v>
      </c>
      <c r="I79" s="51"/>
      <c r="J79" s="52"/>
    </row>
    <row r="80" spans="1:10" ht="15.75" x14ac:dyDescent="0.25">
      <c r="A80" s="89" t="s">
        <v>98</v>
      </c>
      <c r="B80" s="147" t="s">
        <v>51</v>
      </c>
      <c r="C80" s="90">
        <v>51097666</v>
      </c>
      <c r="D80" s="88" t="s">
        <v>62</v>
      </c>
      <c r="E80" s="147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47" t="s">
        <v>51</v>
      </c>
      <c r="C81" s="90">
        <v>51259323</v>
      </c>
      <c r="D81" s="88" t="s">
        <v>62</v>
      </c>
      <c r="E81" s="147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34144.799999999479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47" t="s">
        <v>51</v>
      </c>
      <c r="C84" s="106">
        <v>51431297</v>
      </c>
      <c r="D84" s="148" t="s">
        <v>52</v>
      </c>
      <c r="E84" s="100">
        <v>7000</v>
      </c>
      <c r="F84" s="17">
        <v>199.21899999999999</v>
      </c>
      <c r="G84" s="17">
        <v>201.666</v>
      </c>
      <c r="H84" s="18">
        <f>(G84-F84)*E84</f>
        <v>17129.000000000018</v>
      </c>
      <c r="I84" s="107"/>
      <c r="J84" s="108"/>
    </row>
    <row r="85" spans="1:10" ht="15.75" x14ac:dyDescent="0.25">
      <c r="A85" s="105" t="s">
        <v>85</v>
      </c>
      <c r="B85" s="147" t="s">
        <v>51</v>
      </c>
      <c r="C85" s="106">
        <v>51431332</v>
      </c>
      <c r="D85" s="148" t="s">
        <v>52</v>
      </c>
      <c r="E85" s="100">
        <v>7000</v>
      </c>
      <c r="F85" s="21">
        <v>304.80799999999999</v>
      </c>
      <c r="G85" s="21">
        <v>304.93799999999999</v>
      </c>
      <c r="H85" s="18">
        <f>(G85-F85)*E85</f>
        <v>909.99999999996817</v>
      </c>
      <c r="I85" s="147"/>
      <c r="J85" s="58"/>
    </row>
    <row r="86" spans="1:10" ht="15.75" x14ac:dyDescent="0.25">
      <c r="A86" s="27" t="s">
        <v>86</v>
      </c>
      <c r="B86" s="147" t="s">
        <v>102</v>
      </c>
      <c r="C86" s="109">
        <v>150773</v>
      </c>
      <c r="D86" s="148" t="s">
        <v>52</v>
      </c>
      <c r="E86" s="109">
        <v>20</v>
      </c>
      <c r="F86" s="17">
        <v>15241.3</v>
      </c>
      <c r="G86" s="17">
        <v>15246.9</v>
      </c>
      <c r="H86" s="18">
        <f>(G86-F86)*E86</f>
        <v>112.00000000000728</v>
      </c>
      <c r="I86" s="51"/>
      <c r="J86" s="58"/>
    </row>
    <row r="87" spans="1:10" ht="15.75" x14ac:dyDescent="0.25">
      <c r="A87" s="27" t="s">
        <v>88</v>
      </c>
      <c r="B87" s="147" t="s">
        <v>102</v>
      </c>
      <c r="C87" s="109">
        <v>150791</v>
      </c>
      <c r="D87" s="148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49"/>
      <c r="C88" s="32"/>
      <c r="D88" s="82"/>
      <c r="E88" s="82"/>
      <c r="F88" s="21"/>
      <c r="G88" s="21"/>
      <c r="H88" s="48">
        <f>H84+H85</f>
        <v>18038.999999999985</v>
      </c>
      <c r="I88" s="85">
        <f>H88-H91-H86-H87</f>
        <v>392.60000000015498</v>
      </c>
      <c r="J88" s="25">
        <f>I88/H88</f>
        <v>2.1763955873394053E-2</v>
      </c>
    </row>
    <row r="89" spans="1:10" ht="15.75" x14ac:dyDescent="0.25">
      <c r="A89" s="27" t="s">
        <v>103</v>
      </c>
      <c r="B89" s="147" t="s">
        <v>51</v>
      </c>
      <c r="C89" s="106">
        <v>51431342</v>
      </c>
      <c r="D89" s="88" t="s">
        <v>34</v>
      </c>
      <c r="E89" s="147">
        <v>4800</v>
      </c>
      <c r="F89" s="21">
        <v>281.48</v>
      </c>
      <c r="G89" s="21">
        <v>285.00099999999998</v>
      </c>
      <c r="H89" s="18">
        <f>(G89-F89)*E89</f>
        <v>16900.799999999799</v>
      </c>
      <c r="I89" s="51"/>
      <c r="J89" s="52"/>
    </row>
    <row r="90" spans="1:10" ht="15.75" x14ac:dyDescent="0.25">
      <c r="A90" s="27" t="s">
        <v>104</v>
      </c>
      <c r="B90" s="147" t="s">
        <v>51</v>
      </c>
      <c r="C90" s="106">
        <v>51431343</v>
      </c>
      <c r="D90" s="88" t="s">
        <v>34</v>
      </c>
      <c r="E90" s="147">
        <v>4800</v>
      </c>
      <c r="F90" s="21">
        <v>432.59399999999999</v>
      </c>
      <c r="G90" s="21">
        <v>432.726</v>
      </c>
      <c r="H90" s="18">
        <f>(G90-F90)*E90</f>
        <v>633.60000000002401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17534.399999999823</v>
      </c>
      <c r="I91" s="85">
        <f>H91-H99</f>
        <v>-39.400000000121508</v>
      </c>
      <c r="J91" s="25">
        <f>I91/H91</f>
        <v>-2.2470115886555515E-3</v>
      </c>
    </row>
    <row r="92" spans="1:10" ht="15.75" x14ac:dyDescent="0.25">
      <c r="A92" s="27" t="s">
        <v>106</v>
      </c>
      <c r="B92" s="147" t="s">
        <v>51</v>
      </c>
      <c r="C92" s="106">
        <v>51431347</v>
      </c>
      <c r="D92" s="148" t="s">
        <v>52</v>
      </c>
      <c r="E92" s="147">
        <v>1200</v>
      </c>
      <c r="F92" s="21">
        <v>958.84299999999996</v>
      </c>
      <c r="G92" s="21">
        <v>958.84299999999996</v>
      </c>
      <c r="H92" s="18">
        <f t="shared" ref="H92:H100" si="4">(G92-F92)*E92</f>
        <v>0</v>
      </c>
      <c r="I92" s="51"/>
      <c r="J92" s="52"/>
    </row>
    <row r="93" spans="1:10" ht="15.75" x14ac:dyDescent="0.25">
      <c r="A93" s="27" t="s">
        <v>107</v>
      </c>
      <c r="B93" s="147" t="s">
        <v>51</v>
      </c>
      <c r="C93" s="106">
        <v>51431339</v>
      </c>
      <c r="D93" s="148" t="s">
        <v>52</v>
      </c>
      <c r="E93" s="147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47" t="s">
        <v>51</v>
      </c>
      <c r="C94" s="106">
        <v>51217244</v>
      </c>
      <c r="D94" s="147" t="s">
        <v>37</v>
      </c>
      <c r="E94" s="147">
        <v>600</v>
      </c>
      <c r="F94" s="30">
        <v>247.12</v>
      </c>
      <c r="G94" s="30">
        <v>248.053</v>
      </c>
      <c r="H94" s="18">
        <f t="shared" si="4"/>
        <v>559.79999999999563</v>
      </c>
      <c r="I94" s="51"/>
      <c r="J94" s="52"/>
    </row>
    <row r="95" spans="1:10" ht="15.75" x14ac:dyDescent="0.25">
      <c r="A95" s="27" t="s">
        <v>109</v>
      </c>
      <c r="B95" s="147" t="s">
        <v>51</v>
      </c>
      <c r="C95" s="106">
        <v>51217267</v>
      </c>
      <c r="D95" s="88" t="s">
        <v>62</v>
      </c>
      <c r="E95" s="147">
        <v>2400</v>
      </c>
      <c r="F95" s="30">
        <v>18.687999999999999</v>
      </c>
      <c r="G95" s="30">
        <v>18.721</v>
      </c>
      <c r="H95" s="18">
        <f t="shared" si="4"/>
        <v>79.200000000003001</v>
      </c>
      <c r="I95" s="51"/>
      <c r="J95" s="52"/>
    </row>
    <row r="96" spans="1:10" ht="15.75" x14ac:dyDescent="0.25">
      <c r="A96" s="27" t="s">
        <v>110</v>
      </c>
      <c r="B96" s="147" t="s">
        <v>51</v>
      </c>
      <c r="C96" s="147">
        <v>51555165</v>
      </c>
      <c r="D96" s="148" t="s">
        <v>52</v>
      </c>
      <c r="E96" s="147">
        <v>1200</v>
      </c>
      <c r="F96" s="30">
        <v>657.25599999999997</v>
      </c>
      <c r="G96" s="30">
        <v>665.81700000000001</v>
      </c>
      <c r="H96" s="18">
        <f t="shared" si="4"/>
        <v>10273.200000000043</v>
      </c>
      <c r="I96" s="51" t="s">
        <v>27</v>
      </c>
      <c r="J96" s="52"/>
    </row>
    <row r="97" spans="1:10" ht="15.75" x14ac:dyDescent="0.25">
      <c r="A97" s="113" t="s">
        <v>111</v>
      </c>
      <c r="B97" s="147" t="s">
        <v>51</v>
      </c>
      <c r="C97" s="106">
        <v>51431346</v>
      </c>
      <c r="D97" s="114" t="s">
        <v>37</v>
      </c>
      <c r="E97" s="114">
        <v>600</v>
      </c>
      <c r="F97" s="30">
        <v>281.56900000000002</v>
      </c>
      <c r="G97" s="30">
        <v>283.73099999999999</v>
      </c>
      <c r="H97" s="115">
        <f t="shared" si="4"/>
        <v>1297.1999999999866</v>
      </c>
      <c r="I97" s="116"/>
      <c r="J97" s="117"/>
    </row>
    <row r="98" spans="1:10" ht="15.75" x14ac:dyDescent="0.25">
      <c r="A98" s="27" t="s">
        <v>112</v>
      </c>
      <c r="B98" s="147" t="s">
        <v>51</v>
      </c>
      <c r="C98" s="106">
        <v>51431352</v>
      </c>
      <c r="D98" s="88" t="s">
        <v>21</v>
      </c>
      <c r="E98" s="147">
        <v>3600</v>
      </c>
      <c r="F98" s="21">
        <v>149.96100000000001</v>
      </c>
      <c r="G98" s="21">
        <v>151.41999999999999</v>
      </c>
      <c r="H98" s="18">
        <f t="shared" si="4"/>
        <v>5252.3999999999087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17573.799999999945</v>
      </c>
      <c r="I99" s="51"/>
      <c r="J99" s="52"/>
    </row>
    <row r="100" spans="1:10" ht="15.75" x14ac:dyDescent="0.25">
      <c r="A100" s="45" t="s">
        <v>113</v>
      </c>
      <c r="B100" s="147" t="s">
        <v>51</v>
      </c>
      <c r="C100" s="120">
        <v>51431357</v>
      </c>
      <c r="D100" s="148" t="s">
        <v>62</v>
      </c>
      <c r="E100" s="148">
        <v>14000</v>
      </c>
      <c r="F100" s="28">
        <v>663.91800000000001</v>
      </c>
      <c r="G100" s="28">
        <v>666.89200000000005</v>
      </c>
      <c r="H100" s="121">
        <f t="shared" si="4"/>
        <v>41636.000000000648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E1"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134</v>
      </c>
      <c r="G3" s="4" t="s">
        <v>135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50" t="s">
        <v>13</v>
      </c>
      <c r="C5" s="150">
        <v>51555166</v>
      </c>
      <c r="D5" s="150" t="s">
        <v>14</v>
      </c>
      <c r="E5" s="150">
        <v>132000</v>
      </c>
      <c r="F5" s="17">
        <v>2.3109999999999999</v>
      </c>
      <c r="G5" s="17">
        <v>2.3235999999999999</v>
      </c>
      <c r="H5" s="18">
        <f>(G5-F5)*E5</f>
        <v>1663.1999999999928</v>
      </c>
      <c r="I5" s="19"/>
      <c r="J5" s="20"/>
    </row>
    <row r="6" spans="1:10" ht="15.75" x14ac:dyDescent="0.25">
      <c r="A6" s="15" t="s">
        <v>15</v>
      </c>
      <c r="B6" s="150" t="s">
        <v>13</v>
      </c>
      <c r="C6" s="150">
        <v>51555191</v>
      </c>
      <c r="D6" s="150" t="s">
        <v>14</v>
      </c>
      <c r="E6" s="150">
        <v>132000</v>
      </c>
      <c r="F6" s="21">
        <v>271.63900000000001</v>
      </c>
      <c r="G6" s="21">
        <v>273.67720000000003</v>
      </c>
      <c r="H6" s="18">
        <f>(G6-F6)*E6</f>
        <v>269042.40000000229</v>
      </c>
      <c r="I6" s="19"/>
      <c r="J6" s="20"/>
    </row>
    <row r="7" spans="1:10" ht="15.75" x14ac:dyDescent="0.25">
      <c r="A7" s="219" t="s">
        <v>16</v>
      </c>
      <c r="B7" s="220"/>
      <c r="C7" s="150"/>
      <c r="D7" s="151"/>
      <c r="E7" s="150"/>
      <c r="H7" s="23">
        <f>H5+H6</f>
        <v>270705.60000000231</v>
      </c>
      <c r="I7" s="24">
        <f>H7-H10-H20</f>
        <v>2104.20000000039</v>
      </c>
      <c r="J7" s="25">
        <f>I7/H7</f>
        <v>7.7730198414823039E-3</v>
      </c>
    </row>
    <row r="8" spans="1:10" ht="15.75" x14ac:dyDescent="0.25">
      <c r="A8" s="26" t="s">
        <v>17</v>
      </c>
      <c r="B8" s="150" t="s">
        <v>13</v>
      </c>
      <c r="C8" s="150">
        <v>51097629</v>
      </c>
      <c r="D8" s="151" t="s">
        <v>14</v>
      </c>
      <c r="E8" s="150">
        <v>42000</v>
      </c>
      <c r="F8" s="21">
        <v>878.19399999999996</v>
      </c>
      <c r="G8" s="21">
        <v>883.00360000000001</v>
      </c>
      <c r="H8" s="18">
        <f>(G8-F8)*E8</f>
        <v>202003.20000000193</v>
      </c>
      <c r="I8" s="19"/>
      <c r="J8" s="20"/>
    </row>
    <row r="9" spans="1:10" ht="15.75" x14ac:dyDescent="0.25">
      <c r="A9" s="26" t="s">
        <v>18</v>
      </c>
      <c r="B9" s="150" t="s">
        <v>13</v>
      </c>
      <c r="C9" s="150">
        <v>51616820</v>
      </c>
      <c r="D9" s="151" t="s">
        <v>14</v>
      </c>
      <c r="E9" s="150">
        <v>42000</v>
      </c>
      <c r="F9" s="21">
        <v>3.738</v>
      </c>
      <c r="G9" s="21">
        <v>3.7635000000000001</v>
      </c>
      <c r="H9" s="18">
        <f>(G9-F9)*E9</f>
        <v>1071.0000000000032</v>
      </c>
      <c r="I9" s="19"/>
      <c r="J9" s="20"/>
    </row>
    <row r="10" spans="1:10" ht="15.75" x14ac:dyDescent="0.25">
      <c r="A10" s="219" t="s">
        <v>19</v>
      </c>
      <c r="B10" s="220"/>
      <c r="C10" s="150"/>
      <c r="D10" s="151"/>
      <c r="E10" s="150"/>
      <c r="F10" s="21"/>
      <c r="G10" s="21"/>
      <c r="H10" s="23">
        <f>H8+H9</f>
        <v>203074.20000000193</v>
      </c>
      <c r="I10" s="24">
        <f>H10-H17</f>
        <v>-50.399999996559927</v>
      </c>
      <c r="J10" s="25">
        <f>I10/H10</f>
        <v>-2.4818514610206241E-4</v>
      </c>
    </row>
    <row r="11" spans="1:10" ht="15.75" x14ac:dyDescent="0.25">
      <c r="A11" s="27" t="s">
        <v>20</v>
      </c>
      <c r="B11" s="150" t="s">
        <v>13</v>
      </c>
      <c r="C11" s="150">
        <v>51217286</v>
      </c>
      <c r="D11" s="151" t="s">
        <v>21</v>
      </c>
      <c r="E11" s="150">
        <v>21000</v>
      </c>
      <c r="F11" s="21">
        <v>699.47400000000005</v>
      </c>
      <c r="G11" s="21">
        <v>703.25329999999997</v>
      </c>
      <c r="H11" s="18">
        <f t="shared" ref="H11:H16" si="0">(G11-F11)*E11</f>
        <v>79365.299999998344</v>
      </c>
      <c r="I11" s="19"/>
      <c r="J11" s="20"/>
    </row>
    <row r="12" spans="1:10" ht="15.75" x14ac:dyDescent="0.25">
      <c r="A12" s="27" t="s">
        <v>22</v>
      </c>
      <c r="B12" s="150" t="s">
        <v>13</v>
      </c>
      <c r="C12" s="150">
        <v>51217292</v>
      </c>
      <c r="D12" s="151" t="s">
        <v>21</v>
      </c>
      <c r="E12" s="150">
        <v>21000</v>
      </c>
      <c r="F12" s="28">
        <v>2.6739999999999999</v>
      </c>
      <c r="G12" s="28">
        <v>2.6998000000000002</v>
      </c>
      <c r="H12" s="18">
        <f>(G12-F12)*E12</f>
        <v>541.80000000000564</v>
      </c>
      <c r="I12" s="19"/>
      <c r="J12" s="20"/>
    </row>
    <row r="13" spans="1:10" ht="15.75" x14ac:dyDescent="0.25">
      <c r="A13" s="27" t="s">
        <v>23</v>
      </c>
      <c r="B13" s="150" t="s">
        <v>13</v>
      </c>
      <c r="C13" s="150">
        <v>51217271</v>
      </c>
      <c r="D13" s="151" t="s">
        <v>21</v>
      </c>
      <c r="E13" s="150">
        <v>21000</v>
      </c>
      <c r="F13" s="21">
        <v>502.73700000000002</v>
      </c>
      <c r="G13" s="21">
        <v>505.7568</v>
      </c>
      <c r="H13" s="18">
        <f t="shared" si="0"/>
        <v>63415.799999999479</v>
      </c>
      <c r="I13" s="19"/>
      <c r="J13" s="20"/>
    </row>
    <row r="14" spans="1:10" ht="15.75" x14ac:dyDescent="0.25">
      <c r="A14" s="27" t="s">
        <v>24</v>
      </c>
      <c r="B14" s="150" t="s">
        <v>13</v>
      </c>
      <c r="C14" s="150">
        <v>51217276</v>
      </c>
      <c r="D14" s="151" t="s">
        <v>21</v>
      </c>
      <c r="E14" s="150">
        <v>21000</v>
      </c>
      <c r="F14" s="28">
        <v>0.36</v>
      </c>
      <c r="G14" s="28">
        <v>0.36969999999999997</v>
      </c>
      <c r="H14" s="18">
        <f>(G14-F14)*E14</f>
        <v>203.6999999999997</v>
      </c>
      <c r="I14" s="19"/>
      <c r="J14" s="20"/>
    </row>
    <row r="15" spans="1:10" ht="15.75" x14ac:dyDescent="0.25">
      <c r="A15" s="27" t="s">
        <v>25</v>
      </c>
      <c r="B15" s="150" t="s">
        <v>13</v>
      </c>
      <c r="C15" s="150">
        <v>51100990</v>
      </c>
      <c r="D15" s="151" t="s">
        <v>21</v>
      </c>
      <c r="E15" s="150">
        <v>21000</v>
      </c>
      <c r="F15" s="29">
        <v>558.70299999999997</v>
      </c>
      <c r="G15" s="29">
        <v>561.52760000000001</v>
      </c>
      <c r="H15" s="18">
        <f t="shared" si="0"/>
        <v>59316.600000000675</v>
      </c>
      <c r="I15" s="19"/>
      <c r="J15" s="20"/>
    </row>
    <row r="16" spans="1:10" ht="15.75" x14ac:dyDescent="0.25">
      <c r="A16" s="27" t="s">
        <v>26</v>
      </c>
      <c r="B16" s="150" t="s">
        <v>13</v>
      </c>
      <c r="C16" s="150">
        <v>51097622</v>
      </c>
      <c r="D16" s="151" t="s">
        <v>21</v>
      </c>
      <c r="E16" s="150">
        <v>21000</v>
      </c>
      <c r="F16" s="21">
        <v>2.4430000000000001</v>
      </c>
      <c r="G16" s="21">
        <v>2.4563999999999999</v>
      </c>
      <c r="H16" s="18">
        <f t="shared" si="0"/>
        <v>281.39999999999696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50"/>
      <c r="D17" s="151"/>
      <c r="E17" s="150"/>
      <c r="F17" s="21"/>
      <c r="G17" s="21"/>
      <c r="H17" s="23">
        <f>H11+H12+H13+H14+H15+H16</f>
        <v>203124.59999999849</v>
      </c>
      <c r="I17" s="19"/>
      <c r="J17" s="20"/>
    </row>
    <row r="18" spans="1:10" ht="15.75" x14ac:dyDescent="0.25">
      <c r="A18" s="26" t="s">
        <v>29</v>
      </c>
      <c r="B18" s="150" t="s">
        <v>13</v>
      </c>
      <c r="C18" s="150">
        <v>51097617</v>
      </c>
      <c r="D18" s="151" t="s">
        <v>30</v>
      </c>
      <c r="E18" s="150">
        <v>18000</v>
      </c>
      <c r="F18" s="30">
        <v>650.94100000000003</v>
      </c>
      <c r="G18" s="30">
        <v>654.58050000000003</v>
      </c>
      <c r="H18" s="18">
        <f>(G18-F18)*E18</f>
        <v>65510.999999999971</v>
      </c>
      <c r="I18" s="19"/>
      <c r="J18" s="20"/>
    </row>
    <row r="19" spans="1:10" ht="15.75" x14ac:dyDescent="0.25">
      <c r="A19" s="26" t="s">
        <v>31</v>
      </c>
      <c r="B19" s="150" t="s">
        <v>13</v>
      </c>
      <c r="C19" s="150">
        <v>51097655</v>
      </c>
      <c r="D19" s="151" t="s">
        <v>30</v>
      </c>
      <c r="E19" s="150">
        <v>18000</v>
      </c>
      <c r="F19" s="30">
        <v>6.1269999999999998</v>
      </c>
      <c r="G19" s="30">
        <v>6.1279000000000003</v>
      </c>
      <c r="H19" s="18">
        <f>(G19-F19)*E19</f>
        <v>16.200000000010206</v>
      </c>
      <c r="I19" s="19"/>
      <c r="J19" s="20"/>
    </row>
    <row r="20" spans="1:10" ht="15.75" x14ac:dyDescent="0.25">
      <c r="A20" s="219" t="s">
        <v>32</v>
      </c>
      <c r="B20" s="220"/>
      <c r="C20" s="150"/>
      <c r="D20" s="151"/>
      <c r="E20" s="150"/>
      <c r="F20" s="30"/>
      <c r="G20" s="30"/>
      <c r="H20" s="23">
        <f>H18+H19</f>
        <v>65527.199999999983</v>
      </c>
      <c r="I20" s="24">
        <f>H20-H35</f>
        <v>2634.4200000006094</v>
      </c>
      <c r="J20" s="25">
        <f>I20/H20</f>
        <v>4.0203457495522628E-2</v>
      </c>
    </row>
    <row r="21" spans="1:10" ht="15.75" x14ac:dyDescent="0.25">
      <c r="A21" s="15" t="s">
        <v>33</v>
      </c>
      <c r="B21" s="150" t="s">
        <v>13</v>
      </c>
      <c r="C21" s="150">
        <v>51217282</v>
      </c>
      <c r="D21" s="151" t="s">
        <v>34</v>
      </c>
      <c r="E21" s="150">
        <v>4800</v>
      </c>
      <c r="F21" s="21">
        <v>378.37</v>
      </c>
      <c r="G21" s="21">
        <v>378.37189999999998</v>
      </c>
      <c r="H21" s="18">
        <f t="shared" ref="H21:H34" si="1">(G21-F21)*E21</f>
        <v>9.11999999989348</v>
      </c>
      <c r="I21" s="19" t="s">
        <v>27</v>
      </c>
      <c r="J21" s="20"/>
    </row>
    <row r="22" spans="1:10" ht="15.75" x14ac:dyDescent="0.25">
      <c r="A22" s="15" t="s">
        <v>35</v>
      </c>
      <c r="B22" s="150" t="s">
        <v>13</v>
      </c>
      <c r="C22" s="150">
        <v>51217274</v>
      </c>
      <c r="D22" s="151" t="s">
        <v>34</v>
      </c>
      <c r="E22" s="150">
        <v>4800</v>
      </c>
      <c r="F22" s="21">
        <v>1034.297</v>
      </c>
      <c r="G22" s="21">
        <v>1040.2394999999999</v>
      </c>
      <c r="H22" s="18">
        <f t="shared" si="1"/>
        <v>28523.999999999432</v>
      </c>
      <c r="I22" s="19"/>
      <c r="J22" s="20"/>
    </row>
    <row r="23" spans="1:10" ht="15.75" x14ac:dyDescent="0.25">
      <c r="A23" s="15" t="s">
        <v>36</v>
      </c>
      <c r="B23" s="150" t="s">
        <v>13</v>
      </c>
      <c r="C23" s="150">
        <v>51097664</v>
      </c>
      <c r="D23" s="151" t="s">
        <v>37</v>
      </c>
      <c r="E23" s="150">
        <v>600</v>
      </c>
      <c r="F23" s="21">
        <v>3.8109999999999999</v>
      </c>
      <c r="G23" s="21">
        <v>3.827</v>
      </c>
      <c r="H23" s="18">
        <f t="shared" si="1"/>
        <v>9.6000000000000085</v>
      </c>
      <c r="I23" s="19"/>
      <c r="J23" s="20"/>
    </row>
    <row r="24" spans="1:10" ht="15.75" x14ac:dyDescent="0.25">
      <c r="A24" s="15" t="s">
        <v>38</v>
      </c>
      <c r="B24" s="150" t="s">
        <v>13</v>
      </c>
      <c r="C24" s="150">
        <v>51097615</v>
      </c>
      <c r="D24" s="151" t="s">
        <v>37</v>
      </c>
      <c r="E24" s="150">
        <v>600</v>
      </c>
      <c r="F24" s="21">
        <v>25.030999999999999</v>
      </c>
      <c r="G24" s="21">
        <v>25.4162</v>
      </c>
      <c r="H24" s="18">
        <f t="shared" si="1"/>
        <v>231.12000000000066</v>
      </c>
      <c r="I24" s="19"/>
      <c r="J24" s="20"/>
    </row>
    <row r="25" spans="1:10" ht="15.75" x14ac:dyDescent="0.25">
      <c r="A25" s="15" t="s">
        <v>39</v>
      </c>
      <c r="B25" s="150" t="s">
        <v>13</v>
      </c>
      <c r="C25" s="150">
        <v>51217264</v>
      </c>
      <c r="D25" s="151" t="s">
        <v>37</v>
      </c>
      <c r="E25" s="150">
        <v>600</v>
      </c>
      <c r="F25" s="21">
        <v>67.165999999999997</v>
      </c>
      <c r="G25" s="21">
        <v>67.8523</v>
      </c>
      <c r="H25" s="18">
        <f t="shared" si="1"/>
        <v>411.78000000000168</v>
      </c>
      <c r="I25" s="19"/>
      <c r="J25" s="20"/>
    </row>
    <row r="26" spans="1:10" ht="15.75" x14ac:dyDescent="0.25">
      <c r="A26" s="15" t="s">
        <v>40</v>
      </c>
      <c r="B26" s="150" t="s">
        <v>13</v>
      </c>
      <c r="C26" s="150">
        <v>51217288</v>
      </c>
      <c r="D26" s="151" t="s">
        <v>37</v>
      </c>
      <c r="E26" s="150">
        <v>600</v>
      </c>
      <c r="F26" s="21">
        <v>18.853999999999999</v>
      </c>
      <c r="G26" s="21">
        <v>18.8858</v>
      </c>
      <c r="H26" s="18">
        <f t="shared" si="1"/>
        <v>19.080000000000297</v>
      </c>
      <c r="I26" s="19" t="s">
        <v>27</v>
      </c>
      <c r="J26" s="20"/>
    </row>
    <row r="27" spans="1:10" ht="15.75" x14ac:dyDescent="0.25">
      <c r="A27" s="15" t="s">
        <v>41</v>
      </c>
      <c r="B27" s="150" t="s">
        <v>13</v>
      </c>
      <c r="C27" s="150">
        <v>51217279</v>
      </c>
      <c r="D27" s="151" t="s">
        <v>37</v>
      </c>
      <c r="E27" s="150">
        <v>600</v>
      </c>
      <c r="F27" s="21">
        <v>12.464</v>
      </c>
      <c r="G27" s="21">
        <v>12.518800000000001</v>
      </c>
      <c r="H27" s="18">
        <f t="shared" si="1"/>
        <v>32.880000000000109</v>
      </c>
      <c r="I27" s="19" t="s">
        <v>27</v>
      </c>
      <c r="J27" s="20"/>
    </row>
    <row r="28" spans="1:10" ht="15.75" x14ac:dyDescent="0.25">
      <c r="A28" s="15" t="s">
        <v>42</v>
      </c>
      <c r="B28" s="150" t="s">
        <v>13</v>
      </c>
      <c r="C28" s="150">
        <v>51217272</v>
      </c>
      <c r="D28" s="151" t="s">
        <v>37</v>
      </c>
      <c r="E28" s="150">
        <v>600</v>
      </c>
      <c r="F28" s="31">
        <v>12.228</v>
      </c>
      <c r="G28" s="31">
        <v>12.2818</v>
      </c>
      <c r="H28" s="18">
        <f t="shared" si="1"/>
        <v>32.280000000000442</v>
      </c>
      <c r="I28" s="19"/>
      <c r="J28" s="20"/>
    </row>
    <row r="29" spans="1:10" ht="15.75" x14ac:dyDescent="0.25">
      <c r="A29" s="15" t="s">
        <v>43</v>
      </c>
      <c r="B29" s="150" t="s">
        <v>13</v>
      </c>
      <c r="C29" s="150">
        <v>51616744</v>
      </c>
      <c r="D29" s="151">
        <f>300/5</f>
        <v>60</v>
      </c>
      <c r="E29" s="150">
        <v>3600</v>
      </c>
      <c r="F29" s="31">
        <v>109.78400000000001</v>
      </c>
      <c r="G29" s="31">
        <v>109.78489999999999</v>
      </c>
      <c r="H29" s="18">
        <f t="shared" si="1"/>
        <v>3.2399999999540796</v>
      </c>
      <c r="I29" s="19"/>
      <c r="J29" s="20"/>
    </row>
    <row r="30" spans="1:10" ht="15.75" x14ac:dyDescent="0.25">
      <c r="A30" s="15" t="s">
        <v>44</v>
      </c>
      <c r="B30" s="150" t="s">
        <v>13</v>
      </c>
      <c r="C30" s="150">
        <v>51555226</v>
      </c>
      <c r="D30" s="151">
        <f>300/5</f>
        <v>60</v>
      </c>
      <c r="E30" s="150">
        <v>3600</v>
      </c>
      <c r="F30" s="31">
        <v>299.31099999999998</v>
      </c>
      <c r="G30" s="31">
        <v>303.54059999999998</v>
      </c>
      <c r="H30" s="18">
        <f>(G30-F30)*E30</f>
        <v>15226.560000000018</v>
      </c>
      <c r="I30" s="19"/>
      <c r="J30" s="20"/>
    </row>
    <row r="31" spans="1:10" ht="15.75" x14ac:dyDescent="0.25">
      <c r="A31" s="15" t="s">
        <v>45</v>
      </c>
      <c r="B31" s="150" t="s">
        <v>13</v>
      </c>
      <c r="C31" s="150">
        <v>51097658</v>
      </c>
      <c r="D31" s="151" t="s">
        <v>34</v>
      </c>
      <c r="E31" s="150">
        <v>4800</v>
      </c>
      <c r="F31" s="31">
        <v>483.66399999999999</v>
      </c>
      <c r="G31" s="31">
        <v>487.42910000000001</v>
      </c>
      <c r="H31" s="18">
        <f t="shared" si="1"/>
        <v>18072.480000000087</v>
      </c>
      <c r="I31" s="19"/>
      <c r="J31" s="20"/>
    </row>
    <row r="32" spans="1:10" ht="15.75" x14ac:dyDescent="0.25">
      <c r="A32" s="15" t="s">
        <v>46</v>
      </c>
      <c r="B32" s="150" t="s">
        <v>13</v>
      </c>
      <c r="C32" s="150">
        <v>51097635</v>
      </c>
      <c r="D32" s="151" t="s">
        <v>34</v>
      </c>
      <c r="E32" s="150">
        <v>4800</v>
      </c>
      <c r="F32" s="31">
        <v>48.432000000000002</v>
      </c>
      <c r="G32" s="31">
        <v>48.433199999999999</v>
      </c>
      <c r="H32" s="18">
        <f t="shared" si="1"/>
        <v>5.7599999999865759</v>
      </c>
      <c r="I32" s="19"/>
      <c r="J32" s="20"/>
    </row>
    <row r="33" spans="1:10" ht="15.75" x14ac:dyDescent="0.25">
      <c r="A33" s="15" t="s">
        <v>47</v>
      </c>
      <c r="B33" s="150" t="s">
        <v>13</v>
      </c>
      <c r="C33" s="32">
        <v>51097633</v>
      </c>
      <c r="D33" s="151" t="s">
        <v>34</v>
      </c>
      <c r="E33" s="150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50" t="s">
        <v>13</v>
      </c>
      <c r="C34" s="32">
        <v>51097662</v>
      </c>
      <c r="D34" s="151" t="s">
        <v>34</v>
      </c>
      <c r="E34" s="150">
        <v>4800</v>
      </c>
      <c r="F34" s="31">
        <v>0.57699999999999996</v>
      </c>
      <c r="G34" s="31">
        <v>0.64259999999999995</v>
      </c>
      <c r="H34" s="33">
        <f t="shared" si="1"/>
        <v>314.87999999999994</v>
      </c>
      <c r="I34" s="34"/>
      <c r="J34" s="35"/>
    </row>
    <row r="35" spans="1:10" ht="15.75" x14ac:dyDescent="0.25">
      <c r="A35" s="219" t="s">
        <v>48</v>
      </c>
      <c r="B35" s="220"/>
      <c r="C35" s="150"/>
      <c r="D35" s="151"/>
      <c r="E35" s="150"/>
      <c r="F35" s="36"/>
      <c r="G35" s="36"/>
      <c r="H35" s="23">
        <f>H21+H22+H23+H24+H25+H26+H27+H28+H29+H30+H31+H32+H33+H34</f>
        <v>62892.779999999373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50" t="s">
        <v>51</v>
      </c>
      <c r="C37" s="150">
        <v>51555209</v>
      </c>
      <c r="D37" s="151" t="s">
        <v>52</v>
      </c>
      <c r="E37" s="150">
        <v>7000</v>
      </c>
      <c r="F37" s="17">
        <v>3.39</v>
      </c>
      <c r="G37" s="17">
        <v>3.4354</v>
      </c>
      <c r="H37" s="41">
        <f>(G37-F37)*E37</f>
        <v>317.79999999999922</v>
      </c>
      <c r="I37" s="42"/>
      <c r="J37" s="14"/>
    </row>
    <row r="38" spans="1:10" ht="15.75" x14ac:dyDescent="0.25">
      <c r="A38" s="15" t="s">
        <v>53</v>
      </c>
      <c r="B38" s="150" t="s">
        <v>51</v>
      </c>
      <c r="C38" s="150">
        <v>51555209</v>
      </c>
      <c r="D38" s="151" t="s">
        <v>52</v>
      </c>
      <c r="E38" s="150">
        <v>7000</v>
      </c>
      <c r="F38" s="21">
        <v>8.2669999999999995</v>
      </c>
      <c r="G38" s="21">
        <v>8.2994000000000003</v>
      </c>
      <c r="H38" s="18">
        <f>(G38-F38)*E38</f>
        <v>226.80000000000609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50" t="s">
        <v>51</v>
      </c>
      <c r="C40" s="150">
        <v>51097674</v>
      </c>
      <c r="D40" s="150" t="s">
        <v>14</v>
      </c>
      <c r="E40" s="150">
        <v>7200</v>
      </c>
      <c r="F40" s="21">
        <v>473.06200000000001</v>
      </c>
      <c r="G40" s="21">
        <v>475.60149999999999</v>
      </c>
      <c r="H40" s="18">
        <f>(G40-F40)*E40</f>
        <v>18284.399999999823</v>
      </c>
      <c r="I40" s="47"/>
      <c r="J40" s="20"/>
    </row>
    <row r="41" spans="1:10" ht="15.75" x14ac:dyDescent="0.25">
      <c r="A41" s="27" t="s">
        <v>56</v>
      </c>
      <c r="B41" s="150" t="s">
        <v>51</v>
      </c>
      <c r="C41" s="150">
        <v>51259257</v>
      </c>
      <c r="D41" s="150" t="s">
        <v>14</v>
      </c>
      <c r="E41" s="150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50"/>
      <c r="C42" s="150"/>
      <c r="D42" s="150"/>
      <c r="E42" s="150"/>
      <c r="F42" s="21"/>
      <c r="G42" s="21"/>
      <c r="H42" s="48">
        <f>H40+H41</f>
        <v>18284.399999999823</v>
      </c>
      <c r="I42" s="24">
        <f>H42-H50</f>
        <v>-122.60000000015862</v>
      </c>
      <c r="J42" s="25">
        <f>I42/H42</f>
        <v>-6.7051694340618121E-3</v>
      </c>
    </row>
    <row r="43" spans="1:10" ht="15.75" x14ac:dyDescent="0.25">
      <c r="A43" s="15" t="s">
        <v>58</v>
      </c>
      <c r="B43" s="150"/>
      <c r="C43" s="150"/>
      <c r="D43" s="151"/>
      <c r="E43" s="150"/>
      <c r="H43" s="18"/>
      <c r="I43" s="43"/>
      <c r="J43" s="20"/>
    </row>
    <row r="44" spans="1:10" ht="15.75" x14ac:dyDescent="0.25">
      <c r="A44" s="27" t="s">
        <v>59</v>
      </c>
      <c r="B44" s="150" t="s">
        <v>51</v>
      </c>
      <c r="C44" s="32">
        <v>51097648</v>
      </c>
      <c r="D44" s="150" t="s">
        <v>52</v>
      </c>
      <c r="E44" s="150">
        <v>1200</v>
      </c>
      <c r="F44" s="21">
        <v>386.59199999999998</v>
      </c>
      <c r="G44" s="21">
        <v>388.73779999999999</v>
      </c>
      <c r="H44" s="33">
        <f>(G44-F44)*E44</f>
        <v>2574.96000000001</v>
      </c>
      <c r="I44" s="43"/>
      <c r="J44" s="20"/>
    </row>
    <row r="45" spans="1:10" ht="15.75" x14ac:dyDescent="0.25">
      <c r="A45" s="27" t="s">
        <v>60</v>
      </c>
      <c r="B45" s="150" t="s">
        <v>51</v>
      </c>
      <c r="C45" s="32">
        <v>50555043</v>
      </c>
      <c r="D45" s="150" t="s">
        <v>52</v>
      </c>
      <c r="E45" s="150">
        <v>1200</v>
      </c>
      <c r="F45" s="21">
        <v>1624.0419999999999</v>
      </c>
      <c r="G45" s="21">
        <v>1632.3108</v>
      </c>
      <c r="H45" s="33">
        <f>(G45-F45)*E45</f>
        <v>9922.5600000000668</v>
      </c>
      <c r="I45" s="43"/>
      <c r="J45" s="20"/>
    </row>
    <row r="46" spans="1:10" ht="15.75" x14ac:dyDescent="0.25">
      <c r="A46" s="27" t="s">
        <v>61</v>
      </c>
      <c r="B46" s="150" t="s">
        <v>51</v>
      </c>
      <c r="C46" s="32">
        <v>51259336</v>
      </c>
      <c r="D46" s="150" t="s">
        <v>62</v>
      </c>
      <c r="E46" s="150">
        <v>2400</v>
      </c>
      <c r="F46" s="21">
        <v>3.4529999999999998</v>
      </c>
      <c r="G46" s="21">
        <v>3.4672999999999998</v>
      </c>
      <c r="H46" s="33">
        <f>(G46-F46)*E46</f>
        <v>34.319999999999951</v>
      </c>
      <c r="I46" s="43"/>
      <c r="J46" s="20"/>
    </row>
    <row r="47" spans="1:10" ht="15.75" x14ac:dyDescent="0.25">
      <c r="A47" s="27" t="s">
        <v>63</v>
      </c>
      <c r="B47" s="150" t="s">
        <v>51</v>
      </c>
      <c r="C47" s="32">
        <v>51259266</v>
      </c>
      <c r="D47" s="150" t="s">
        <v>52</v>
      </c>
      <c r="E47" s="150">
        <v>1200</v>
      </c>
      <c r="F47" s="21">
        <v>786.99300000000005</v>
      </c>
      <c r="G47" s="21">
        <v>791.45389999999998</v>
      </c>
      <c r="H47" s="33">
        <f>(G47-F47)*E47</f>
        <v>5353.079999999909</v>
      </c>
      <c r="I47" s="43"/>
      <c r="J47" s="20"/>
    </row>
    <row r="48" spans="1:10" ht="15.75" x14ac:dyDescent="0.25">
      <c r="A48" s="27" t="s">
        <v>64</v>
      </c>
      <c r="B48" s="150" t="s">
        <v>51</v>
      </c>
      <c r="C48" s="32">
        <v>51431336</v>
      </c>
      <c r="D48" s="150" t="s">
        <v>52</v>
      </c>
      <c r="E48" s="150">
        <v>1200</v>
      </c>
      <c r="F48" s="21">
        <v>41.36</v>
      </c>
      <c r="G48" s="21">
        <v>41.753399999999999</v>
      </c>
      <c r="H48" s="33">
        <f>(G48-F48)*E48</f>
        <v>472.0799999999997</v>
      </c>
      <c r="I48" s="43"/>
      <c r="J48" s="20"/>
    </row>
    <row r="49" spans="1:10" ht="15.75" x14ac:dyDescent="0.25">
      <c r="A49" s="15" t="s">
        <v>65</v>
      </c>
      <c r="B49" s="150" t="s">
        <v>66</v>
      </c>
      <c r="C49" s="150">
        <v>49174</v>
      </c>
      <c r="D49" s="151" t="s">
        <v>52</v>
      </c>
      <c r="E49" s="150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18406.999999999982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50" t="s">
        <v>51</v>
      </c>
      <c r="C52" s="150">
        <v>51097603</v>
      </c>
      <c r="D52" s="151" t="s">
        <v>52</v>
      </c>
      <c r="E52" s="150">
        <v>7000</v>
      </c>
      <c r="F52" s="17">
        <v>1568.2149999999999</v>
      </c>
      <c r="G52" s="17">
        <v>1576.7049999999999</v>
      </c>
      <c r="H52" s="18">
        <f>(G52-F52)*E52</f>
        <v>59430.000000000065</v>
      </c>
      <c r="I52" s="43"/>
      <c r="J52" s="20"/>
    </row>
    <row r="53" spans="1:10" ht="15.75" x14ac:dyDescent="0.25">
      <c r="A53" s="27" t="s">
        <v>71</v>
      </c>
      <c r="B53" s="150" t="s">
        <v>51</v>
      </c>
      <c r="C53" s="150">
        <v>51097590</v>
      </c>
      <c r="D53" s="151" t="s">
        <v>52</v>
      </c>
      <c r="E53" s="150">
        <v>7000</v>
      </c>
      <c r="F53" s="21">
        <v>8.9979999999999993</v>
      </c>
      <c r="G53" s="21">
        <v>9.0729000000000006</v>
      </c>
      <c r="H53" s="18">
        <f>(G53-F53)*E53</f>
        <v>524.30000000000905</v>
      </c>
      <c r="I53" s="43"/>
      <c r="J53" s="20"/>
    </row>
    <row r="54" spans="1:10" ht="15.75" x14ac:dyDescent="0.25">
      <c r="A54" s="15" t="s">
        <v>65</v>
      </c>
      <c r="B54" s="150" t="s">
        <v>66</v>
      </c>
      <c r="C54" s="150">
        <v>49174</v>
      </c>
      <c r="D54" s="151" t="s">
        <v>52</v>
      </c>
      <c r="E54" s="150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50"/>
      <c r="D55" s="151"/>
      <c r="E55" s="150"/>
      <c r="F55" s="21"/>
      <c r="G55" s="21"/>
      <c r="H55" s="48">
        <f>H52+H53+H54</f>
        <v>60054.300000000076</v>
      </c>
      <c r="I55" s="47"/>
      <c r="J55" s="59"/>
    </row>
    <row r="56" spans="1:10" ht="15.75" x14ac:dyDescent="0.25">
      <c r="A56" s="27" t="s">
        <v>73</v>
      </c>
      <c r="B56" s="150" t="s">
        <v>51</v>
      </c>
      <c r="C56" s="150">
        <v>51100980</v>
      </c>
      <c r="D56" s="150" t="s">
        <v>74</v>
      </c>
      <c r="E56" s="150">
        <v>12000</v>
      </c>
      <c r="F56" s="21">
        <v>922.24199999999996</v>
      </c>
      <c r="G56" s="21">
        <v>927.24270000000001</v>
      </c>
      <c r="H56" s="18">
        <f>(G56-F56)*E56</f>
        <v>60008.40000000062</v>
      </c>
      <c r="I56" s="47"/>
      <c r="J56" s="58"/>
    </row>
    <row r="57" spans="1:10" ht="15.75" x14ac:dyDescent="0.25">
      <c r="A57" s="27" t="s">
        <v>75</v>
      </c>
      <c r="B57" s="150" t="s">
        <v>51</v>
      </c>
      <c r="C57" s="150">
        <v>51097623</v>
      </c>
      <c r="D57" s="150" t="s">
        <v>74</v>
      </c>
      <c r="E57" s="150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50"/>
      <c r="C58" s="150"/>
      <c r="D58" s="150"/>
      <c r="E58" s="150"/>
      <c r="F58" s="21"/>
      <c r="G58" s="21"/>
      <c r="H58" s="48">
        <f>H56+H57</f>
        <v>60008.40000000062</v>
      </c>
      <c r="I58" s="61">
        <f>H55-H65-H54</f>
        <v>-200.01999999993131</v>
      </c>
      <c r="J58" s="25">
        <f>I58/H58</f>
        <v>-3.3332000186628748E-3</v>
      </c>
    </row>
    <row r="59" spans="1:10" ht="15.75" x14ac:dyDescent="0.25">
      <c r="A59" s="27" t="s">
        <v>77</v>
      </c>
      <c r="B59" s="150" t="s">
        <v>51</v>
      </c>
      <c r="C59" s="150">
        <v>51097675</v>
      </c>
      <c r="D59" s="150" t="s">
        <v>34</v>
      </c>
      <c r="E59" s="150">
        <v>4800</v>
      </c>
      <c r="F59" s="21">
        <v>352.82299999999998</v>
      </c>
      <c r="G59" s="21">
        <v>355.8107</v>
      </c>
      <c r="H59" s="18">
        <f t="shared" ref="H59:H64" si="2">(G59-F59)*E59</f>
        <v>14340.960000000086</v>
      </c>
      <c r="I59" s="62"/>
      <c r="J59" s="59"/>
    </row>
    <row r="60" spans="1:10" ht="15.75" x14ac:dyDescent="0.25">
      <c r="A60" s="27" t="s">
        <v>78</v>
      </c>
      <c r="B60" s="150" t="s">
        <v>51</v>
      </c>
      <c r="C60" s="150">
        <v>51100997</v>
      </c>
      <c r="D60" s="150" t="s">
        <v>21</v>
      </c>
      <c r="E60" s="150">
        <v>3600</v>
      </c>
      <c r="F60" s="21">
        <v>1187.529</v>
      </c>
      <c r="G60" s="21">
        <v>1193.2447</v>
      </c>
      <c r="H60" s="18">
        <f t="shared" si="2"/>
        <v>20576.519999999891</v>
      </c>
      <c r="I60" s="62"/>
      <c r="J60" s="59"/>
    </row>
    <row r="61" spans="1:10" ht="15.75" x14ac:dyDescent="0.25">
      <c r="A61" s="27" t="s">
        <v>79</v>
      </c>
      <c r="B61" s="150" t="s">
        <v>51</v>
      </c>
      <c r="C61" s="150">
        <v>51555218</v>
      </c>
      <c r="D61" s="150">
        <f>400/5</f>
        <v>80</v>
      </c>
      <c r="E61" s="150">
        <v>4800</v>
      </c>
      <c r="F61" s="21">
        <v>39.164000000000001</v>
      </c>
      <c r="G61" s="21">
        <v>39.607399999999998</v>
      </c>
      <c r="H61" s="18">
        <f t="shared" si="2"/>
        <v>2128.3199999999852</v>
      </c>
      <c r="I61" s="62"/>
      <c r="J61" s="59"/>
    </row>
    <row r="62" spans="1:10" ht="15.75" x14ac:dyDescent="0.25">
      <c r="A62" s="27" t="s">
        <v>80</v>
      </c>
      <c r="B62" s="150" t="s">
        <v>51</v>
      </c>
      <c r="C62" s="150">
        <v>51555151</v>
      </c>
      <c r="D62" s="150">
        <f>400/5</f>
        <v>80</v>
      </c>
      <c r="E62" s="150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50" t="s">
        <v>51</v>
      </c>
      <c r="C63" s="150">
        <v>51097599</v>
      </c>
      <c r="D63" s="150" t="s">
        <v>21</v>
      </c>
      <c r="E63" s="150">
        <v>3600</v>
      </c>
      <c r="F63" s="21">
        <v>837.52099999999996</v>
      </c>
      <c r="G63" s="21">
        <v>840.66750000000002</v>
      </c>
      <c r="H63" s="18">
        <f t="shared" si="2"/>
        <v>11327.400000000216</v>
      </c>
      <c r="I63" s="62"/>
      <c r="J63" s="59"/>
    </row>
    <row r="64" spans="1:10" ht="15.75" x14ac:dyDescent="0.25">
      <c r="A64" s="27" t="s">
        <v>82</v>
      </c>
      <c r="B64" s="150" t="s">
        <v>51</v>
      </c>
      <c r="C64" s="150">
        <v>51097620</v>
      </c>
      <c r="D64" s="150" t="s">
        <v>34</v>
      </c>
      <c r="E64" s="150">
        <v>4800</v>
      </c>
      <c r="F64" s="21">
        <v>383.38900000000001</v>
      </c>
      <c r="G64" s="21">
        <v>385.84339999999997</v>
      </c>
      <c r="H64" s="18">
        <f t="shared" si="2"/>
        <v>11781.119999999828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60154.320000000007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50" t="s">
        <v>51</v>
      </c>
      <c r="C67" s="9">
        <v>51259238</v>
      </c>
      <c r="D67" s="74" t="s">
        <v>52</v>
      </c>
      <c r="E67" s="74">
        <v>7000</v>
      </c>
      <c r="F67" s="75">
        <v>420.10700000000003</v>
      </c>
      <c r="G67" s="75">
        <v>422.73160000000001</v>
      </c>
      <c r="H67" s="76">
        <f>(G67-F67)*E67</f>
        <v>18372.199999999906</v>
      </c>
      <c r="I67" s="77"/>
      <c r="J67" s="78"/>
    </row>
    <row r="68" spans="1:10" ht="15.75" x14ac:dyDescent="0.25">
      <c r="A68" s="27" t="s">
        <v>85</v>
      </c>
      <c r="B68" s="150" t="s">
        <v>51</v>
      </c>
      <c r="C68" s="150">
        <v>51259324</v>
      </c>
      <c r="D68" s="151" t="s">
        <v>52</v>
      </c>
      <c r="E68" s="151">
        <v>7000</v>
      </c>
      <c r="F68" s="21">
        <v>323.25099999999998</v>
      </c>
      <c r="G68" s="21">
        <v>325.31060000000002</v>
      </c>
      <c r="H68" s="18">
        <f>(G68-F68)*E68</f>
        <v>14417.200000000321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50">
        <v>51491618</v>
      </c>
      <c r="D69" s="151" t="s">
        <v>62</v>
      </c>
      <c r="E69" s="150">
        <v>40</v>
      </c>
      <c r="F69" s="28">
        <v>725.51800000000003</v>
      </c>
      <c r="G69" s="28">
        <v>735.36199999999997</v>
      </c>
      <c r="H69" s="18">
        <f>(G69-F69)*E69</f>
        <v>393.75999999999749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50">
        <v>51491624</v>
      </c>
      <c r="D70" s="151" t="s">
        <v>62</v>
      </c>
      <c r="E70" s="150">
        <v>40</v>
      </c>
      <c r="F70" s="28">
        <v>102.88500000000001</v>
      </c>
      <c r="G70" s="28">
        <v>104.01349999999999</v>
      </c>
      <c r="H70" s="18">
        <f>(G70-F70)*E70</f>
        <v>45.139999999999532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32789.400000000227</v>
      </c>
      <c r="I71" s="85">
        <f>H71-H74-H69-H70</f>
        <v>-1032.2999999998601</v>
      </c>
      <c r="J71" s="25">
        <f>I71/H71</f>
        <v>-3.1482735274199987E-2</v>
      </c>
    </row>
    <row r="72" spans="1:10" ht="15.75" x14ac:dyDescent="0.25">
      <c r="A72" s="27" t="s">
        <v>90</v>
      </c>
      <c r="B72" s="150" t="s">
        <v>51</v>
      </c>
      <c r="C72" s="86">
        <v>51097588</v>
      </c>
      <c r="D72" s="151" t="s">
        <v>74</v>
      </c>
      <c r="E72" s="150">
        <v>12000</v>
      </c>
      <c r="F72" s="21">
        <v>254.80199999999999</v>
      </c>
      <c r="G72" s="21">
        <v>256.334</v>
      </c>
      <c r="H72" s="18">
        <f>(G72-F72)*E72</f>
        <v>18384.000000000127</v>
      </c>
      <c r="I72" s="51"/>
      <c r="J72" s="58"/>
    </row>
    <row r="73" spans="1:10" ht="15.75" x14ac:dyDescent="0.25">
      <c r="A73" s="27" t="s">
        <v>91</v>
      </c>
      <c r="B73" s="150" t="s">
        <v>51</v>
      </c>
      <c r="C73" s="86">
        <v>51431335</v>
      </c>
      <c r="D73" s="151" t="s">
        <v>74</v>
      </c>
      <c r="E73" s="150">
        <v>12000</v>
      </c>
      <c r="F73" s="21">
        <v>198.733</v>
      </c>
      <c r="G73" s="21">
        <v>199.9829</v>
      </c>
      <c r="H73" s="18">
        <f>(G73-F73)*E73</f>
        <v>14998.799999999959</v>
      </c>
      <c r="I73" s="51"/>
      <c r="J73" s="58"/>
    </row>
    <row r="74" spans="1:10" ht="15.75" x14ac:dyDescent="0.25">
      <c r="A74" s="87" t="s">
        <v>92</v>
      </c>
      <c r="B74" s="150" t="s">
        <v>27</v>
      </c>
      <c r="C74" s="150"/>
      <c r="D74" s="151"/>
      <c r="E74" s="150"/>
      <c r="F74" s="21"/>
      <c r="G74" s="21"/>
      <c r="H74" s="48">
        <f>H72+ H73</f>
        <v>33382.80000000009</v>
      </c>
      <c r="I74" s="85">
        <f>H74-H82</f>
        <v>-62.640000000348664</v>
      </c>
      <c r="J74" s="25">
        <f>I74/H74</f>
        <v>-1.8764153995575114E-3</v>
      </c>
    </row>
    <row r="75" spans="1:10" ht="15.75" x14ac:dyDescent="0.25">
      <c r="A75" s="27" t="s">
        <v>93</v>
      </c>
      <c r="B75" s="150" t="s">
        <v>51</v>
      </c>
      <c r="C75" s="86">
        <v>51097676</v>
      </c>
      <c r="D75" s="88" t="s">
        <v>62</v>
      </c>
      <c r="E75" s="150">
        <v>2400</v>
      </c>
      <c r="F75" s="21">
        <v>508.52</v>
      </c>
      <c r="G75" s="21">
        <v>512.04909999999995</v>
      </c>
      <c r="H75" s="18">
        <f>(G75-F75)*E75</f>
        <v>8469.839999999931</v>
      </c>
      <c r="I75" s="51"/>
      <c r="J75" s="58"/>
    </row>
    <row r="76" spans="1:10" ht="15.75" x14ac:dyDescent="0.25">
      <c r="A76" s="27" t="s">
        <v>94</v>
      </c>
      <c r="B76" s="150" t="s">
        <v>51</v>
      </c>
      <c r="C76" s="86">
        <v>51431355</v>
      </c>
      <c r="D76" s="151" t="s">
        <v>21</v>
      </c>
      <c r="E76" s="151">
        <v>3600</v>
      </c>
      <c r="F76" s="21">
        <v>299.98899999999998</v>
      </c>
      <c r="G76" s="21">
        <v>301.34019999999998</v>
      </c>
      <c r="H76" s="18">
        <f>(G76-F76)*E76</f>
        <v>4864.3200000000206</v>
      </c>
      <c r="I76" s="51"/>
      <c r="J76" s="52"/>
    </row>
    <row r="77" spans="1:10" ht="15.75" x14ac:dyDescent="0.25">
      <c r="A77" s="27" t="s">
        <v>95</v>
      </c>
      <c r="B77" s="150" t="s">
        <v>51</v>
      </c>
      <c r="C77" s="86">
        <v>51259331</v>
      </c>
      <c r="D77" s="88" t="s">
        <v>37</v>
      </c>
      <c r="E77" s="150">
        <v>600</v>
      </c>
      <c r="F77" s="21">
        <v>116.59399999999999</v>
      </c>
      <c r="G77" s="21">
        <v>117.5304</v>
      </c>
      <c r="H77" s="18">
        <f>(G77-F77)*E77</f>
        <v>561.84000000000367</v>
      </c>
      <c r="I77" s="51"/>
      <c r="J77" s="52"/>
    </row>
    <row r="78" spans="1:10" ht="15.75" x14ac:dyDescent="0.25">
      <c r="A78" s="27" t="s">
        <v>96</v>
      </c>
      <c r="B78" s="150" t="s">
        <v>51</v>
      </c>
      <c r="C78" s="86">
        <v>51259326</v>
      </c>
      <c r="D78" s="88" t="s">
        <v>14</v>
      </c>
      <c r="E78" s="150">
        <v>7200</v>
      </c>
      <c r="F78" s="21">
        <v>259.44799999999998</v>
      </c>
      <c r="G78" s="21">
        <v>260.83390000000003</v>
      </c>
      <c r="H78" s="18">
        <f>(G78-F78)*E78</f>
        <v>9978.4800000003543</v>
      </c>
      <c r="I78" s="51"/>
      <c r="J78" s="52"/>
    </row>
    <row r="79" spans="1:10" ht="15.75" x14ac:dyDescent="0.25">
      <c r="A79" s="27" t="s">
        <v>97</v>
      </c>
      <c r="B79" s="150" t="s">
        <v>51</v>
      </c>
      <c r="C79" s="86">
        <v>51431351</v>
      </c>
      <c r="D79" s="88" t="s">
        <v>14</v>
      </c>
      <c r="E79" s="150">
        <v>7200</v>
      </c>
      <c r="F79" s="21">
        <v>168.56299999999999</v>
      </c>
      <c r="G79" s="21">
        <v>169.89230000000001</v>
      </c>
      <c r="H79" s="18">
        <f>(G79-F79)*E79</f>
        <v>9570.9600000001265</v>
      </c>
      <c r="I79" s="51"/>
      <c r="J79" s="52"/>
    </row>
    <row r="80" spans="1:10" ht="15.75" x14ac:dyDescent="0.25">
      <c r="A80" s="89" t="s">
        <v>98</v>
      </c>
      <c r="B80" s="150" t="s">
        <v>51</v>
      </c>
      <c r="C80" s="90">
        <v>51097666</v>
      </c>
      <c r="D80" s="88" t="s">
        <v>62</v>
      </c>
      <c r="E80" s="150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50" t="s">
        <v>51</v>
      </c>
      <c r="C81" s="90">
        <v>51259323</v>
      </c>
      <c r="D81" s="88" t="s">
        <v>62</v>
      </c>
      <c r="E81" s="150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33445.440000000439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50" t="s">
        <v>51</v>
      </c>
      <c r="C84" s="106">
        <v>51431297</v>
      </c>
      <c r="D84" s="151" t="s">
        <v>52</v>
      </c>
      <c r="E84" s="100">
        <v>7000</v>
      </c>
      <c r="F84" s="17">
        <v>201.666</v>
      </c>
      <c r="G84" s="17">
        <v>204.10659999999999</v>
      </c>
      <c r="H84" s="18">
        <f>(G84-F84)*E84</f>
        <v>17084.199999999924</v>
      </c>
      <c r="I84" s="107"/>
      <c r="J84" s="108"/>
    </row>
    <row r="85" spans="1:10" ht="15.75" x14ac:dyDescent="0.25">
      <c r="A85" s="105" t="s">
        <v>85</v>
      </c>
      <c r="B85" s="150" t="s">
        <v>51</v>
      </c>
      <c r="C85" s="106">
        <v>51431332</v>
      </c>
      <c r="D85" s="151" t="s">
        <v>52</v>
      </c>
      <c r="E85" s="100">
        <v>7000</v>
      </c>
      <c r="F85" s="21">
        <v>304.93799999999999</v>
      </c>
      <c r="G85" s="21">
        <v>305.06009999999998</v>
      </c>
      <c r="H85" s="18">
        <f>(G85-F85)*E85</f>
        <v>854.69999999992297</v>
      </c>
      <c r="I85" s="150"/>
      <c r="J85" s="58"/>
    </row>
    <row r="86" spans="1:10" ht="15.75" x14ac:dyDescent="0.25">
      <c r="A86" s="27" t="s">
        <v>86</v>
      </c>
      <c r="B86" s="150" t="s">
        <v>102</v>
      </c>
      <c r="C86" s="109">
        <v>150773</v>
      </c>
      <c r="D86" s="151" t="s">
        <v>52</v>
      </c>
      <c r="E86" s="109">
        <v>20</v>
      </c>
      <c r="F86" s="17">
        <v>15246.9</v>
      </c>
      <c r="G86" s="17">
        <v>15253.3</v>
      </c>
      <c r="H86" s="18">
        <f>(G86-F86)*E86</f>
        <v>127.99999999999272</v>
      </c>
      <c r="I86" s="51"/>
      <c r="J86" s="58"/>
    </row>
    <row r="87" spans="1:10" ht="15.75" x14ac:dyDescent="0.25">
      <c r="A87" s="27" t="s">
        <v>88</v>
      </c>
      <c r="B87" s="150" t="s">
        <v>102</v>
      </c>
      <c r="C87" s="109">
        <v>150791</v>
      </c>
      <c r="D87" s="151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52"/>
      <c r="C88" s="32"/>
      <c r="D88" s="82"/>
      <c r="E88" s="82"/>
      <c r="F88" s="21"/>
      <c r="G88" s="21"/>
      <c r="H88" s="48">
        <f>H84+H85</f>
        <v>17938.899999999849</v>
      </c>
      <c r="I88" s="85">
        <f>H88-H91-H86-H87</f>
        <v>394.57999999985987</v>
      </c>
      <c r="J88" s="25">
        <f>I88/H88</f>
        <v>2.1995774545811794E-2</v>
      </c>
    </row>
    <row r="89" spans="1:10" ht="15.75" x14ac:dyDescent="0.25">
      <c r="A89" s="27" t="s">
        <v>103</v>
      </c>
      <c r="B89" s="150" t="s">
        <v>51</v>
      </c>
      <c r="C89" s="106">
        <v>51431342</v>
      </c>
      <c r="D89" s="88" t="s">
        <v>34</v>
      </c>
      <c r="E89" s="150">
        <v>4800</v>
      </c>
      <c r="F89" s="21">
        <v>285.00099999999998</v>
      </c>
      <c r="G89" s="21">
        <v>288.5127</v>
      </c>
      <c r="H89" s="18">
        <f>(G89-F89)*E89</f>
        <v>16856.160000000091</v>
      </c>
      <c r="I89" s="51"/>
      <c r="J89" s="52"/>
    </row>
    <row r="90" spans="1:10" ht="15.75" x14ac:dyDescent="0.25">
      <c r="A90" s="27" t="s">
        <v>104</v>
      </c>
      <c r="B90" s="150" t="s">
        <v>51</v>
      </c>
      <c r="C90" s="106">
        <v>51431343</v>
      </c>
      <c r="D90" s="88" t="s">
        <v>34</v>
      </c>
      <c r="E90" s="150">
        <v>4800</v>
      </c>
      <c r="F90" s="21">
        <v>432.726</v>
      </c>
      <c r="G90" s="21">
        <v>432.84269999999998</v>
      </c>
      <c r="H90" s="18">
        <f>(G90-F90)*E90</f>
        <v>560.15999999990527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17416.319999999996</v>
      </c>
      <c r="I91" s="85">
        <f>H91-H99</f>
        <v>-65.300000000035652</v>
      </c>
      <c r="J91" s="25">
        <f>I91/H91</f>
        <v>-3.7493569250011292E-3</v>
      </c>
    </row>
    <row r="92" spans="1:10" ht="15.75" x14ac:dyDescent="0.25">
      <c r="A92" s="27" t="s">
        <v>106</v>
      </c>
      <c r="B92" s="150" t="s">
        <v>51</v>
      </c>
      <c r="C92" s="106">
        <v>51431347</v>
      </c>
      <c r="D92" s="151" t="s">
        <v>52</v>
      </c>
      <c r="E92" s="150">
        <v>1200</v>
      </c>
      <c r="F92" s="21">
        <v>958.84299999999996</v>
      </c>
      <c r="G92" s="21">
        <v>958.84389999999996</v>
      </c>
      <c r="H92" s="18">
        <f t="shared" ref="H92:H100" si="4">(G92-F92)*E92</f>
        <v>1.0800000000017462</v>
      </c>
      <c r="I92" s="51"/>
      <c r="J92" s="52"/>
    </row>
    <row r="93" spans="1:10" ht="15.75" x14ac:dyDescent="0.25">
      <c r="A93" s="27" t="s">
        <v>107</v>
      </c>
      <c r="B93" s="150" t="s">
        <v>51</v>
      </c>
      <c r="C93" s="106">
        <v>51431339</v>
      </c>
      <c r="D93" s="151" t="s">
        <v>52</v>
      </c>
      <c r="E93" s="150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50" t="s">
        <v>51</v>
      </c>
      <c r="C94" s="106">
        <v>51217244</v>
      </c>
      <c r="D94" s="150" t="s">
        <v>37</v>
      </c>
      <c r="E94" s="150">
        <v>600</v>
      </c>
      <c r="F94" s="30">
        <v>248.053</v>
      </c>
      <c r="G94" s="30">
        <v>248.86170000000001</v>
      </c>
      <c r="H94" s="18">
        <f t="shared" si="4"/>
        <v>485.22000000000958</v>
      </c>
      <c r="I94" s="51"/>
      <c r="J94" s="52"/>
    </row>
    <row r="95" spans="1:10" ht="15.75" x14ac:dyDescent="0.25">
      <c r="A95" s="27" t="s">
        <v>109</v>
      </c>
      <c r="B95" s="150" t="s">
        <v>51</v>
      </c>
      <c r="C95" s="106">
        <v>51217267</v>
      </c>
      <c r="D95" s="88" t="s">
        <v>62</v>
      </c>
      <c r="E95" s="150">
        <v>2400</v>
      </c>
      <c r="F95" s="30">
        <v>18.721</v>
      </c>
      <c r="G95" s="30">
        <v>18.752600000000001</v>
      </c>
      <c r="H95" s="18">
        <f t="shared" si="4"/>
        <v>75.840000000002306</v>
      </c>
      <c r="I95" s="51"/>
      <c r="J95" s="52"/>
    </row>
    <row r="96" spans="1:10" ht="15.75" x14ac:dyDescent="0.25">
      <c r="A96" s="27" t="s">
        <v>110</v>
      </c>
      <c r="B96" s="150" t="s">
        <v>51</v>
      </c>
      <c r="C96" s="150">
        <v>51555165</v>
      </c>
      <c r="D96" s="151" t="s">
        <v>52</v>
      </c>
      <c r="E96" s="150">
        <v>1200</v>
      </c>
      <c r="F96" s="30">
        <v>665.81700000000001</v>
      </c>
      <c r="G96" s="30">
        <v>674.37869999999998</v>
      </c>
      <c r="H96" s="18">
        <f t="shared" si="4"/>
        <v>10274.039999999968</v>
      </c>
      <c r="I96" s="51" t="s">
        <v>27</v>
      </c>
      <c r="J96" s="52"/>
    </row>
    <row r="97" spans="1:10" ht="15.75" x14ac:dyDescent="0.25">
      <c r="A97" s="113" t="s">
        <v>111</v>
      </c>
      <c r="B97" s="150" t="s">
        <v>51</v>
      </c>
      <c r="C97" s="106">
        <v>51431346</v>
      </c>
      <c r="D97" s="114" t="s">
        <v>37</v>
      </c>
      <c r="E97" s="114">
        <v>600</v>
      </c>
      <c r="F97" s="30">
        <v>283.73099999999999</v>
      </c>
      <c r="G97" s="30">
        <v>285.89339999999999</v>
      </c>
      <c r="H97" s="115">
        <f t="shared" si="4"/>
        <v>1297.4399999999946</v>
      </c>
      <c r="I97" s="116"/>
      <c r="J97" s="117"/>
    </row>
    <row r="98" spans="1:10" ht="15.75" x14ac:dyDescent="0.25">
      <c r="A98" s="27" t="s">
        <v>112</v>
      </c>
      <c r="B98" s="150" t="s">
        <v>51</v>
      </c>
      <c r="C98" s="106">
        <v>51431352</v>
      </c>
      <c r="D98" s="88" t="s">
        <v>21</v>
      </c>
      <c r="E98" s="150">
        <v>3600</v>
      </c>
      <c r="F98" s="21">
        <v>151.41999999999999</v>
      </c>
      <c r="G98" s="21">
        <v>152.87</v>
      </c>
      <c r="H98" s="18">
        <f t="shared" si="4"/>
        <v>5220.0000000000618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17481.620000000032</v>
      </c>
      <c r="I99" s="51"/>
      <c r="J99" s="52"/>
    </row>
    <row r="100" spans="1:10" ht="15.75" x14ac:dyDescent="0.25">
      <c r="A100" s="45" t="s">
        <v>113</v>
      </c>
      <c r="B100" s="150" t="s">
        <v>51</v>
      </c>
      <c r="C100" s="120">
        <v>51431357</v>
      </c>
      <c r="D100" s="151" t="s">
        <v>62</v>
      </c>
      <c r="E100" s="151">
        <v>14000</v>
      </c>
      <c r="F100" s="28">
        <v>666.89200000000005</v>
      </c>
      <c r="G100" s="28">
        <v>669.87030000000004</v>
      </c>
      <c r="H100" s="121">
        <f t="shared" si="4"/>
        <v>41696.199999999866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135</v>
      </c>
      <c r="G3" s="4" t="s">
        <v>136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53" t="s">
        <v>13</v>
      </c>
      <c r="C5" s="153">
        <v>51555166</v>
      </c>
      <c r="D5" s="153" t="s">
        <v>14</v>
      </c>
      <c r="E5" s="153">
        <v>132000</v>
      </c>
      <c r="F5" s="17">
        <v>2.3235999999999999</v>
      </c>
      <c r="G5" s="17">
        <v>2.3357999999999999</v>
      </c>
      <c r="H5" s="18">
        <f>(G5-F5)*E5</f>
        <v>1610.3999999999985</v>
      </c>
      <c r="I5" s="19"/>
      <c r="J5" s="20"/>
    </row>
    <row r="6" spans="1:10" ht="15.75" x14ac:dyDescent="0.25">
      <c r="A6" s="15" t="s">
        <v>15</v>
      </c>
      <c r="B6" s="153" t="s">
        <v>13</v>
      </c>
      <c r="C6" s="153">
        <v>51555191</v>
      </c>
      <c r="D6" s="153" t="s">
        <v>14</v>
      </c>
      <c r="E6" s="153">
        <v>132000</v>
      </c>
      <c r="F6" s="21">
        <v>273.67720000000003</v>
      </c>
      <c r="G6" s="21">
        <v>275.7475</v>
      </c>
      <c r="H6" s="18">
        <f>(G6-F6)*E6</f>
        <v>273279.59999999666</v>
      </c>
      <c r="I6" s="19"/>
      <c r="J6" s="20"/>
    </row>
    <row r="7" spans="1:10" ht="15.75" x14ac:dyDescent="0.25">
      <c r="A7" s="219" t="s">
        <v>16</v>
      </c>
      <c r="B7" s="220"/>
      <c r="C7" s="153"/>
      <c r="D7" s="154"/>
      <c r="E7" s="153"/>
      <c r="H7" s="23">
        <f>H5+H6</f>
        <v>274889.99999999668</v>
      </c>
      <c r="I7" s="24">
        <f>H7-H10-H20</f>
        <v>2094.599999998245</v>
      </c>
      <c r="J7" s="25">
        <f>I7/H7</f>
        <v>7.6197751827941007E-3</v>
      </c>
    </row>
    <row r="8" spans="1:10" ht="15.75" x14ac:dyDescent="0.25">
      <c r="A8" s="26" t="s">
        <v>17</v>
      </c>
      <c r="B8" s="153" t="s">
        <v>13</v>
      </c>
      <c r="C8" s="153">
        <v>51097629</v>
      </c>
      <c r="D8" s="154" t="s">
        <v>14</v>
      </c>
      <c r="E8" s="153">
        <v>42000</v>
      </c>
      <c r="F8" s="21">
        <v>883.00360000000001</v>
      </c>
      <c r="G8" s="21">
        <v>887.90219999999999</v>
      </c>
      <c r="H8" s="18">
        <f>(G8-F8)*E8</f>
        <v>205741.19999999949</v>
      </c>
      <c r="I8" s="19"/>
      <c r="J8" s="20"/>
    </row>
    <row r="9" spans="1:10" ht="15.75" x14ac:dyDescent="0.25">
      <c r="A9" s="26" t="s">
        <v>18</v>
      </c>
      <c r="B9" s="153" t="s">
        <v>13</v>
      </c>
      <c r="C9" s="153">
        <v>51616820</v>
      </c>
      <c r="D9" s="154" t="s">
        <v>14</v>
      </c>
      <c r="E9" s="153">
        <v>42000</v>
      </c>
      <c r="F9" s="21">
        <v>3.7635000000000001</v>
      </c>
      <c r="G9" s="21">
        <v>3.7885</v>
      </c>
      <c r="H9" s="18">
        <f>(G9-F9)*E9</f>
        <v>1049.9999999999964</v>
      </c>
      <c r="I9" s="19"/>
      <c r="J9" s="20"/>
    </row>
    <row r="10" spans="1:10" ht="15.75" x14ac:dyDescent="0.25">
      <c r="A10" s="219" t="s">
        <v>19</v>
      </c>
      <c r="B10" s="220"/>
      <c r="C10" s="153"/>
      <c r="D10" s="154"/>
      <c r="E10" s="153"/>
      <c r="F10" s="21"/>
      <c r="G10" s="21"/>
      <c r="H10" s="23">
        <f>H8+H9</f>
        <v>206791.19999999949</v>
      </c>
      <c r="I10" s="24">
        <f>H10-H17</f>
        <v>6.2999999990279321</v>
      </c>
      <c r="J10" s="25">
        <f>I10/H10</f>
        <v>3.0465513034538934E-5</v>
      </c>
    </row>
    <row r="11" spans="1:10" ht="15.75" x14ac:dyDescent="0.25">
      <c r="A11" s="27" t="s">
        <v>20</v>
      </c>
      <c r="B11" s="153" t="s">
        <v>13</v>
      </c>
      <c r="C11" s="153">
        <v>51217286</v>
      </c>
      <c r="D11" s="154" t="s">
        <v>21</v>
      </c>
      <c r="E11" s="153">
        <v>21000</v>
      </c>
      <c r="F11" s="21">
        <v>703.25329999999997</v>
      </c>
      <c r="G11" s="21">
        <v>707.03890000000001</v>
      </c>
      <c r="H11" s="18">
        <f t="shared" ref="H11:H16" si="0">(G11-F11)*E11</f>
        <v>79497.600000000937</v>
      </c>
      <c r="I11" s="19"/>
      <c r="J11" s="20"/>
    </row>
    <row r="12" spans="1:10" ht="15.75" x14ac:dyDescent="0.25">
      <c r="A12" s="27" t="s">
        <v>22</v>
      </c>
      <c r="B12" s="153" t="s">
        <v>13</v>
      </c>
      <c r="C12" s="153">
        <v>51217292</v>
      </c>
      <c r="D12" s="154" t="s">
        <v>21</v>
      </c>
      <c r="E12" s="153">
        <v>21000</v>
      </c>
      <c r="F12" s="28">
        <v>2.6998000000000002</v>
      </c>
      <c r="G12" s="28">
        <v>2.7259000000000002</v>
      </c>
      <c r="H12" s="18">
        <f>(G12-F12)*E12</f>
        <v>548.10000000000025</v>
      </c>
      <c r="I12" s="19"/>
      <c r="J12" s="20"/>
    </row>
    <row r="13" spans="1:10" ht="15.75" x14ac:dyDescent="0.25">
      <c r="A13" s="27" t="s">
        <v>23</v>
      </c>
      <c r="B13" s="153" t="s">
        <v>13</v>
      </c>
      <c r="C13" s="153">
        <v>51217271</v>
      </c>
      <c r="D13" s="154" t="s">
        <v>21</v>
      </c>
      <c r="E13" s="153">
        <v>21000</v>
      </c>
      <c r="F13" s="21">
        <v>505.7568</v>
      </c>
      <c r="G13" s="21">
        <v>508.93819999999999</v>
      </c>
      <c r="H13" s="18">
        <f t="shared" si="0"/>
        <v>66809.399999999921</v>
      </c>
      <c r="I13" s="19"/>
      <c r="J13" s="20"/>
    </row>
    <row r="14" spans="1:10" ht="15.75" x14ac:dyDescent="0.25">
      <c r="A14" s="27" t="s">
        <v>24</v>
      </c>
      <c r="B14" s="153" t="s">
        <v>13</v>
      </c>
      <c r="C14" s="153">
        <v>51217276</v>
      </c>
      <c r="D14" s="154" t="s">
        <v>21</v>
      </c>
      <c r="E14" s="153">
        <v>21000</v>
      </c>
      <c r="F14" s="28">
        <v>0.36969999999999997</v>
      </c>
      <c r="G14" s="28">
        <v>0.37859999999999999</v>
      </c>
      <c r="H14" s="18">
        <f>(G14-F14)*E14</f>
        <v>186.9000000000004</v>
      </c>
      <c r="I14" s="19"/>
      <c r="J14" s="20"/>
    </row>
    <row r="15" spans="1:10" ht="15.75" x14ac:dyDescent="0.25">
      <c r="A15" s="27" t="s">
        <v>25</v>
      </c>
      <c r="B15" s="153" t="s">
        <v>13</v>
      </c>
      <c r="C15" s="153">
        <v>51100990</v>
      </c>
      <c r="D15" s="154" t="s">
        <v>21</v>
      </c>
      <c r="E15" s="153">
        <v>21000</v>
      </c>
      <c r="F15" s="29">
        <v>561.52760000000001</v>
      </c>
      <c r="G15" s="29">
        <v>564.36009999999999</v>
      </c>
      <c r="H15" s="18">
        <f t="shared" si="0"/>
        <v>59482.499999999622</v>
      </c>
      <c r="I15" s="19"/>
      <c r="J15" s="20"/>
    </row>
    <row r="16" spans="1:10" ht="15.75" x14ac:dyDescent="0.25">
      <c r="A16" s="27" t="s">
        <v>26</v>
      </c>
      <c r="B16" s="153" t="s">
        <v>13</v>
      </c>
      <c r="C16" s="153">
        <v>51097622</v>
      </c>
      <c r="D16" s="154" t="s">
        <v>21</v>
      </c>
      <c r="E16" s="153">
        <v>21000</v>
      </c>
      <c r="F16" s="21">
        <v>2.4563999999999999</v>
      </c>
      <c r="G16" s="21">
        <v>2.4687999999999999</v>
      </c>
      <c r="H16" s="18">
        <f t="shared" si="0"/>
        <v>260.3999999999993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53"/>
      <c r="D17" s="154"/>
      <c r="E17" s="153"/>
      <c r="F17" s="21"/>
      <c r="G17" s="21"/>
      <c r="H17" s="23">
        <f>H11+H12+H13+H14+H15+H16</f>
        <v>206784.90000000046</v>
      </c>
      <c r="I17" s="19"/>
      <c r="J17" s="20"/>
    </row>
    <row r="18" spans="1:10" ht="15.75" x14ac:dyDescent="0.25">
      <c r="A18" s="26" t="s">
        <v>29</v>
      </c>
      <c r="B18" s="153" t="s">
        <v>13</v>
      </c>
      <c r="C18" s="153">
        <v>51097617</v>
      </c>
      <c r="D18" s="154" t="s">
        <v>30</v>
      </c>
      <c r="E18" s="153">
        <v>18000</v>
      </c>
      <c r="F18" s="30">
        <v>654.58050000000003</v>
      </c>
      <c r="G18" s="30">
        <v>658.24739999999997</v>
      </c>
      <c r="H18" s="18">
        <f>(G18-F18)*E18</f>
        <v>66004.199999998949</v>
      </c>
      <c r="I18" s="19"/>
      <c r="J18" s="20"/>
    </row>
    <row r="19" spans="1:10" ht="15.75" x14ac:dyDescent="0.25">
      <c r="A19" s="26" t="s">
        <v>31</v>
      </c>
      <c r="B19" s="153" t="s">
        <v>13</v>
      </c>
      <c r="C19" s="153">
        <v>51097655</v>
      </c>
      <c r="D19" s="154" t="s">
        <v>30</v>
      </c>
      <c r="E19" s="153">
        <v>18000</v>
      </c>
      <c r="F19" s="30">
        <v>6.1279000000000003</v>
      </c>
      <c r="G19" s="30">
        <v>6.1279000000000003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53"/>
      <c r="D20" s="154"/>
      <c r="E20" s="153"/>
      <c r="F20" s="30"/>
      <c r="G20" s="30"/>
      <c r="H20" s="23">
        <f>H18+H19</f>
        <v>66004.199999998949</v>
      </c>
      <c r="I20" s="24">
        <f>H20-H35</f>
        <v>2209.9199999984921</v>
      </c>
      <c r="J20" s="25">
        <f>I20/H20</f>
        <v>3.3481505722340807E-2</v>
      </c>
    </row>
    <row r="21" spans="1:10" ht="15.75" x14ac:dyDescent="0.25">
      <c r="A21" s="15" t="s">
        <v>33</v>
      </c>
      <c r="B21" s="153" t="s">
        <v>13</v>
      </c>
      <c r="C21" s="153">
        <v>51217282</v>
      </c>
      <c r="D21" s="154" t="s">
        <v>34</v>
      </c>
      <c r="E21" s="153">
        <v>4800</v>
      </c>
      <c r="F21" s="21">
        <v>378.37189999999998</v>
      </c>
      <c r="G21" s="21">
        <v>378.37240000000003</v>
      </c>
      <c r="H21" s="18">
        <f t="shared" ref="H21:H34" si="1">(G21-F21)*E21</f>
        <v>2.4000000002160959</v>
      </c>
      <c r="I21" s="19" t="s">
        <v>27</v>
      </c>
      <c r="J21" s="20"/>
    </row>
    <row r="22" spans="1:10" ht="15.75" x14ac:dyDescent="0.25">
      <c r="A22" s="15" t="s">
        <v>35</v>
      </c>
      <c r="B22" s="153" t="s">
        <v>13</v>
      </c>
      <c r="C22" s="153">
        <v>51217274</v>
      </c>
      <c r="D22" s="154" t="s">
        <v>34</v>
      </c>
      <c r="E22" s="153">
        <v>4800</v>
      </c>
      <c r="F22" s="21">
        <v>1040.2394999999999</v>
      </c>
      <c r="G22" s="21">
        <v>1046.3761</v>
      </c>
      <c r="H22" s="18">
        <f t="shared" si="1"/>
        <v>29455.680000000211</v>
      </c>
      <c r="I22" s="19"/>
      <c r="J22" s="20"/>
    </row>
    <row r="23" spans="1:10" ht="15.75" x14ac:dyDescent="0.25">
      <c r="A23" s="15" t="s">
        <v>36</v>
      </c>
      <c r="B23" s="153" t="s">
        <v>13</v>
      </c>
      <c r="C23" s="153">
        <v>51097664</v>
      </c>
      <c r="D23" s="154" t="s">
        <v>37</v>
      </c>
      <c r="E23" s="153">
        <v>600</v>
      </c>
      <c r="F23" s="21">
        <v>3.827</v>
      </c>
      <c r="G23" s="21">
        <v>3.8433999999999999</v>
      </c>
      <c r="H23" s="18">
        <f t="shared" si="1"/>
        <v>9.8399999999999821</v>
      </c>
      <c r="I23" s="19"/>
      <c r="J23" s="20"/>
    </row>
    <row r="24" spans="1:10" ht="15.75" x14ac:dyDescent="0.25">
      <c r="A24" s="15" t="s">
        <v>38</v>
      </c>
      <c r="B24" s="153" t="s">
        <v>13</v>
      </c>
      <c r="C24" s="153">
        <v>51097615</v>
      </c>
      <c r="D24" s="154" t="s">
        <v>37</v>
      </c>
      <c r="E24" s="153">
        <v>600</v>
      </c>
      <c r="F24" s="21">
        <v>25.4162</v>
      </c>
      <c r="G24" s="21">
        <v>25.7971</v>
      </c>
      <c r="H24" s="18">
        <f t="shared" si="1"/>
        <v>228.54000000000028</v>
      </c>
      <c r="I24" s="19"/>
      <c r="J24" s="20"/>
    </row>
    <row r="25" spans="1:10" ht="15.75" x14ac:dyDescent="0.25">
      <c r="A25" s="15" t="s">
        <v>39</v>
      </c>
      <c r="B25" s="153" t="s">
        <v>13</v>
      </c>
      <c r="C25" s="153">
        <v>51217264</v>
      </c>
      <c r="D25" s="154" t="s">
        <v>37</v>
      </c>
      <c r="E25" s="153">
        <v>600</v>
      </c>
      <c r="F25" s="21">
        <v>67.8523</v>
      </c>
      <c r="G25" s="21">
        <v>68.516300000000001</v>
      </c>
      <c r="H25" s="18">
        <f t="shared" si="1"/>
        <v>398.40000000000089</v>
      </c>
      <c r="I25" s="19"/>
      <c r="J25" s="20"/>
    </row>
    <row r="26" spans="1:10" ht="15.75" x14ac:dyDescent="0.25">
      <c r="A26" s="15" t="s">
        <v>40</v>
      </c>
      <c r="B26" s="153" t="s">
        <v>13</v>
      </c>
      <c r="C26" s="153">
        <v>51217288</v>
      </c>
      <c r="D26" s="154" t="s">
        <v>37</v>
      </c>
      <c r="E26" s="153">
        <v>600</v>
      </c>
      <c r="F26" s="21">
        <v>18.8858</v>
      </c>
      <c r="G26" s="21">
        <v>18.916499999999999</v>
      </c>
      <c r="H26" s="18">
        <f t="shared" si="1"/>
        <v>18.419999999999703</v>
      </c>
      <c r="I26" s="19" t="s">
        <v>27</v>
      </c>
      <c r="J26" s="20"/>
    </row>
    <row r="27" spans="1:10" ht="15.75" x14ac:dyDescent="0.25">
      <c r="A27" s="15" t="s">
        <v>41</v>
      </c>
      <c r="B27" s="153" t="s">
        <v>13</v>
      </c>
      <c r="C27" s="153">
        <v>51217279</v>
      </c>
      <c r="D27" s="154" t="s">
        <v>37</v>
      </c>
      <c r="E27" s="153">
        <v>600</v>
      </c>
      <c r="F27" s="21">
        <v>12.518800000000001</v>
      </c>
      <c r="G27" s="21">
        <v>12.5722</v>
      </c>
      <c r="H27" s="18">
        <f t="shared" si="1"/>
        <v>32.039999999999935</v>
      </c>
      <c r="I27" s="19" t="s">
        <v>27</v>
      </c>
      <c r="J27" s="20"/>
    </row>
    <row r="28" spans="1:10" ht="15.75" x14ac:dyDescent="0.25">
      <c r="A28" s="15" t="s">
        <v>42</v>
      </c>
      <c r="B28" s="153" t="s">
        <v>13</v>
      </c>
      <c r="C28" s="153">
        <v>51217272</v>
      </c>
      <c r="D28" s="154" t="s">
        <v>37</v>
      </c>
      <c r="E28" s="153">
        <v>600</v>
      </c>
      <c r="F28" s="31">
        <v>12.2818</v>
      </c>
      <c r="G28" s="31">
        <v>12.334199999999999</v>
      </c>
      <c r="H28" s="18">
        <f t="shared" si="1"/>
        <v>31.439999999999202</v>
      </c>
      <c r="I28" s="19"/>
      <c r="J28" s="20"/>
    </row>
    <row r="29" spans="1:10" ht="15.75" x14ac:dyDescent="0.25">
      <c r="A29" s="15" t="s">
        <v>43</v>
      </c>
      <c r="B29" s="153" t="s">
        <v>13</v>
      </c>
      <c r="C29" s="153">
        <v>51616744</v>
      </c>
      <c r="D29" s="154">
        <f>300/5</f>
        <v>60</v>
      </c>
      <c r="E29" s="153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53" t="s">
        <v>13</v>
      </c>
      <c r="C30" s="153">
        <v>51555226</v>
      </c>
      <c r="D30" s="154">
        <f>300/5</f>
        <v>60</v>
      </c>
      <c r="E30" s="153">
        <v>3600</v>
      </c>
      <c r="F30" s="31">
        <v>303.54059999999998</v>
      </c>
      <c r="G30" s="31">
        <v>307.65519999999998</v>
      </c>
      <c r="H30" s="18">
        <f>(G30-F30)*E30</f>
        <v>14812.559999999985</v>
      </c>
      <c r="I30" s="19"/>
      <c r="J30" s="20"/>
    </row>
    <row r="31" spans="1:10" ht="15.75" x14ac:dyDescent="0.25">
      <c r="A31" s="15" t="s">
        <v>45</v>
      </c>
      <c r="B31" s="153" t="s">
        <v>13</v>
      </c>
      <c r="C31" s="153">
        <v>51097658</v>
      </c>
      <c r="D31" s="154" t="s">
        <v>34</v>
      </c>
      <c r="E31" s="153">
        <v>4800</v>
      </c>
      <c r="F31" s="31">
        <v>487.42910000000001</v>
      </c>
      <c r="G31" s="31">
        <v>491.26920000000001</v>
      </c>
      <c r="H31" s="18">
        <f t="shared" si="1"/>
        <v>18432.480000000032</v>
      </c>
      <c r="I31" s="19"/>
      <c r="J31" s="20"/>
    </row>
    <row r="32" spans="1:10" ht="15.75" x14ac:dyDescent="0.25">
      <c r="A32" s="15" t="s">
        <v>46</v>
      </c>
      <c r="B32" s="153" t="s">
        <v>13</v>
      </c>
      <c r="C32" s="153">
        <v>51097635</v>
      </c>
      <c r="D32" s="154" t="s">
        <v>34</v>
      </c>
      <c r="E32" s="153">
        <v>4800</v>
      </c>
      <c r="F32" s="31">
        <v>48.433199999999999</v>
      </c>
      <c r="G32" s="31">
        <v>48.434100000000001</v>
      </c>
      <c r="H32" s="18">
        <f t="shared" si="1"/>
        <v>4.3200000000069849</v>
      </c>
      <c r="I32" s="19"/>
      <c r="J32" s="20"/>
    </row>
    <row r="33" spans="1:10" ht="15.75" x14ac:dyDescent="0.25">
      <c r="A33" s="15" t="s">
        <v>47</v>
      </c>
      <c r="B33" s="153" t="s">
        <v>13</v>
      </c>
      <c r="C33" s="32">
        <v>51097633</v>
      </c>
      <c r="D33" s="154" t="s">
        <v>34</v>
      </c>
      <c r="E33" s="153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53" t="s">
        <v>13</v>
      </c>
      <c r="C34" s="32">
        <v>51097662</v>
      </c>
      <c r="D34" s="154" t="s">
        <v>34</v>
      </c>
      <c r="E34" s="153">
        <v>4800</v>
      </c>
      <c r="F34" s="31">
        <v>0.64259999999999995</v>
      </c>
      <c r="G34" s="31">
        <v>0.71930000000000005</v>
      </c>
      <c r="H34" s="33">
        <f t="shared" si="1"/>
        <v>368.16000000000048</v>
      </c>
      <c r="I34" s="34"/>
      <c r="J34" s="35"/>
    </row>
    <row r="35" spans="1:10" ht="15.75" x14ac:dyDescent="0.25">
      <c r="A35" s="219" t="s">
        <v>48</v>
      </c>
      <c r="B35" s="220"/>
      <c r="C35" s="153"/>
      <c r="D35" s="154"/>
      <c r="E35" s="153"/>
      <c r="F35" s="36"/>
      <c r="G35" s="36"/>
      <c r="H35" s="23">
        <f>H21+H22+H23+H24+H25+H26+H27+H28+H29+H30+H31+H32+H33+H34</f>
        <v>63794.280000000457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53" t="s">
        <v>51</v>
      </c>
      <c r="C37" s="153">
        <v>51555209</v>
      </c>
      <c r="D37" s="154" t="s">
        <v>52</v>
      </c>
      <c r="E37" s="153">
        <v>7000</v>
      </c>
      <c r="F37" s="17">
        <v>3.4354</v>
      </c>
      <c r="G37" s="17">
        <v>3.4813000000000001</v>
      </c>
      <c r="H37" s="41">
        <f>(G37-F37)*E37</f>
        <v>321.30000000000035</v>
      </c>
      <c r="I37" s="42"/>
      <c r="J37" s="14"/>
    </row>
    <row r="38" spans="1:10" ht="15.75" x14ac:dyDescent="0.25">
      <c r="A38" s="15" t="s">
        <v>53</v>
      </c>
      <c r="B38" s="153" t="s">
        <v>51</v>
      </c>
      <c r="C38" s="153">
        <v>51555209</v>
      </c>
      <c r="D38" s="154" t="s">
        <v>52</v>
      </c>
      <c r="E38" s="153">
        <v>7000</v>
      </c>
      <c r="F38" s="21">
        <v>8.2994000000000003</v>
      </c>
      <c r="G38" s="21">
        <v>8.3325999999999993</v>
      </c>
      <c r="H38" s="18">
        <f>(G38-F38)*E38</f>
        <v>232.39999999999304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53" t="s">
        <v>51</v>
      </c>
      <c r="C40" s="153">
        <v>51097674</v>
      </c>
      <c r="D40" s="153" t="s">
        <v>14</v>
      </c>
      <c r="E40" s="153">
        <v>7200</v>
      </c>
      <c r="F40" s="21">
        <v>475.60149999999999</v>
      </c>
      <c r="G40" s="21">
        <v>478.14089999999999</v>
      </c>
      <c r="H40" s="18">
        <f>(G40-F40)*E40</f>
        <v>18283.680000000004</v>
      </c>
      <c r="I40" s="47"/>
      <c r="J40" s="20"/>
    </row>
    <row r="41" spans="1:10" ht="15.75" x14ac:dyDescent="0.25">
      <c r="A41" s="27" t="s">
        <v>56</v>
      </c>
      <c r="B41" s="153" t="s">
        <v>51</v>
      </c>
      <c r="C41" s="153">
        <v>51259257</v>
      </c>
      <c r="D41" s="153" t="s">
        <v>14</v>
      </c>
      <c r="E41" s="153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53"/>
      <c r="C42" s="153"/>
      <c r="D42" s="153"/>
      <c r="E42" s="153"/>
      <c r="F42" s="21"/>
      <c r="G42" s="21"/>
      <c r="H42" s="48">
        <f>H40+H41</f>
        <v>18283.680000000004</v>
      </c>
      <c r="I42" s="24">
        <f>H42-H50</f>
        <v>-127.64000000013766</v>
      </c>
      <c r="J42" s="25">
        <f>I42/H42</f>
        <v>-6.9810891461750384E-3</v>
      </c>
    </row>
    <row r="43" spans="1:10" ht="15.75" x14ac:dyDescent="0.25">
      <c r="A43" s="15" t="s">
        <v>58</v>
      </c>
      <c r="B43" s="153"/>
      <c r="C43" s="153"/>
      <c r="D43" s="154"/>
      <c r="E43" s="153"/>
      <c r="H43" s="18"/>
      <c r="I43" s="43"/>
      <c r="J43" s="20"/>
    </row>
    <row r="44" spans="1:10" ht="15.75" x14ac:dyDescent="0.25">
      <c r="A44" s="27" t="s">
        <v>59</v>
      </c>
      <c r="B44" s="153" t="s">
        <v>51</v>
      </c>
      <c r="C44" s="32">
        <v>51097648</v>
      </c>
      <c r="D44" s="153" t="s">
        <v>52</v>
      </c>
      <c r="E44" s="153">
        <v>1200</v>
      </c>
      <c r="F44" s="21">
        <v>388.73779999999999</v>
      </c>
      <c r="G44" s="21">
        <v>390.81220000000002</v>
      </c>
      <c r="H44" s="33">
        <f>(G44-F44)*E44</f>
        <v>2489.2800000000307</v>
      </c>
      <c r="I44" s="43"/>
      <c r="J44" s="20"/>
    </row>
    <row r="45" spans="1:10" ht="15.75" x14ac:dyDescent="0.25">
      <c r="A45" s="27" t="s">
        <v>60</v>
      </c>
      <c r="B45" s="153" t="s">
        <v>51</v>
      </c>
      <c r="C45" s="32">
        <v>50555043</v>
      </c>
      <c r="D45" s="153" t="s">
        <v>52</v>
      </c>
      <c r="E45" s="153">
        <v>1200</v>
      </c>
      <c r="F45" s="21">
        <v>1632.3108</v>
      </c>
      <c r="G45" s="21">
        <v>1640.6754000000001</v>
      </c>
      <c r="H45" s="33">
        <f>(G45-F45)*E45</f>
        <v>10037.520000000131</v>
      </c>
      <c r="I45" s="43"/>
      <c r="J45" s="20"/>
    </row>
    <row r="46" spans="1:10" ht="15.75" x14ac:dyDescent="0.25">
      <c r="A46" s="27" t="s">
        <v>61</v>
      </c>
      <c r="B46" s="153" t="s">
        <v>51</v>
      </c>
      <c r="C46" s="32">
        <v>51259336</v>
      </c>
      <c r="D46" s="153" t="s">
        <v>62</v>
      </c>
      <c r="E46" s="153">
        <v>2400</v>
      </c>
      <c r="F46" s="21">
        <v>3.4672999999999998</v>
      </c>
      <c r="G46" s="21">
        <v>3.4807999999999999</v>
      </c>
      <c r="H46" s="33">
        <f>(G46-F46)*E46</f>
        <v>32.400000000000162</v>
      </c>
      <c r="I46" s="43"/>
      <c r="J46" s="20"/>
    </row>
    <row r="47" spans="1:10" ht="15.75" x14ac:dyDescent="0.25">
      <c r="A47" s="27" t="s">
        <v>63</v>
      </c>
      <c r="B47" s="153" t="s">
        <v>51</v>
      </c>
      <c r="C47" s="32">
        <v>51259266</v>
      </c>
      <c r="D47" s="153" t="s">
        <v>52</v>
      </c>
      <c r="E47" s="153">
        <v>1200</v>
      </c>
      <c r="F47" s="21">
        <v>791.45389999999998</v>
      </c>
      <c r="G47" s="21">
        <v>795.92769999999996</v>
      </c>
      <c r="H47" s="33">
        <f>(G47-F47)*E47</f>
        <v>5368.5599999999795</v>
      </c>
      <c r="I47" s="43"/>
      <c r="J47" s="20"/>
    </row>
    <row r="48" spans="1:10" ht="15.75" x14ac:dyDescent="0.25">
      <c r="A48" s="27" t="s">
        <v>64</v>
      </c>
      <c r="B48" s="153" t="s">
        <v>51</v>
      </c>
      <c r="C48" s="32">
        <v>51431336</v>
      </c>
      <c r="D48" s="153" t="s">
        <v>52</v>
      </c>
      <c r="E48" s="153">
        <v>1200</v>
      </c>
      <c r="F48" s="21">
        <v>41.753399999999999</v>
      </c>
      <c r="G48" s="21">
        <v>42.114699999999999</v>
      </c>
      <c r="H48" s="33">
        <f>(G48-F48)*E48</f>
        <v>433.55999999999995</v>
      </c>
      <c r="I48" s="43"/>
      <c r="J48" s="20"/>
    </row>
    <row r="49" spans="1:10" ht="15.75" x14ac:dyDescent="0.25">
      <c r="A49" s="15" t="s">
        <v>65</v>
      </c>
      <c r="B49" s="153" t="s">
        <v>66</v>
      </c>
      <c r="C49" s="153">
        <v>49174</v>
      </c>
      <c r="D49" s="154" t="s">
        <v>52</v>
      </c>
      <c r="E49" s="153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18411.320000000142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53" t="s">
        <v>51</v>
      </c>
      <c r="C52" s="153">
        <v>51097603</v>
      </c>
      <c r="D52" s="154" t="s">
        <v>52</v>
      </c>
      <c r="E52" s="153">
        <v>7000</v>
      </c>
      <c r="F52" s="17">
        <v>1576.7049999999999</v>
      </c>
      <c r="G52" s="17">
        <v>1585.2164</v>
      </c>
      <c r="H52" s="18">
        <f>(G52-F52)*E52</f>
        <v>59579.800000000658</v>
      </c>
      <c r="I52" s="43"/>
      <c r="J52" s="20"/>
    </row>
    <row r="53" spans="1:10" ht="15.75" x14ac:dyDescent="0.25">
      <c r="A53" s="27" t="s">
        <v>71</v>
      </c>
      <c r="B53" s="153" t="s">
        <v>51</v>
      </c>
      <c r="C53" s="153">
        <v>51097590</v>
      </c>
      <c r="D53" s="154" t="s">
        <v>52</v>
      </c>
      <c r="E53" s="153">
        <v>7000</v>
      </c>
      <c r="F53" s="21">
        <v>9.0729000000000006</v>
      </c>
      <c r="G53" s="21">
        <v>9.1478999999999999</v>
      </c>
      <c r="H53" s="18">
        <f>(G53-F53)*E53</f>
        <v>524.999999999995</v>
      </c>
      <c r="I53" s="43"/>
      <c r="J53" s="20"/>
    </row>
    <row r="54" spans="1:10" ht="15.75" x14ac:dyDescent="0.25">
      <c r="A54" s="15" t="s">
        <v>65</v>
      </c>
      <c r="B54" s="153" t="s">
        <v>66</v>
      </c>
      <c r="C54" s="153">
        <v>49174</v>
      </c>
      <c r="D54" s="154" t="s">
        <v>52</v>
      </c>
      <c r="E54" s="153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53"/>
      <c r="D55" s="154"/>
      <c r="E55" s="153"/>
      <c r="F55" s="21"/>
      <c r="G55" s="21"/>
      <c r="H55" s="48">
        <f>H52+H53+H54</f>
        <v>60204.80000000065</v>
      </c>
      <c r="I55" s="47"/>
      <c r="J55" s="59"/>
    </row>
    <row r="56" spans="1:10" ht="15.75" x14ac:dyDescent="0.25">
      <c r="A56" s="27" t="s">
        <v>73</v>
      </c>
      <c r="B56" s="153" t="s">
        <v>51</v>
      </c>
      <c r="C56" s="153">
        <v>51100980</v>
      </c>
      <c r="D56" s="153" t="s">
        <v>74</v>
      </c>
      <c r="E56" s="153">
        <v>12000</v>
      </c>
      <c r="F56" s="21">
        <v>927.24270000000001</v>
      </c>
      <c r="G56" s="21">
        <v>932.25609999999995</v>
      </c>
      <c r="H56" s="18">
        <f>(G56-F56)*E56</f>
        <v>60160.799999999203</v>
      </c>
      <c r="I56" s="47"/>
      <c r="J56" s="58"/>
    </row>
    <row r="57" spans="1:10" ht="15.75" x14ac:dyDescent="0.25">
      <c r="A57" s="27" t="s">
        <v>75</v>
      </c>
      <c r="B57" s="153" t="s">
        <v>51</v>
      </c>
      <c r="C57" s="153">
        <v>51097623</v>
      </c>
      <c r="D57" s="153" t="s">
        <v>74</v>
      </c>
      <c r="E57" s="153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53"/>
      <c r="C58" s="153"/>
      <c r="D58" s="153"/>
      <c r="E58" s="153"/>
      <c r="F58" s="21"/>
      <c r="G58" s="21"/>
      <c r="H58" s="48">
        <f>H56+H57</f>
        <v>60160.799999999203</v>
      </c>
      <c r="I58" s="61">
        <f>H55-H65-H54</f>
        <v>-194.23999999938678</v>
      </c>
      <c r="J58" s="25">
        <f>I58/H58</f>
        <v>-3.2286804696644552E-3</v>
      </c>
    </row>
    <row r="59" spans="1:10" ht="15.75" x14ac:dyDescent="0.25">
      <c r="A59" s="27" t="s">
        <v>77</v>
      </c>
      <c r="B59" s="153" t="s">
        <v>51</v>
      </c>
      <c r="C59" s="153">
        <v>51097675</v>
      </c>
      <c r="D59" s="153" t="s">
        <v>34</v>
      </c>
      <c r="E59" s="153">
        <v>4800</v>
      </c>
      <c r="F59" s="21">
        <v>355.8107</v>
      </c>
      <c r="G59" s="21">
        <v>358.75080000000003</v>
      </c>
      <c r="H59" s="18">
        <f t="shared" ref="H59:H64" si="2">(G59-F59)*E59</f>
        <v>14112.480000000141</v>
      </c>
      <c r="I59" s="62"/>
      <c r="J59" s="59"/>
    </row>
    <row r="60" spans="1:10" ht="15.75" x14ac:dyDescent="0.25">
      <c r="A60" s="27" t="s">
        <v>78</v>
      </c>
      <c r="B60" s="153" t="s">
        <v>51</v>
      </c>
      <c r="C60" s="153">
        <v>51100997</v>
      </c>
      <c r="D60" s="153" t="s">
        <v>21</v>
      </c>
      <c r="E60" s="153">
        <v>3600</v>
      </c>
      <c r="F60" s="21">
        <v>1193.2447</v>
      </c>
      <c r="G60" s="21">
        <v>1199.0166999999999</v>
      </c>
      <c r="H60" s="18">
        <f t="shared" si="2"/>
        <v>20779.199999999764</v>
      </c>
      <c r="I60" s="62"/>
      <c r="J60" s="59"/>
    </row>
    <row r="61" spans="1:10" ht="15.75" x14ac:dyDescent="0.25">
      <c r="A61" s="27" t="s">
        <v>79</v>
      </c>
      <c r="B61" s="153" t="s">
        <v>51</v>
      </c>
      <c r="C61" s="153">
        <v>51555218</v>
      </c>
      <c r="D61" s="153">
        <f>400/5</f>
        <v>80</v>
      </c>
      <c r="E61" s="153">
        <v>4800</v>
      </c>
      <c r="F61" s="21">
        <v>39.607399999999998</v>
      </c>
      <c r="G61" s="21">
        <v>40.054900000000004</v>
      </c>
      <c r="H61" s="18">
        <f t="shared" si="2"/>
        <v>2148.0000000000246</v>
      </c>
      <c r="I61" s="62"/>
      <c r="J61" s="59"/>
    </row>
    <row r="62" spans="1:10" ht="15.75" x14ac:dyDescent="0.25">
      <c r="A62" s="27" t="s">
        <v>80</v>
      </c>
      <c r="B62" s="153" t="s">
        <v>51</v>
      </c>
      <c r="C62" s="153">
        <v>51555151</v>
      </c>
      <c r="D62" s="153">
        <f>400/5</f>
        <v>80</v>
      </c>
      <c r="E62" s="153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53" t="s">
        <v>51</v>
      </c>
      <c r="C63" s="153">
        <v>51097599</v>
      </c>
      <c r="D63" s="153" t="s">
        <v>21</v>
      </c>
      <c r="E63" s="153">
        <v>3600</v>
      </c>
      <c r="F63" s="21">
        <v>840.66750000000002</v>
      </c>
      <c r="G63" s="21">
        <v>843.82590000000005</v>
      </c>
      <c r="H63" s="18">
        <f t="shared" si="2"/>
        <v>11370.240000000103</v>
      </c>
      <c r="I63" s="62"/>
      <c r="J63" s="59"/>
    </row>
    <row r="64" spans="1:10" ht="15.75" x14ac:dyDescent="0.25">
      <c r="A64" s="27" t="s">
        <v>82</v>
      </c>
      <c r="B64" s="153" t="s">
        <v>51</v>
      </c>
      <c r="C64" s="153">
        <v>51097620</v>
      </c>
      <c r="D64" s="153" t="s">
        <v>34</v>
      </c>
      <c r="E64" s="153">
        <v>4800</v>
      </c>
      <c r="F64" s="21">
        <v>385.84339999999997</v>
      </c>
      <c r="G64" s="21">
        <v>388.32029999999997</v>
      </c>
      <c r="H64" s="18">
        <f t="shared" si="2"/>
        <v>11889.120000000003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60299.040000000037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53" t="s">
        <v>51</v>
      </c>
      <c r="C67" s="9">
        <v>51259238</v>
      </c>
      <c r="D67" s="74" t="s">
        <v>52</v>
      </c>
      <c r="E67" s="74">
        <v>7000</v>
      </c>
      <c r="F67" s="75">
        <v>422.73160000000001</v>
      </c>
      <c r="G67" s="75">
        <v>425.39800000000002</v>
      </c>
      <c r="H67" s="76">
        <f>(G67-F67)*E67</f>
        <v>18664.800000000072</v>
      </c>
      <c r="I67" s="77"/>
      <c r="J67" s="78"/>
    </row>
    <row r="68" spans="1:10" ht="15.75" x14ac:dyDescent="0.25">
      <c r="A68" s="27" t="s">
        <v>85</v>
      </c>
      <c r="B68" s="153" t="s">
        <v>51</v>
      </c>
      <c r="C68" s="153">
        <v>51259324</v>
      </c>
      <c r="D68" s="154" t="s">
        <v>52</v>
      </c>
      <c r="E68" s="154">
        <v>7000</v>
      </c>
      <c r="F68" s="21">
        <v>325.31060000000002</v>
      </c>
      <c r="G68" s="21">
        <v>327.35090000000002</v>
      </c>
      <c r="H68" s="18">
        <f>(G68-F68)*E68</f>
        <v>14282.100000000013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53">
        <v>51491618</v>
      </c>
      <c r="D69" s="154" t="s">
        <v>62</v>
      </c>
      <c r="E69" s="153">
        <v>40</v>
      </c>
      <c r="F69" s="28">
        <v>735.36199999999997</v>
      </c>
      <c r="G69" s="28">
        <v>745.30100000000004</v>
      </c>
      <c r="H69" s="18">
        <f>(G69-F69)*E69</f>
        <v>397.56000000000313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53">
        <v>51491624</v>
      </c>
      <c r="D70" s="154" t="s">
        <v>62</v>
      </c>
      <c r="E70" s="153">
        <v>40</v>
      </c>
      <c r="F70" s="28">
        <v>104.01349999999999</v>
      </c>
      <c r="G70" s="28">
        <v>105.1585</v>
      </c>
      <c r="H70" s="18">
        <f>(G70-F70)*E70</f>
        <v>45.800000000000409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32946.900000000081</v>
      </c>
      <c r="I71" s="85">
        <f>H71-H74-H69-H70</f>
        <v>-1042.459999999973</v>
      </c>
      <c r="J71" s="25">
        <f>I71/H71</f>
        <v>-3.164060958694051E-2</v>
      </c>
    </row>
    <row r="72" spans="1:10" ht="15.75" x14ac:dyDescent="0.25">
      <c r="A72" s="27" t="s">
        <v>90</v>
      </c>
      <c r="B72" s="153" t="s">
        <v>51</v>
      </c>
      <c r="C72" s="86">
        <v>51097588</v>
      </c>
      <c r="D72" s="154" t="s">
        <v>74</v>
      </c>
      <c r="E72" s="153">
        <v>12000</v>
      </c>
      <c r="F72" s="21">
        <v>256.334</v>
      </c>
      <c r="G72" s="21">
        <v>257.89240000000001</v>
      </c>
      <c r="H72" s="18">
        <f>(G72-F72)*E72</f>
        <v>18700.800000000072</v>
      </c>
      <c r="I72" s="51"/>
      <c r="J72" s="58"/>
    </row>
    <row r="73" spans="1:10" ht="15.75" x14ac:dyDescent="0.25">
      <c r="A73" s="27" t="s">
        <v>91</v>
      </c>
      <c r="B73" s="153" t="s">
        <v>51</v>
      </c>
      <c r="C73" s="86">
        <v>51431335</v>
      </c>
      <c r="D73" s="154" t="s">
        <v>74</v>
      </c>
      <c r="E73" s="153">
        <v>12000</v>
      </c>
      <c r="F73" s="21">
        <v>199.9829</v>
      </c>
      <c r="G73" s="21">
        <v>201.22</v>
      </c>
      <c r="H73" s="18">
        <f>(G73-F73)*E73</f>
        <v>14845.199999999977</v>
      </c>
      <c r="I73" s="51"/>
      <c r="J73" s="58"/>
    </row>
    <row r="74" spans="1:10" ht="15.75" x14ac:dyDescent="0.25">
      <c r="A74" s="87" t="s">
        <v>92</v>
      </c>
      <c r="B74" s="153" t="s">
        <v>27</v>
      </c>
      <c r="C74" s="153"/>
      <c r="D74" s="154"/>
      <c r="E74" s="153"/>
      <c r="F74" s="21"/>
      <c r="G74" s="21"/>
      <c r="H74" s="48">
        <f>H72+ H73</f>
        <v>33546.000000000051</v>
      </c>
      <c r="I74" s="85">
        <f>H74-H82</f>
        <v>-65.279999999744177</v>
      </c>
      <c r="J74" s="25">
        <f>I74/H74</f>
        <v>-1.9459846181286615E-3</v>
      </c>
    </row>
    <row r="75" spans="1:10" ht="15.75" x14ac:dyDescent="0.25">
      <c r="A75" s="27" t="s">
        <v>93</v>
      </c>
      <c r="B75" s="153" t="s">
        <v>51</v>
      </c>
      <c r="C75" s="86">
        <v>51097676</v>
      </c>
      <c r="D75" s="88" t="s">
        <v>62</v>
      </c>
      <c r="E75" s="153">
        <v>2400</v>
      </c>
      <c r="F75" s="21">
        <v>512.04909999999995</v>
      </c>
      <c r="G75" s="21">
        <v>515.65819999999997</v>
      </c>
      <c r="H75" s="18">
        <f>(G75-F75)*E75</f>
        <v>8661.8400000000292</v>
      </c>
      <c r="I75" s="51"/>
      <c r="J75" s="58"/>
    </row>
    <row r="76" spans="1:10" ht="15.75" x14ac:dyDescent="0.25">
      <c r="A76" s="27" t="s">
        <v>94</v>
      </c>
      <c r="B76" s="153" t="s">
        <v>51</v>
      </c>
      <c r="C76" s="86">
        <v>51431355</v>
      </c>
      <c r="D76" s="154" t="s">
        <v>21</v>
      </c>
      <c r="E76" s="154">
        <v>3600</v>
      </c>
      <c r="F76" s="21">
        <v>301.34019999999998</v>
      </c>
      <c r="G76" s="21">
        <v>302.69209999999998</v>
      </c>
      <c r="H76" s="18">
        <f>(G76-F76)*E76</f>
        <v>4866.840000000002</v>
      </c>
      <c r="I76" s="51"/>
      <c r="J76" s="52"/>
    </row>
    <row r="77" spans="1:10" ht="15.75" x14ac:dyDescent="0.25">
      <c r="A77" s="27" t="s">
        <v>95</v>
      </c>
      <c r="B77" s="153" t="s">
        <v>51</v>
      </c>
      <c r="C77" s="86">
        <v>51259331</v>
      </c>
      <c r="D77" s="88" t="s">
        <v>37</v>
      </c>
      <c r="E77" s="153">
        <v>600</v>
      </c>
      <c r="F77" s="21">
        <v>117.5304</v>
      </c>
      <c r="G77" s="21">
        <v>118.455</v>
      </c>
      <c r="H77" s="18">
        <f>(G77-F77)*E77</f>
        <v>554.75999999999885</v>
      </c>
      <c r="I77" s="51"/>
      <c r="J77" s="52"/>
    </row>
    <row r="78" spans="1:10" ht="15.75" x14ac:dyDescent="0.25">
      <c r="A78" s="27" t="s">
        <v>96</v>
      </c>
      <c r="B78" s="153" t="s">
        <v>51</v>
      </c>
      <c r="C78" s="86">
        <v>51259326</v>
      </c>
      <c r="D78" s="88" t="s">
        <v>14</v>
      </c>
      <c r="E78" s="153">
        <v>7200</v>
      </c>
      <c r="F78" s="21">
        <v>260.83390000000003</v>
      </c>
      <c r="G78" s="21">
        <v>262.2373</v>
      </c>
      <c r="H78" s="18">
        <f>(G78-F78)*E78</f>
        <v>10104.47999999983</v>
      </c>
      <c r="I78" s="51"/>
      <c r="J78" s="52"/>
    </row>
    <row r="79" spans="1:10" ht="15.75" x14ac:dyDescent="0.25">
      <c r="A79" s="27" t="s">
        <v>97</v>
      </c>
      <c r="B79" s="153" t="s">
        <v>51</v>
      </c>
      <c r="C79" s="86">
        <v>51431351</v>
      </c>
      <c r="D79" s="88" t="s">
        <v>14</v>
      </c>
      <c r="E79" s="153">
        <v>7200</v>
      </c>
      <c r="F79" s="21">
        <v>169.89230000000001</v>
      </c>
      <c r="G79" s="21">
        <v>171.2011</v>
      </c>
      <c r="H79" s="18">
        <f>(G79-F79)*E79</f>
        <v>9423.3599999999351</v>
      </c>
      <c r="I79" s="51"/>
      <c r="J79" s="52"/>
    </row>
    <row r="80" spans="1:10" ht="15.75" x14ac:dyDescent="0.25">
      <c r="A80" s="89" t="s">
        <v>98</v>
      </c>
      <c r="B80" s="153" t="s">
        <v>51</v>
      </c>
      <c r="C80" s="90">
        <v>51097666</v>
      </c>
      <c r="D80" s="88" t="s">
        <v>62</v>
      </c>
      <c r="E80" s="153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53" t="s">
        <v>51</v>
      </c>
      <c r="C81" s="90">
        <v>51259323</v>
      </c>
      <c r="D81" s="88" t="s">
        <v>62</v>
      </c>
      <c r="E81" s="153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33611.279999999795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53" t="s">
        <v>51</v>
      </c>
      <c r="C84" s="106">
        <v>51431297</v>
      </c>
      <c r="D84" s="154" t="s">
        <v>52</v>
      </c>
      <c r="E84" s="100">
        <v>7000</v>
      </c>
      <c r="F84" s="17">
        <v>204.10659999999999</v>
      </c>
      <c r="G84" s="17">
        <v>206.5438</v>
      </c>
      <c r="H84" s="18">
        <f>(G84-F84)*E84</f>
        <v>17060.400000000129</v>
      </c>
      <c r="I84" s="107"/>
      <c r="J84" s="108"/>
    </row>
    <row r="85" spans="1:10" ht="15.75" x14ac:dyDescent="0.25">
      <c r="A85" s="105" t="s">
        <v>85</v>
      </c>
      <c r="B85" s="153" t="s">
        <v>51</v>
      </c>
      <c r="C85" s="106">
        <v>51431332</v>
      </c>
      <c r="D85" s="154" t="s">
        <v>52</v>
      </c>
      <c r="E85" s="100">
        <v>7000</v>
      </c>
      <c r="F85" s="21">
        <v>305.06009999999998</v>
      </c>
      <c r="G85" s="21">
        <v>305.18680000000001</v>
      </c>
      <c r="H85" s="18">
        <f>(G85-F85)*E85</f>
        <v>886.90000000019609</v>
      </c>
      <c r="I85" s="153"/>
      <c r="J85" s="58"/>
    </row>
    <row r="86" spans="1:10" ht="15.75" x14ac:dyDescent="0.25">
      <c r="A86" s="27" t="s">
        <v>86</v>
      </c>
      <c r="B86" s="153" t="s">
        <v>102</v>
      </c>
      <c r="C86" s="109">
        <v>150773</v>
      </c>
      <c r="D86" s="154" t="s">
        <v>52</v>
      </c>
      <c r="E86" s="109">
        <v>20</v>
      </c>
      <c r="F86" s="17">
        <v>15253.3</v>
      </c>
      <c r="G86" s="17">
        <v>15260.6</v>
      </c>
      <c r="H86" s="18">
        <f>(G86-F86)*E86</f>
        <v>146.00000000002183</v>
      </c>
      <c r="I86" s="51"/>
      <c r="J86" s="58"/>
    </row>
    <row r="87" spans="1:10" ht="15.75" x14ac:dyDescent="0.25">
      <c r="A87" s="27" t="s">
        <v>88</v>
      </c>
      <c r="B87" s="153" t="s">
        <v>102</v>
      </c>
      <c r="C87" s="109">
        <v>150791</v>
      </c>
      <c r="D87" s="154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55"/>
      <c r="C88" s="32"/>
      <c r="D88" s="82"/>
      <c r="E88" s="82"/>
      <c r="F88" s="21"/>
      <c r="G88" s="21"/>
      <c r="H88" s="48">
        <f>H84+H85</f>
        <v>17947.300000000323</v>
      </c>
      <c r="I88" s="85">
        <f>H88-H91-H86-H87</f>
        <v>390.26000000007116</v>
      </c>
      <c r="J88" s="25">
        <f>I88/H88</f>
        <v>2.1744774980084144E-2</v>
      </c>
    </row>
    <row r="89" spans="1:10" ht="15.75" x14ac:dyDescent="0.25">
      <c r="A89" s="27" t="s">
        <v>103</v>
      </c>
      <c r="B89" s="153" t="s">
        <v>51</v>
      </c>
      <c r="C89" s="106">
        <v>51431342</v>
      </c>
      <c r="D89" s="88" t="s">
        <v>34</v>
      </c>
      <c r="E89" s="153">
        <v>4800</v>
      </c>
      <c r="F89" s="21">
        <v>288.5127</v>
      </c>
      <c r="G89" s="21">
        <v>292.02210000000002</v>
      </c>
      <c r="H89" s="18">
        <f>(G89-F89)*E89</f>
        <v>16845.120000000134</v>
      </c>
      <c r="I89" s="51"/>
      <c r="J89" s="52"/>
    </row>
    <row r="90" spans="1:10" ht="15.75" x14ac:dyDescent="0.25">
      <c r="A90" s="27" t="s">
        <v>104</v>
      </c>
      <c r="B90" s="153" t="s">
        <v>51</v>
      </c>
      <c r="C90" s="106">
        <v>51431343</v>
      </c>
      <c r="D90" s="88" t="s">
        <v>34</v>
      </c>
      <c r="E90" s="153">
        <v>4800</v>
      </c>
      <c r="F90" s="21">
        <v>432.84269999999998</v>
      </c>
      <c r="G90" s="21">
        <v>432.9606</v>
      </c>
      <c r="H90" s="18">
        <f>(G90-F90)*E90</f>
        <v>565.92000000009648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17411.04000000023</v>
      </c>
      <c r="I91" s="85">
        <f>H91-H99</f>
        <v>-78.919999999739957</v>
      </c>
      <c r="J91" s="25">
        <f>I91/H91</f>
        <v>-4.532756228217207E-3</v>
      </c>
    </row>
    <row r="92" spans="1:10" ht="15.75" x14ac:dyDescent="0.25">
      <c r="A92" s="27" t="s">
        <v>106</v>
      </c>
      <c r="B92" s="153" t="s">
        <v>51</v>
      </c>
      <c r="C92" s="106">
        <v>51431347</v>
      </c>
      <c r="D92" s="154" t="s">
        <v>52</v>
      </c>
      <c r="E92" s="153">
        <v>1200</v>
      </c>
      <c r="F92" s="21">
        <v>958.84389999999996</v>
      </c>
      <c r="G92" s="21">
        <v>958.84389999999996</v>
      </c>
      <c r="H92" s="18">
        <f t="shared" ref="H92:H100" si="4">(G92-F92)*E92</f>
        <v>0</v>
      </c>
      <c r="I92" s="51"/>
      <c r="J92" s="52"/>
    </row>
    <row r="93" spans="1:10" ht="15.75" x14ac:dyDescent="0.25">
      <c r="A93" s="27" t="s">
        <v>107</v>
      </c>
      <c r="B93" s="153" t="s">
        <v>51</v>
      </c>
      <c r="C93" s="106">
        <v>51431339</v>
      </c>
      <c r="D93" s="154" t="s">
        <v>52</v>
      </c>
      <c r="E93" s="153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53" t="s">
        <v>51</v>
      </c>
      <c r="C94" s="106">
        <v>51217244</v>
      </c>
      <c r="D94" s="153" t="s">
        <v>37</v>
      </c>
      <c r="E94" s="153">
        <v>600</v>
      </c>
      <c r="F94" s="30">
        <v>248.86170000000001</v>
      </c>
      <c r="G94" s="30">
        <v>249.68020000000001</v>
      </c>
      <c r="H94" s="18">
        <f t="shared" si="4"/>
        <v>491.10000000000014</v>
      </c>
      <c r="I94" s="51"/>
      <c r="J94" s="52"/>
    </row>
    <row r="95" spans="1:10" ht="15.75" x14ac:dyDescent="0.25">
      <c r="A95" s="27" t="s">
        <v>109</v>
      </c>
      <c r="B95" s="153" t="s">
        <v>51</v>
      </c>
      <c r="C95" s="106">
        <v>51217267</v>
      </c>
      <c r="D95" s="88" t="s">
        <v>62</v>
      </c>
      <c r="E95" s="153">
        <v>2400</v>
      </c>
      <c r="F95" s="30">
        <v>18.752600000000001</v>
      </c>
      <c r="G95" s="30">
        <v>18.785299999999999</v>
      </c>
      <c r="H95" s="18">
        <f t="shared" si="4"/>
        <v>78.479999999996153</v>
      </c>
      <c r="I95" s="51"/>
      <c r="J95" s="52"/>
    </row>
    <row r="96" spans="1:10" ht="15.75" x14ac:dyDescent="0.25">
      <c r="A96" s="27" t="s">
        <v>110</v>
      </c>
      <c r="B96" s="153" t="s">
        <v>51</v>
      </c>
      <c r="C96" s="153">
        <v>51555165</v>
      </c>
      <c r="D96" s="154" t="s">
        <v>52</v>
      </c>
      <c r="E96" s="153">
        <v>1200</v>
      </c>
      <c r="F96" s="30">
        <v>674.37869999999998</v>
      </c>
      <c r="G96" s="30">
        <v>682.94389999999999</v>
      </c>
      <c r="H96" s="18">
        <f t="shared" si="4"/>
        <v>10278.240000000005</v>
      </c>
      <c r="I96" s="51" t="s">
        <v>27</v>
      </c>
      <c r="J96" s="52"/>
    </row>
    <row r="97" spans="1:10" ht="15.75" x14ac:dyDescent="0.25">
      <c r="A97" s="113" t="s">
        <v>111</v>
      </c>
      <c r="B97" s="153" t="s">
        <v>51</v>
      </c>
      <c r="C97" s="106">
        <v>51431346</v>
      </c>
      <c r="D97" s="114" t="s">
        <v>37</v>
      </c>
      <c r="E97" s="114">
        <v>600</v>
      </c>
      <c r="F97" s="30">
        <v>285.89339999999999</v>
      </c>
      <c r="G97" s="30">
        <v>288.06709999999998</v>
      </c>
      <c r="H97" s="115">
        <f t="shared" si="4"/>
        <v>1304.219999999998</v>
      </c>
      <c r="I97" s="116"/>
      <c r="J97" s="117"/>
    </row>
    <row r="98" spans="1:10" ht="15.75" x14ac:dyDescent="0.25">
      <c r="A98" s="27" t="s">
        <v>112</v>
      </c>
      <c r="B98" s="153" t="s">
        <v>51</v>
      </c>
      <c r="C98" s="106">
        <v>51431352</v>
      </c>
      <c r="D98" s="88" t="s">
        <v>21</v>
      </c>
      <c r="E98" s="153">
        <v>3600</v>
      </c>
      <c r="F98" s="21">
        <v>152.87</v>
      </c>
      <c r="G98" s="21">
        <v>154.31219999999999</v>
      </c>
      <c r="H98" s="18">
        <f t="shared" si="4"/>
        <v>5191.9199999999473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17489.95999999997</v>
      </c>
      <c r="I99" s="51"/>
      <c r="J99" s="52"/>
    </row>
    <row r="100" spans="1:10" ht="15.75" x14ac:dyDescent="0.25">
      <c r="A100" s="45" t="s">
        <v>113</v>
      </c>
      <c r="B100" s="153" t="s">
        <v>51</v>
      </c>
      <c r="C100" s="120">
        <v>51431357</v>
      </c>
      <c r="D100" s="154" t="s">
        <v>62</v>
      </c>
      <c r="E100" s="154">
        <v>14000</v>
      </c>
      <c r="F100" s="28">
        <v>669.87030000000004</v>
      </c>
      <c r="G100" s="28">
        <v>672.60299999999995</v>
      </c>
      <c r="H100" s="121">
        <f t="shared" si="4"/>
        <v>38257.799999998722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activeCell="G3" sqref="G3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136</v>
      </c>
      <c r="G3" s="4" t="s">
        <v>138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56" t="s">
        <v>13</v>
      </c>
      <c r="C5" s="156">
        <v>51555166</v>
      </c>
      <c r="D5" s="156" t="s">
        <v>14</v>
      </c>
      <c r="E5" s="156">
        <v>132000</v>
      </c>
      <c r="F5" s="17">
        <v>2.3357999999999999</v>
      </c>
      <c r="G5" s="17">
        <v>2.3481000000000001</v>
      </c>
      <c r="H5" s="18">
        <f>(G5-F5)*E5</f>
        <v>1623.6000000000263</v>
      </c>
      <c r="I5" s="19"/>
      <c r="J5" s="20"/>
    </row>
    <row r="6" spans="1:10" ht="15.75" x14ac:dyDescent="0.25">
      <c r="A6" s="15" t="s">
        <v>15</v>
      </c>
      <c r="B6" s="156" t="s">
        <v>13</v>
      </c>
      <c r="C6" s="156">
        <v>51555191</v>
      </c>
      <c r="D6" s="156" t="s">
        <v>14</v>
      </c>
      <c r="E6" s="156">
        <v>132000</v>
      </c>
      <c r="F6" s="21">
        <v>275.7475</v>
      </c>
      <c r="G6" s="21">
        <v>277.84019999999998</v>
      </c>
      <c r="H6" s="18">
        <f>(G6-F6)*E6</f>
        <v>276236.39999999729</v>
      </c>
      <c r="I6" s="19"/>
      <c r="J6" s="20"/>
    </row>
    <row r="7" spans="1:10" ht="15.75" x14ac:dyDescent="0.25">
      <c r="A7" s="219" t="s">
        <v>16</v>
      </c>
      <c r="B7" s="220"/>
      <c r="C7" s="156"/>
      <c r="D7" s="157"/>
      <c r="E7" s="156"/>
      <c r="H7" s="23">
        <f>H5+H6</f>
        <v>277859.99999999732</v>
      </c>
      <c r="I7" s="24">
        <f>H7-H10-H20</f>
        <v>2173.1999999933323</v>
      </c>
      <c r="J7" s="25">
        <f>I7/H7</f>
        <v>7.8212049233187687E-3</v>
      </c>
    </row>
    <row r="8" spans="1:10" ht="15.75" x14ac:dyDescent="0.25">
      <c r="A8" s="26" t="s">
        <v>17</v>
      </c>
      <c r="B8" s="156" t="s">
        <v>13</v>
      </c>
      <c r="C8" s="156">
        <v>51097629</v>
      </c>
      <c r="D8" s="157" t="s">
        <v>14</v>
      </c>
      <c r="E8" s="156">
        <v>42000</v>
      </c>
      <c r="F8" s="21">
        <v>887.90219999999999</v>
      </c>
      <c r="G8" s="21">
        <v>892.86890000000005</v>
      </c>
      <c r="H8" s="18">
        <f>(G8-F8)*E8</f>
        <v>208601.40000000253</v>
      </c>
      <c r="I8" s="19"/>
      <c r="J8" s="20"/>
    </row>
    <row r="9" spans="1:10" ht="15.75" x14ac:dyDescent="0.25">
      <c r="A9" s="26" t="s">
        <v>18</v>
      </c>
      <c r="B9" s="156" t="s">
        <v>13</v>
      </c>
      <c r="C9" s="156">
        <v>51616820</v>
      </c>
      <c r="D9" s="157" t="s">
        <v>14</v>
      </c>
      <c r="E9" s="156">
        <v>42000</v>
      </c>
      <c r="F9" s="21">
        <v>3.7885</v>
      </c>
      <c r="G9" s="21">
        <v>3.8138999999999998</v>
      </c>
      <c r="H9" s="18">
        <f>(G9-F9)*E9</f>
        <v>1066.7999999999945</v>
      </c>
      <c r="I9" s="19"/>
      <c r="J9" s="20"/>
    </row>
    <row r="10" spans="1:10" ht="15.75" x14ac:dyDescent="0.25">
      <c r="A10" s="219" t="s">
        <v>19</v>
      </c>
      <c r="B10" s="220"/>
      <c r="C10" s="156"/>
      <c r="D10" s="157"/>
      <c r="E10" s="156"/>
      <c r="F10" s="21"/>
      <c r="G10" s="21"/>
      <c r="H10" s="23">
        <f>H8+H9</f>
        <v>209668.20000000251</v>
      </c>
      <c r="I10" s="24">
        <f>H10-H17</f>
        <v>-10.499999998661224</v>
      </c>
      <c r="J10" s="25">
        <f>I10/H10</f>
        <v>-5.007912501114188E-5</v>
      </c>
    </row>
    <row r="11" spans="1:10" ht="15.75" x14ac:dyDescent="0.25">
      <c r="A11" s="27" t="s">
        <v>20</v>
      </c>
      <c r="B11" s="156" t="s">
        <v>13</v>
      </c>
      <c r="C11" s="156">
        <v>51217286</v>
      </c>
      <c r="D11" s="157" t="s">
        <v>21</v>
      </c>
      <c r="E11" s="156">
        <v>21000</v>
      </c>
      <c r="F11" s="21">
        <v>707.03890000000001</v>
      </c>
      <c r="G11" s="21">
        <v>710.85170000000005</v>
      </c>
      <c r="H11" s="18">
        <f t="shared" ref="H11:H16" si="0">(G11-F11)*E11</f>
        <v>80068.800000000803</v>
      </c>
      <c r="I11" s="19"/>
      <c r="J11" s="20"/>
    </row>
    <row r="12" spans="1:10" ht="15.75" x14ac:dyDescent="0.25">
      <c r="A12" s="27" t="s">
        <v>22</v>
      </c>
      <c r="B12" s="156" t="s">
        <v>13</v>
      </c>
      <c r="C12" s="156">
        <v>51217292</v>
      </c>
      <c r="D12" s="157" t="s">
        <v>21</v>
      </c>
      <c r="E12" s="156">
        <v>21000</v>
      </c>
      <c r="F12" s="28">
        <v>2.7259000000000002</v>
      </c>
      <c r="G12" s="28">
        <v>2.7523</v>
      </c>
      <c r="H12" s="18">
        <f>(G12-F12)*E12</f>
        <v>554.39999999999486</v>
      </c>
      <c r="I12" s="19"/>
      <c r="J12" s="20"/>
    </row>
    <row r="13" spans="1:10" ht="15.75" x14ac:dyDescent="0.25">
      <c r="A13" s="27" t="s">
        <v>23</v>
      </c>
      <c r="B13" s="156" t="s">
        <v>13</v>
      </c>
      <c r="C13" s="156">
        <v>51217271</v>
      </c>
      <c r="D13" s="157" t="s">
        <v>21</v>
      </c>
      <c r="E13" s="156">
        <v>21000</v>
      </c>
      <c r="F13" s="21">
        <v>508.93819999999999</v>
      </c>
      <c r="G13" s="21">
        <v>512.23419999999999</v>
      </c>
      <c r="H13" s="18">
        <f t="shared" si="0"/>
        <v>69215.99999999984</v>
      </c>
      <c r="I13" s="19"/>
      <c r="J13" s="20"/>
    </row>
    <row r="14" spans="1:10" ht="15.75" x14ac:dyDescent="0.25">
      <c r="A14" s="27" t="s">
        <v>24</v>
      </c>
      <c r="B14" s="156" t="s">
        <v>13</v>
      </c>
      <c r="C14" s="156">
        <v>51217276</v>
      </c>
      <c r="D14" s="157" t="s">
        <v>21</v>
      </c>
      <c r="E14" s="156">
        <v>21000</v>
      </c>
      <c r="F14" s="28">
        <v>0.37859999999999999</v>
      </c>
      <c r="G14" s="28">
        <v>0.38769999999999999</v>
      </c>
      <c r="H14" s="18">
        <f>(G14-F14)*E14</f>
        <v>191.09999999999994</v>
      </c>
      <c r="I14" s="19"/>
      <c r="J14" s="20"/>
    </row>
    <row r="15" spans="1:10" ht="15.75" x14ac:dyDescent="0.25">
      <c r="A15" s="27" t="s">
        <v>25</v>
      </c>
      <c r="B15" s="156" t="s">
        <v>13</v>
      </c>
      <c r="C15" s="156">
        <v>51100990</v>
      </c>
      <c r="D15" s="157" t="s">
        <v>21</v>
      </c>
      <c r="E15" s="156">
        <v>21000</v>
      </c>
      <c r="F15" s="29">
        <v>564.36009999999999</v>
      </c>
      <c r="G15" s="29">
        <v>567.18790000000001</v>
      </c>
      <c r="H15" s="18">
        <f t="shared" si="0"/>
        <v>59383.80000000052</v>
      </c>
      <c r="I15" s="19"/>
      <c r="J15" s="20"/>
    </row>
    <row r="16" spans="1:10" ht="15.75" x14ac:dyDescent="0.25">
      <c r="A16" s="27" t="s">
        <v>26</v>
      </c>
      <c r="B16" s="156" t="s">
        <v>13</v>
      </c>
      <c r="C16" s="156">
        <v>51097622</v>
      </c>
      <c r="D16" s="157" t="s">
        <v>21</v>
      </c>
      <c r="E16" s="156">
        <v>21000</v>
      </c>
      <c r="F16" s="21">
        <v>2.4687999999999999</v>
      </c>
      <c r="G16" s="21">
        <v>2.4813999999999998</v>
      </c>
      <c r="H16" s="18">
        <f t="shared" si="0"/>
        <v>264.59999999999883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56"/>
      <c r="D17" s="157"/>
      <c r="E17" s="156"/>
      <c r="F17" s="21"/>
      <c r="G17" s="21"/>
      <c r="H17" s="23">
        <f>H11+H12+H13+H14+H15+H16</f>
        <v>209678.70000000118</v>
      </c>
      <c r="I17" s="19"/>
      <c r="J17" s="20"/>
    </row>
    <row r="18" spans="1:10" ht="15.75" x14ac:dyDescent="0.25">
      <c r="A18" s="26" t="s">
        <v>29</v>
      </c>
      <c r="B18" s="156" t="s">
        <v>13</v>
      </c>
      <c r="C18" s="156">
        <v>51097617</v>
      </c>
      <c r="D18" s="157" t="s">
        <v>30</v>
      </c>
      <c r="E18" s="156">
        <v>18000</v>
      </c>
      <c r="F18" s="30">
        <v>658.24739999999997</v>
      </c>
      <c r="G18" s="30">
        <v>661.91510000000005</v>
      </c>
      <c r="H18" s="18">
        <f>(G18-F18)*E18</f>
        <v>66018.600000001476</v>
      </c>
      <c r="I18" s="19"/>
      <c r="J18" s="20"/>
    </row>
    <row r="19" spans="1:10" ht="15.75" x14ac:dyDescent="0.25">
      <c r="A19" s="26" t="s">
        <v>31</v>
      </c>
      <c r="B19" s="156" t="s">
        <v>13</v>
      </c>
      <c r="C19" s="156">
        <v>51097655</v>
      </c>
      <c r="D19" s="157" t="s">
        <v>30</v>
      </c>
      <c r="E19" s="156">
        <v>18000</v>
      </c>
      <c r="F19" s="30">
        <v>6.1279000000000003</v>
      </c>
      <c r="G19" s="30">
        <v>6.1279000000000003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56"/>
      <c r="D20" s="157"/>
      <c r="E20" s="156"/>
      <c r="F20" s="30"/>
      <c r="G20" s="30"/>
      <c r="H20" s="23">
        <f>H18+H19</f>
        <v>66018.600000001476</v>
      </c>
      <c r="I20" s="24">
        <f>H20-H35</f>
        <v>2384.1600000016697</v>
      </c>
      <c r="J20" s="25">
        <f>I20/H20</f>
        <v>3.611345893432482E-2</v>
      </c>
    </row>
    <row r="21" spans="1:10" ht="15.75" x14ac:dyDescent="0.25">
      <c r="A21" s="15" t="s">
        <v>33</v>
      </c>
      <c r="B21" s="156" t="s">
        <v>13</v>
      </c>
      <c r="C21" s="156">
        <v>51217282</v>
      </c>
      <c r="D21" s="157" t="s">
        <v>34</v>
      </c>
      <c r="E21" s="156">
        <v>4800</v>
      </c>
      <c r="F21" s="21">
        <v>378.37240000000003</v>
      </c>
      <c r="G21" s="21">
        <v>378.37259999999998</v>
      </c>
      <c r="H21" s="18">
        <f t="shared" ref="H21:H34" si="1">(G21-F21)*E21</f>
        <v>0.95999999975902028</v>
      </c>
      <c r="I21" s="19" t="s">
        <v>27</v>
      </c>
      <c r="J21" s="20"/>
    </row>
    <row r="22" spans="1:10" ht="15.75" x14ac:dyDescent="0.25">
      <c r="A22" s="15" t="s">
        <v>35</v>
      </c>
      <c r="B22" s="156" t="s">
        <v>13</v>
      </c>
      <c r="C22" s="156">
        <v>51217274</v>
      </c>
      <c r="D22" s="157" t="s">
        <v>34</v>
      </c>
      <c r="E22" s="156">
        <v>4800</v>
      </c>
      <c r="F22" s="21">
        <v>1046.3761</v>
      </c>
      <c r="G22" s="21">
        <v>1052.4476</v>
      </c>
      <c r="H22" s="18">
        <f t="shared" si="1"/>
        <v>29143.20000000007</v>
      </c>
      <c r="I22" s="19"/>
      <c r="J22" s="20"/>
    </row>
    <row r="23" spans="1:10" ht="15.75" x14ac:dyDescent="0.25">
      <c r="A23" s="15" t="s">
        <v>36</v>
      </c>
      <c r="B23" s="156" t="s">
        <v>13</v>
      </c>
      <c r="C23" s="156">
        <v>51097664</v>
      </c>
      <c r="D23" s="157" t="s">
        <v>37</v>
      </c>
      <c r="E23" s="156">
        <v>600</v>
      </c>
      <c r="F23" s="21">
        <v>3.8433999999999999</v>
      </c>
      <c r="G23" s="21">
        <v>3.8614000000000002</v>
      </c>
      <c r="H23" s="18">
        <f t="shared" si="1"/>
        <v>10.800000000000143</v>
      </c>
      <c r="I23" s="19"/>
      <c r="J23" s="20"/>
    </row>
    <row r="24" spans="1:10" ht="15.75" x14ac:dyDescent="0.25">
      <c r="A24" s="15" t="s">
        <v>38</v>
      </c>
      <c r="B24" s="156" t="s">
        <v>13</v>
      </c>
      <c r="C24" s="156">
        <v>51097615</v>
      </c>
      <c r="D24" s="157" t="s">
        <v>37</v>
      </c>
      <c r="E24" s="156">
        <v>600</v>
      </c>
      <c r="F24" s="21">
        <v>25.7971</v>
      </c>
      <c r="G24" s="21">
        <v>26.197900000000001</v>
      </c>
      <c r="H24" s="18">
        <f t="shared" si="1"/>
        <v>240.48000000000016</v>
      </c>
      <c r="I24" s="19"/>
      <c r="J24" s="20"/>
    </row>
    <row r="25" spans="1:10" ht="15.75" x14ac:dyDescent="0.25">
      <c r="A25" s="15" t="s">
        <v>39</v>
      </c>
      <c r="B25" s="156" t="s">
        <v>13</v>
      </c>
      <c r="C25" s="156">
        <v>51217264</v>
      </c>
      <c r="D25" s="157" t="s">
        <v>37</v>
      </c>
      <c r="E25" s="156">
        <v>600</v>
      </c>
      <c r="F25" s="21">
        <v>68.516300000000001</v>
      </c>
      <c r="G25" s="21">
        <v>69.1738</v>
      </c>
      <c r="H25" s="18">
        <f t="shared" si="1"/>
        <v>394.49999999999932</v>
      </c>
      <c r="I25" s="19"/>
      <c r="J25" s="20"/>
    </row>
    <row r="26" spans="1:10" ht="15.75" x14ac:dyDescent="0.25">
      <c r="A26" s="15" t="s">
        <v>40</v>
      </c>
      <c r="B26" s="156" t="s">
        <v>13</v>
      </c>
      <c r="C26" s="156">
        <v>51217288</v>
      </c>
      <c r="D26" s="157" t="s">
        <v>37</v>
      </c>
      <c r="E26" s="156">
        <v>600</v>
      </c>
      <c r="F26" s="21">
        <v>18.916499999999999</v>
      </c>
      <c r="G26" s="21">
        <v>18.947199999999999</v>
      </c>
      <c r="H26" s="18">
        <f t="shared" si="1"/>
        <v>18.419999999999703</v>
      </c>
      <c r="I26" s="19" t="s">
        <v>27</v>
      </c>
      <c r="J26" s="20"/>
    </row>
    <row r="27" spans="1:10" ht="15.75" x14ac:dyDescent="0.25">
      <c r="A27" s="15" t="s">
        <v>41</v>
      </c>
      <c r="B27" s="156" t="s">
        <v>13</v>
      </c>
      <c r="C27" s="156">
        <v>51217279</v>
      </c>
      <c r="D27" s="157" t="s">
        <v>37</v>
      </c>
      <c r="E27" s="156">
        <v>600</v>
      </c>
      <c r="F27" s="21">
        <v>12.5722</v>
      </c>
      <c r="G27" s="21">
        <v>12.6259</v>
      </c>
      <c r="H27" s="18">
        <f t="shared" si="1"/>
        <v>32.219999999999516</v>
      </c>
      <c r="I27" s="19" t="s">
        <v>27</v>
      </c>
      <c r="J27" s="20"/>
    </row>
    <row r="28" spans="1:10" ht="15.75" x14ac:dyDescent="0.25">
      <c r="A28" s="15" t="s">
        <v>42</v>
      </c>
      <c r="B28" s="156" t="s">
        <v>13</v>
      </c>
      <c r="C28" s="156">
        <v>51217272</v>
      </c>
      <c r="D28" s="157" t="s">
        <v>37</v>
      </c>
      <c r="E28" s="156">
        <v>600</v>
      </c>
      <c r="F28" s="31">
        <v>12.334199999999999</v>
      </c>
      <c r="G28" s="31">
        <v>12.386699999999999</v>
      </c>
      <c r="H28" s="18">
        <f t="shared" si="1"/>
        <v>31.500000000000128</v>
      </c>
      <c r="I28" s="19"/>
      <c r="J28" s="20"/>
    </row>
    <row r="29" spans="1:10" ht="15.75" x14ac:dyDescent="0.25">
      <c r="A29" s="15" t="s">
        <v>43</v>
      </c>
      <c r="B29" s="156" t="s">
        <v>13</v>
      </c>
      <c r="C29" s="156">
        <v>51616744</v>
      </c>
      <c r="D29" s="157">
        <f>300/5</f>
        <v>60</v>
      </c>
      <c r="E29" s="156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56" t="s">
        <v>13</v>
      </c>
      <c r="C30" s="156">
        <v>51555226</v>
      </c>
      <c r="D30" s="157">
        <f>300/5</f>
        <v>60</v>
      </c>
      <c r="E30" s="156">
        <v>3600</v>
      </c>
      <c r="F30" s="31">
        <v>307.65519999999998</v>
      </c>
      <c r="G30" s="31">
        <v>311.83949999999999</v>
      </c>
      <c r="H30" s="18">
        <f>(G30-F30)*E30</f>
        <v>15063.480000000027</v>
      </c>
      <c r="I30" s="19"/>
      <c r="J30" s="20"/>
    </row>
    <row r="31" spans="1:10" ht="15.75" x14ac:dyDescent="0.25">
      <c r="A31" s="15" t="s">
        <v>45</v>
      </c>
      <c r="B31" s="156" t="s">
        <v>13</v>
      </c>
      <c r="C31" s="156">
        <v>51097658</v>
      </c>
      <c r="D31" s="157" t="s">
        <v>34</v>
      </c>
      <c r="E31" s="156">
        <v>4800</v>
      </c>
      <c r="F31" s="31">
        <v>491.26920000000001</v>
      </c>
      <c r="G31" s="31">
        <v>495.10890000000001</v>
      </c>
      <c r="H31" s="18">
        <f t="shared" si="1"/>
        <v>18430.559999999969</v>
      </c>
      <c r="I31" s="19"/>
      <c r="J31" s="20"/>
    </row>
    <row r="32" spans="1:10" ht="15.75" x14ac:dyDescent="0.25">
      <c r="A32" s="15" t="s">
        <v>46</v>
      </c>
      <c r="B32" s="156" t="s">
        <v>13</v>
      </c>
      <c r="C32" s="156">
        <v>51097635</v>
      </c>
      <c r="D32" s="157" t="s">
        <v>34</v>
      </c>
      <c r="E32" s="156">
        <v>4800</v>
      </c>
      <c r="F32" s="31">
        <v>48.434100000000001</v>
      </c>
      <c r="G32" s="31">
        <v>48.435099999999998</v>
      </c>
      <c r="H32" s="18">
        <f t="shared" si="1"/>
        <v>4.7999999999888132</v>
      </c>
      <c r="I32" s="19"/>
      <c r="J32" s="20"/>
    </row>
    <row r="33" spans="1:10" ht="15.75" x14ac:dyDescent="0.25">
      <c r="A33" s="15" t="s">
        <v>47</v>
      </c>
      <c r="B33" s="156" t="s">
        <v>13</v>
      </c>
      <c r="C33" s="32">
        <v>51097633</v>
      </c>
      <c r="D33" s="157" t="s">
        <v>34</v>
      </c>
      <c r="E33" s="156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56" t="s">
        <v>13</v>
      </c>
      <c r="C34" s="32">
        <v>51097662</v>
      </c>
      <c r="D34" s="157" t="s">
        <v>34</v>
      </c>
      <c r="E34" s="156">
        <v>4800</v>
      </c>
      <c r="F34" s="31">
        <v>0.71930000000000005</v>
      </c>
      <c r="G34" s="31">
        <v>0.7742</v>
      </c>
      <c r="H34" s="33">
        <f t="shared" si="1"/>
        <v>263.51999999999975</v>
      </c>
      <c r="I34" s="34"/>
      <c r="J34" s="35"/>
    </row>
    <row r="35" spans="1:10" ht="15.75" x14ac:dyDescent="0.25">
      <c r="A35" s="219" t="s">
        <v>48</v>
      </c>
      <c r="B35" s="220"/>
      <c r="C35" s="156"/>
      <c r="D35" s="157"/>
      <c r="E35" s="156"/>
      <c r="F35" s="36"/>
      <c r="G35" s="36"/>
      <c r="H35" s="23">
        <f>H21+H22+H23+H24+H25+H26+H27+H28+H29+H30+H31+H32+H33+H34</f>
        <v>63634.439999999806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56" t="s">
        <v>51</v>
      </c>
      <c r="C37" s="156">
        <v>51555209</v>
      </c>
      <c r="D37" s="157" t="s">
        <v>52</v>
      </c>
      <c r="E37" s="156">
        <v>7000</v>
      </c>
      <c r="F37" s="17">
        <v>3.4813000000000001</v>
      </c>
      <c r="G37" s="17">
        <v>3.5278999999999998</v>
      </c>
      <c r="H37" s="41">
        <f>(G37-F37)*E37</f>
        <v>326.19999999999828</v>
      </c>
      <c r="I37" s="42"/>
      <c r="J37" s="14"/>
    </row>
    <row r="38" spans="1:10" ht="15.75" x14ac:dyDescent="0.25">
      <c r="A38" s="15" t="s">
        <v>53</v>
      </c>
      <c r="B38" s="156" t="s">
        <v>51</v>
      </c>
      <c r="C38" s="156">
        <v>51555209</v>
      </c>
      <c r="D38" s="157" t="s">
        <v>52</v>
      </c>
      <c r="E38" s="156">
        <v>7000</v>
      </c>
      <c r="F38" s="21">
        <v>8.3325999999999993</v>
      </c>
      <c r="G38" s="21">
        <v>8.3653999999999993</v>
      </c>
      <c r="H38" s="18">
        <f>(G38-F38)*E38</f>
        <v>229.59999999999957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56" t="s">
        <v>51</v>
      </c>
      <c r="C40" s="156">
        <v>51097674</v>
      </c>
      <c r="D40" s="156" t="s">
        <v>14</v>
      </c>
      <c r="E40" s="156">
        <v>7200</v>
      </c>
      <c r="F40" s="21">
        <v>478.14089999999999</v>
      </c>
      <c r="G40" s="21">
        <v>480.69029999999998</v>
      </c>
      <c r="H40" s="18">
        <f>(G40-F40)*E40</f>
        <v>18355.679999999938</v>
      </c>
      <c r="I40" s="47"/>
      <c r="J40" s="20"/>
    </row>
    <row r="41" spans="1:10" ht="15.75" x14ac:dyDescent="0.25">
      <c r="A41" s="27" t="s">
        <v>56</v>
      </c>
      <c r="B41" s="156" t="s">
        <v>51</v>
      </c>
      <c r="C41" s="156">
        <v>51259257</v>
      </c>
      <c r="D41" s="156" t="s">
        <v>14</v>
      </c>
      <c r="E41" s="156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56"/>
      <c r="C42" s="156"/>
      <c r="D42" s="156"/>
      <c r="E42" s="156"/>
      <c r="F42" s="21"/>
      <c r="G42" s="21"/>
      <c r="H42" s="48">
        <f>H40+H41</f>
        <v>18355.679999999938</v>
      </c>
      <c r="I42" s="24">
        <f>H42-H50</f>
        <v>-125.71999999995023</v>
      </c>
      <c r="J42" s="25">
        <f>I42/H42</f>
        <v>-6.8491061077525133E-3</v>
      </c>
    </row>
    <row r="43" spans="1:10" ht="15.75" x14ac:dyDescent="0.25">
      <c r="A43" s="15" t="s">
        <v>58</v>
      </c>
      <c r="B43" s="156"/>
      <c r="C43" s="156"/>
      <c r="D43" s="157"/>
      <c r="E43" s="156"/>
      <c r="H43" s="18"/>
      <c r="I43" s="43"/>
      <c r="J43" s="20"/>
    </row>
    <row r="44" spans="1:10" ht="15.75" x14ac:dyDescent="0.25">
      <c r="A44" s="27" t="s">
        <v>59</v>
      </c>
      <c r="B44" s="156" t="s">
        <v>51</v>
      </c>
      <c r="C44" s="32">
        <v>51097648</v>
      </c>
      <c r="D44" s="156" t="s">
        <v>52</v>
      </c>
      <c r="E44" s="156">
        <v>1200</v>
      </c>
      <c r="F44" s="21">
        <v>390.81220000000002</v>
      </c>
      <c r="G44" s="21">
        <v>392.92200000000003</v>
      </c>
      <c r="H44" s="33">
        <f>(G44-F44)*E44</f>
        <v>2531.7600000000084</v>
      </c>
      <c r="I44" s="43"/>
      <c r="J44" s="20"/>
    </row>
    <row r="45" spans="1:10" ht="15.75" x14ac:dyDescent="0.25">
      <c r="A45" s="27" t="s">
        <v>60</v>
      </c>
      <c r="B45" s="156" t="s">
        <v>51</v>
      </c>
      <c r="C45" s="32">
        <v>50555043</v>
      </c>
      <c r="D45" s="156" t="s">
        <v>52</v>
      </c>
      <c r="E45" s="156">
        <v>1200</v>
      </c>
      <c r="F45" s="21">
        <v>1640.6754000000001</v>
      </c>
      <c r="G45" s="21">
        <v>1649.1659999999999</v>
      </c>
      <c r="H45" s="33">
        <f>(G45-F45)*E45</f>
        <v>10188.71999999983</v>
      </c>
      <c r="I45" s="43"/>
      <c r="J45" s="20"/>
    </row>
    <row r="46" spans="1:10" ht="15.75" x14ac:dyDescent="0.25">
      <c r="A46" s="27" t="s">
        <v>61</v>
      </c>
      <c r="B46" s="156" t="s">
        <v>51</v>
      </c>
      <c r="C46" s="32">
        <v>51259336</v>
      </c>
      <c r="D46" s="156" t="s">
        <v>62</v>
      </c>
      <c r="E46" s="156">
        <v>2400</v>
      </c>
      <c r="F46" s="21">
        <v>3.4807999999999999</v>
      </c>
      <c r="G46" s="21">
        <v>3.4944000000000002</v>
      </c>
      <c r="H46" s="33">
        <f>(G46-F46)*E46</f>
        <v>32.640000000000668</v>
      </c>
      <c r="I46" s="43"/>
      <c r="J46" s="20"/>
    </row>
    <row r="47" spans="1:10" ht="15.75" x14ac:dyDescent="0.25">
      <c r="A47" s="27" t="s">
        <v>63</v>
      </c>
      <c r="B47" s="156" t="s">
        <v>51</v>
      </c>
      <c r="C47" s="32">
        <v>51259266</v>
      </c>
      <c r="D47" s="156" t="s">
        <v>52</v>
      </c>
      <c r="E47" s="156">
        <v>1200</v>
      </c>
      <c r="F47" s="21">
        <v>795.92769999999996</v>
      </c>
      <c r="G47" s="21">
        <v>800.3338</v>
      </c>
      <c r="H47" s="33">
        <f>(G47-F47)*E47</f>
        <v>5287.3200000000452</v>
      </c>
      <c r="I47" s="43"/>
      <c r="J47" s="20"/>
    </row>
    <row r="48" spans="1:10" ht="15.75" x14ac:dyDescent="0.25">
      <c r="A48" s="27" t="s">
        <v>64</v>
      </c>
      <c r="B48" s="156" t="s">
        <v>51</v>
      </c>
      <c r="C48" s="32">
        <v>51431336</v>
      </c>
      <c r="D48" s="156" t="s">
        <v>52</v>
      </c>
      <c r="E48" s="156">
        <v>1200</v>
      </c>
      <c r="F48" s="21">
        <v>42.114699999999999</v>
      </c>
      <c r="G48" s="21">
        <v>42.4405</v>
      </c>
      <c r="H48" s="33">
        <f>(G48-F48)*E48</f>
        <v>390.96000000000117</v>
      </c>
      <c r="I48" s="43"/>
      <c r="J48" s="20"/>
    </row>
    <row r="49" spans="1:10" ht="15.75" x14ac:dyDescent="0.25">
      <c r="A49" s="15" t="s">
        <v>65</v>
      </c>
      <c r="B49" s="156" t="s">
        <v>66</v>
      </c>
      <c r="C49" s="156">
        <v>49174</v>
      </c>
      <c r="D49" s="157" t="s">
        <v>52</v>
      </c>
      <c r="E49" s="156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18481.399999999889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56" t="s">
        <v>51</v>
      </c>
      <c r="C52" s="156">
        <v>51097603</v>
      </c>
      <c r="D52" s="157" t="s">
        <v>52</v>
      </c>
      <c r="E52" s="156">
        <v>7000</v>
      </c>
      <c r="F52" s="17">
        <v>1585.2164</v>
      </c>
      <c r="G52" s="17">
        <v>1593.7946999999999</v>
      </c>
      <c r="H52" s="18">
        <f>(G52-F52)*E52</f>
        <v>60048.099999999293</v>
      </c>
      <c r="I52" s="43"/>
      <c r="J52" s="20"/>
    </row>
    <row r="53" spans="1:10" ht="15.75" x14ac:dyDescent="0.25">
      <c r="A53" s="27" t="s">
        <v>71</v>
      </c>
      <c r="B53" s="156" t="s">
        <v>51</v>
      </c>
      <c r="C53" s="156">
        <v>51097590</v>
      </c>
      <c r="D53" s="157" t="s">
        <v>52</v>
      </c>
      <c r="E53" s="156">
        <v>7000</v>
      </c>
      <c r="F53" s="21">
        <v>9.1478999999999999</v>
      </c>
      <c r="G53" s="21">
        <v>9.2238000000000007</v>
      </c>
      <c r="H53" s="18">
        <f>(G53-F53)*E53</f>
        <v>531.30000000000518</v>
      </c>
      <c r="I53" s="43"/>
      <c r="J53" s="20"/>
    </row>
    <row r="54" spans="1:10" ht="15.75" x14ac:dyDescent="0.25">
      <c r="A54" s="15" t="s">
        <v>65</v>
      </c>
      <c r="B54" s="156" t="s">
        <v>66</v>
      </c>
      <c r="C54" s="156">
        <v>49174</v>
      </c>
      <c r="D54" s="157" t="s">
        <v>52</v>
      </c>
      <c r="E54" s="156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56"/>
      <c r="D55" s="157"/>
      <c r="E55" s="156"/>
      <c r="F55" s="21"/>
      <c r="G55" s="21"/>
      <c r="H55" s="48">
        <f>H52+H53+H54</f>
        <v>60679.399999999296</v>
      </c>
      <c r="I55" s="47"/>
      <c r="J55" s="59"/>
    </row>
    <row r="56" spans="1:10" ht="15.75" x14ac:dyDescent="0.25">
      <c r="A56" s="27" t="s">
        <v>73</v>
      </c>
      <c r="B56" s="156" t="s">
        <v>51</v>
      </c>
      <c r="C56" s="156">
        <v>51100980</v>
      </c>
      <c r="D56" s="156" t="s">
        <v>74</v>
      </c>
      <c r="E56" s="156">
        <v>12000</v>
      </c>
      <c r="F56" s="21">
        <v>932.25609999999995</v>
      </c>
      <c r="G56" s="21">
        <v>937.30889999999999</v>
      </c>
      <c r="H56" s="18">
        <f>(G56-F56)*E56</f>
        <v>60633.600000000573</v>
      </c>
      <c r="I56" s="47"/>
      <c r="J56" s="58"/>
    </row>
    <row r="57" spans="1:10" ht="15.75" x14ac:dyDescent="0.25">
      <c r="A57" s="27" t="s">
        <v>75</v>
      </c>
      <c r="B57" s="156" t="s">
        <v>51</v>
      </c>
      <c r="C57" s="156">
        <v>51097623</v>
      </c>
      <c r="D57" s="156" t="s">
        <v>74</v>
      </c>
      <c r="E57" s="156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56"/>
      <c r="C58" s="156"/>
      <c r="D58" s="156"/>
      <c r="E58" s="156"/>
      <c r="F58" s="21"/>
      <c r="G58" s="21"/>
      <c r="H58" s="48">
        <f>H56+H57</f>
        <v>60633.600000000573</v>
      </c>
      <c r="I58" s="61">
        <f>H55-H65-H54</f>
        <v>-191.72000000064872</v>
      </c>
      <c r="J58" s="25">
        <f>I58/H58</f>
        <v>-3.1619432130146801E-3</v>
      </c>
    </row>
    <row r="59" spans="1:10" ht="15.75" x14ac:dyDescent="0.25">
      <c r="A59" s="27" t="s">
        <v>77</v>
      </c>
      <c r="B59" s="156" t="s">
        <v>51</v>
      </c>
      <c r="C59" s="156">
        <v>51097675</v>
      </c>
      <c r="D59" s="156" t="s">
        <v>34</v>
      </c>
      <c r="E59" s="156">
        <v>4800</v>
      </c>
      <c r="F59" s="21">
        <v>358.75080000000003</v>
      </c>
      <c r="G59" s="21">
        <v>361.69060000000002</v>
      </c>
      <c r="H59" s="18">
        <f t="shared" ref="H59:H64" si="2">(G59-F59)*E59</f>
        <v>14111.039999999957</v>
      </c>
      <c r="I59" s="62"/>
      <c r="J59" s="59"/>
    </row>
    <row r="60" spans="1:10" ht="15.75" x14ac:dyDescent="0.25">
      <c r="A60" s="27" t="s">
        <v>78</v>
      </c>
      <c r="B60" s="156" t="s">
        <v>51</v>
      </c>
      <c r="C60" s="156">
        <v>51100997</v>
      </c>
      <c r="D60" s="156" t="s">
        <v>21</v>
      </c>
      <c r="E60" s="156">
        <v>3600</v>
      </c>
      <c r="F60" s="21">
        <v>1199.0166999999999</v>
      </c>
      <c r="G60" s="21">
        <v>1204.8997999999999</v>
      </c>
      <c r="H60" s="18">
        <f t="shared" si="2"/>
        <v>21179.160000000047</v>
      </c>
      <c r="I60" s="62"/>
      <c r="J60" s="59"/>
    </row>
    <row r="61" spans="1:10" ht="15.75" x14ac:dyDescent="0.25">
      <c r="A61" s="27" t="s">
        <v>79</v>
      </c>
      <c r="B61" s="156" t="s">
        <v>51</v>
      </c>
      <c r="C61" s="156">
        <v>51555218</v>
      </c>
      <c r="D61" s="156">
        <f>400/5</f>
        <v>80</v>
      </c>
      <c r="E61" s="156">
        <v>4800</v>
      </c>
      <c r="F61" s="21">
        <v>40.054900000000004</v>
      </c>
      <c r="G61" s="21">
        <v>40.503100000000003</v>
      </c>
      <c r="H61" s="18">
        <f t="shared" si="2"/>
        <v>2151.3599999999997</v>
      </c>
      <c r="I61" s="62"/>
      <c r="J61" s="59"/>
    </row>
    <row r="62" spans="1:10" ht="15.75" x14ac:dyDescent="0.25">
      <c r="A62" s="27" t="s">
        <v>80</v>
      </c>
      <c r="B62" s="156" t="s">
        <v>51</v>
      </c>
      <c r="C62" s="156">
        <v>51555151</v>
      </c>
      <c r="D62" s="156">
        <f>400/5</f>
        <v>80</v>
      </c>
      <c r="E62" s="156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56" t="s">
        <v>51</v>
      </c>
      <c r="C63" s="156">
        <v>51097599</v>
      </c>
      <c r="D63" s="156" t="s">
        <v>21</v>
      </c>
      <c r="E63" s="156">
        <v>3600</v>
      </c>
      <c r="F63" s="21">
        <v>843.82590000000005</v>
      </c>
      <c r="G63" s="21">
        <v>846.97820000000002</v>
      </c>
      <c r="H63" s="18">
        <f t="shared" si="2"/>
        <v>11348.279999999886</v>
      </c>
      <c r="I63" s="62"/>
      <c r="J63" s="59"/>
    </row>
    <row r="64" spans="1:10" ht="15.75" x14ac:dyDescent="0.25">
      <c r="A64" s="27" t="s">
        <v>82</v>
      </c>
      <c r="B64" s="156" t="s">
        <v>51</v>
      </c>
      <c r="C64" s="156">
        <v>51097620</v>
      </c>
      <c r="D64" s="156" t="s">
        <v>34</v>
      </c>
      <c r="E64" s="156">
        <v>4800</v>
      </c>
      <c r="F64" s="21">
        <v>388.32029999999997</v>
      </c>
      <c r="G64" s="21">
        <v>390.81639999999999</v>
      </c>
      <c r="H64" s="18">
        <f t="shared" si="2"/>
        <v>11981.280000000061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60771.119999999944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56" t="s">
        <v>51</v>
      </c>
      <c r="C67" s="9">
        <v>51259238</v>
      </c>
      <c r="D67" s="74" t="s">
        <v>52</v>
      </c>
      <c r="E67" s="74">
        <v>7000</v>
      </c>
      <c r="F67" s="75">
        <v>425.39800000000002</v>
      </c>
      <c r="G67" s="75">
        <v>428.1515</v>
      </c>
      <c r="H67" s="76">
        <f>(G67-F67)*E67</f>
        <v>19274.499999999818</v>
      </c>
      <c r="I67" s="77"/>
      <c r="J67" s="78"/>
    </row>
    <row r="68" spans="1:10" ht="15.75" x14ac:dyDescent="0.25">
      <c r="A68" s="27" t="s">
        <v>85</v>
      </c>
      <c r="B68" s="156" t="s">
        <v>51</v>
      </c>
      <c r="C68" s="156">
        <v>51259324</v>
      </c>
      <c r="D68" s="157" t="s">
        <v>52</v>
      </c>
      <c r="E68" s="157">
        <v>7000</v>
      </c>
      <c r="F68" s="21">
        <v>327.35090000000002</v>
      </c>
      <c r="G68" s="21">
        <v>329.45440000000002</v>
      </c>
      <c r="H68" s="18">
        <f>(G68-F68)*E68</f>
        <v>14724.499999999978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56">
        <v>51491618</v>
      </c>
      <c r="D69" s="157" t="s">
        <v>62</v>
      </c>
      <c r="E69" s="156">
        <v>40</v>
      </c>
      <c r="F69" s="28">
        <v>745.30100000000004</v>
      </c>
      <c r="G69" s="28">
        <v>755.27300000000002</v>
      </c>
      <c r="H69" s="18">
        <f>(G69-F69)*E69</f>
        <v>398.8799999999992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56">
        <v>51491624</v>
      </c>
      <c r="D70" s="157" t="s">
        <v>62</v>
      </c>
      <c r="E70" s="156">
        <v>40</v>
      </c>
      <c r="F70" s="28">
        <v>105.1585</v>
      </c>
      <c r="G70" s="28">
        <v>106.271</v>
      </c>
      <c r="H70" s="18">
        <f>(G70-F70)*E70</f>
        <v>44.499999999999886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33998.999999999796</v>
      </c>
      <c r="I71" s="85">
        <f>H71-H74-H69-H70</f>
        <v>-1112.3800000003193</v>
      </c>
      <c r="J71" s="25">
        <f>I71/H71</f>
        <v>-3.2718021118277776E-2</v>
      </c>
    </row>
    <row r="72" spans="1:10" ht="15.75" x14ac:dyDescent="0.25">
      <c r="A72" s="27" t="s">
        <v>90</v>
      </c>
      <c r="B72" s="156" t="s">
        <v>51</v>
      </c>
      <c r="C72" s="86">
        <v>51097588</v>
      </c>
      <c r="D72" s="157" t="s">
        <v>74</v>
      </c>
      <c r="E72" s="156">
        <v>12000</v>
      </c>
      <c r="F72" s="21">
        <v>257.89240000000001</v>
      </c>
      <c r="G72" s="21">
        <v>259.50650000000002</v>
      </c>
      <c r="H72" s="18">
        <f>(G72-F72)*E72</f>
        <v>19369.200000000092</v>
      </c>
      <c r="I72" s="51"/>
      <c r="J72" s="58"/>
    </row>
    <row r="73" spans="1:10" ht="15.75" x14ac:dyDescent="0.25">
      <c r="A73" s="27" t="s">
        <v>91</v>
      </c>
      <c r="B73" s="156" t="s">
        <v>51</v>
      </c>
      <c r="C73" s="86">
        <v>51431335</v>
      </c>
      <c r="D73" s="157" t="s">
        <v>74</v>
      </c>
      <c r="E73" s="156">
        <v>12000</v>
      </c>
      <c r="F73" s="21">
        <v>201.22</v>
      </c>
      <c r="G73" s="21">
        <v>202.4949</v>
      </c>
      <c r="H73" s="18">
        <f>(G73-F73)*E73</f>
        <v>15298.800000000028</v>
      </c>
      <c r="I73" s="51"/>
      <c r="J73" s="58"/>
    </row>
    <row r="74" spans="1:10" ht="15.75" x14ac:dyDescent="0.25">
      <c r="A74" s="87" t="s">
        <v>92</v>
      </c>
      <c r="B74" s="156" t="s">
        <v>27</v>
      </c>
      <c r="C74" s="156"/>
      <c r="D74" s="157"/>
      <c r="E74" s="156"/>
      <c r="F74" s="21"/>
      <c r="G74" s="21"/>
      <c r="H74" s="48">
        <f>H72+ H73</f>
        <v>34668.000000000116</v>
      </c>
      <c r="I74" s="85">
        <f>H74-H82</f>
        <v>-78.840000000142027</v>
      </c>
      <c r="J74" s="25">
        <f>I74/H74</f>
        <v>-2.2741433021847743E-3</v>
      </c>
    </row>
    <row r="75" spans="1:10" ht="15.75" x14ac:dyDescent="0.25">
      <c r="A75" s="27" t="s">
        <v>93</v>
      </c>
      <c r="B75" s="156" t="s">
        <v>51</v>
      </c>
      <c r="C75" s="86">
        <v>51097676</v>
      </c>
      <c r="D75" s="88" t="s">
        <v>62</v>
      </c>
      <c r="E75" s="156">
        <v>2400</v>
      </c>
      <c r="F75" s="21">
        <v>515.65819999999997</v>
      </c>
      <c r="G75" s="21">
        <v>519.53530000000001</v>
      </c>
      <c r="H75" s="18">
        <f>(G75-F75)*E75</f>
        <v>9305.0400000000991</v>
      </c>
      <c r="I75" s="51"/>
      <c r="J75" s="58"/>
    </row>
    <row r="76" spans="1:10" ht="15.75" x14ac:dyDescent="0.25">
      <c r="A76" s="27" t="s">
        <v>94</v>
      </c>
      <c r="B76" s="156" t="s">
        <v>51</v>
      </c>
      <c r="C76" s="86">
        <v>51431355</v>
      </c>
      <c r="D76" s="157" t="s">
        <v>21</v>
      </c>
      <c r="E76" s="157">
        <v>3600</v>
      </c>
      <c r="F76" s="21">
        <v>302.69209999999998</v>
      </c>
      <c r="G76" s="21">
        <v>304.12040000000002</v>
      </c>
      <c r="H76" s="18">
        <f>(G76-F76)*E76</f>
        <v>5141.8800000001283</v>
      </c>
      <c r="I76" s="51"/>
      <c r="J76" s="52"/>
    </row>
    <row r="77" spans="1:10" ht="15.75" x14ac:dyDescent="0.25">
      <c r="A77" s="27" t="s">
        <v>95</v>
      </c>
      <c r="B77" s="156" t="s">
        <v>51</v>
      </c>
      <c r="C77" s="86">
        <v>51259331</v>
      </c>
      <c r="D77" s="88" t="s">
        <v>37</v>
      </c>
      <c r="E77" s="156">
        <v>600</v>
      </c>
      <c r="F77" s="21">
        <v>118.455</v>
      </c>
      <c r="G77" s="21">
        <v>119.3998</v>
      </c>
      <c r="H77" s="18">
        <f>(G77-F77)*E77</f>
        <v>566.88000000000045</v>
      </c>
      <c r="I77" s="51"/>
      <c r="J77" s="52"/>
    </row>
    <row r="78" spans="1:10" ht="15.75" x14ac:dyDescent="0.25">
      <c r="A78" s="27" t="s">
        <v>96</v>
      </c>
      <c r="B78" s="156" t="s">
        <v>51</v>
      </c>
      <c r="C78" s="86">
        <v>51259326</v>
      </c>
      <c r="D78" s="88" t="s">
        <v>14</v>
      </c>
      <c r="E78" s="156">
        <v>7200</v>
      </c>
      <c r="F78" s="21">
        <v>262.2373</v>
      </c>
      <c r="G78" s="21">
        <v>263.6456</v>
      </c>
      <c r="H78" s="18">
        <f>(G78-F78)*E78</f>
        <v>10139.759999999978</v>
      </c>
      <c r="I78" s="51"/>
      <c r="J78" s="52"/>
    </row>
    <row r="79" spans="1:10" ht="15.75" x14ac:dyDescent="0.25">
      <c r="A79" s="27" t="s">
        <v>97</v>
      </c>
      <c r="B79" s="156" t="s">
        <v>51</v>
      </c>
      <c r="C79" s="86">
        <v>51431351</v>
      </c>
      <c r="D79" s="88" t="s">
        <v>14</v>
      </c>
      <c r="E79" s="156">
        <v>7200</v>
      </c>
      <c r="F79" s="21">
        <v>171.2011</v>
      </c>
      <c r="G79" s="21">
        <v>172.5335</v>
      </c>
      <c r="H79" s="18">
        <f>(G79-F79)*E79</f>
        <v>9593.2800000000498</v>
      </c>
      <c r="I79" s="51"/>
      <c r="J79" s="52"/>
    </row>
    <row r="80" spans="1:10" ht="15.75" x14ac:dyDescent="0.25">
      <c r="A80" s="89" t="s">
        <v>98</v>
      </c>
      <c r="B80" s="156" t="s">
        <v>51</v>
      </c>
      <c r="C80" s="90">
        <v>51097666</v>
      </c>
      <c r="D80" s="88" t="s">
        <v>62</v>
      </c>
      <c r="E80" s="156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56" t="s">
        <v>51</v>
      </c>
      <c r="C81" s="90">
        <v>51259323</v>
      </c>
      <c r="D81" s="88" t="s">
        <v>62</v>
      </c>
      <c r="E81" s="156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34746.840000000258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56" t="s">
        <v>51</v>
      </c>
      <c r="C84" s="106">
        <v>51431297</v>
      </c>
      <c r="D84" s="157" t="s">
        <v>52</v>
      </c>
      <c r="E84" s="100">
        <v>7000</v>
      </c>
      <c r="F84" s="17">
        <v>206.5438</v>
      </c>
      <c r="G84" s="17">
        <v>209.01159999999999</v>
      </c>
      <c r="H84" s="18">
        <f>(G84-F84)*E84</f>
        <v>17274.599999999878</v>
      </c>
      <c r="I84" s="107"/>
      <c r="J84" s="108"/>
    </row>
    <row r="85" spans="1:10" ht="15.75" x14ac:dyDescent="0.25">
      <c r="A85" s="105" t="s">
        <v>85</v>
      </c>
      <c r="B85" s="156" t="s">
        <v>51</v>
      </c>
      <c r="C85" s="106">
        <v>51431332</v>
      </c>
      <c r="D85" s="157" t="s">
        <v>52</v>
      </c>
      <c r="E85" s="100">
        <v>7000</v>
      </c>
      <c r="F85" s="21">
        <v>305.18680000000001</v>
      </c>
      <c r="G85" s="21">
        <v>305.31950000000001</v>
      </c>
      <c r="H85" s="18">
        <f>(G85-F85)*E85</f>
        <v>928.89999999999873</v>
      </c>
      <c r="I85" s="156"/>
      <c r="J85" s="58"/>
    </row>
    <row r="86" spans="1:10" ht="15.75" x14ac:dyDescent="0.25">
      <c r="A86" s="27" t="s">
        <v>86</v>
      </c>
      <c r="B86" s="156" t="s">
        <v>102</v>
      </c>
      <c r="C86" s="109">
        <v>150773</v>
      </c>
      <c r="D86" s="157" t="s">
        <v>52</v>
      </c>
      <c r="E86" s="109">
        <v>20</v>
      </c>
      <c r="F86" s="17">
        <v>15260.6</v>
      </c>
      <c r="G86" s="17">
        <v>15268.2</v>
      </c>
      <c r="H86" s="18">
        <f>(G86-F86)*E86</f>
        <v>152.00000000000728</v>
      </c>
      <c r="I86" s="51"/>
      <c r="J86" s="58"/>
    </row>
    <row r="87" spans="1:10" ht="15.75" x14ac:dyDescent="0.25">
      <c r="A87" s="27" t="s">
        <v>88</v>
      </c>
      <c r="B87" s="156" t="s">
        <v>102</v>
      </c>
      <c r="C87" s="109">
        <v>150791</v>
      </c>
      <c r="D87" s="157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58"/>
      <c r="C88" s="32"/>
      <c r="D88" s="82"/>
      <c r="E88" s="82"/>
      <c r="F88" s="21"/>
      <c r="G88" s="21"/>
      <c r="H88" s="48">
        <f>H84+H85</f>
        <v>18203.499999999876</v>
      </c>
      <c r="I88" s="85">
        <f>H88-H91-H86-H87</f>
        <v>394.69999999993888</v>
      </c>
      <c r="J88" s="25">
        <f>I88/H88</f>
        <v>2.1682643447685421E-2</v>
      </c>
    </row>
    <row r="89" spans="1:10" ht="15.75" x14ac:dyDescent="0.25">
      <c r="A89" s="27" t="s">
        <v>103</v>
      </c>
      <c r="B89" s="156" t="s">
        <v>51</v>
      </c>
      <c r="C89" s="106">
        <v>51431342</v>
      </c>
      <c r="D89" s="88" t="s">
        <v>34</v>
      </c>
      <c r="E89" s="156">
        <v>4800</v>
      </c>
      <c r="F89" s="21">
        <v>292.02210000000002</v>
      </c>
      <c r="G89" s="21">
        <v>295.5752</v>
      </c>
      <c r="H89" s="18">
        <f>(G89-F89)*E89</f>
        <v>17054.879999999866</v>
      </c>
      <c r="I89" s="51"/>
      <c r="J89" s="52"/>
    </row>
    <row r="90" spans="1:10" ht="15.75" x14ac:dyDescent="0.25">
      <c r="A90" s="27" t="s">
        <v>104</v>
      </c>
      <c r="B90" s="156" t="s">
        <v>51</v>
      </c>
      <c r="C90" s="106">
        <v>51431343</v>
      </c>
      <c r="D90" s="88" t="s">
        <v>34</v>
      </c>
      <c r="E90" s="156">
        <v>4800</v>
      </c>
      <c r="F90" s="21">
        <v>432.9606</v>
      </c>
      <c r="G90" s="21">
        <v>433.08600000000001</v>
      </c>
      <c r="H90" s="18">
        <f>(G90-F90)*E90</f>
        <v>601.92000000006374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17656.79999999993</v>
      </c>
      <c r="I91" s="85">
        <f>H91-H99</f>
        <v>-81.320000000174332</v>
      </c>
      <c r="J91" s="25">
        <f>I91/H91</f>
        <v>-4.6055910470852394E-3</v>
      </c>
    </row>
    <row r="92" spans="1:10" ht="15.75" x14ac:dyDescent="0.25">
      <c r="A92" s="27" t="s">
        <v>106</v>
      </c>
      <c r="B92" s="156" t="s">
        <v>51</v>
      </c>
      <c r="C92" s="106">
        <v>51431347</v>
      </c>
      <c r="D92" s="157" t="s">
        <v>52</v>
      </c>
      <c r="E92" s="156">
        <v>1200</v>
      </c>
      <c r="F92" s="21">
        <v>958.84389999999996</v>
      </c>
      <c r="G92" s="21">
        <v>958.84389999999996</v>
      </c>
      <c r="H92" s="18">
        <f t="shared" ref="H92:H100" si="4">(G92-F92)*E92</f>
        <v>0</v>
      </c>
      <c r="I92" s="51"/>
      <c r="J92" s="52"/>
    </row>
    <row r="93" spans="1:10" ht="15.75" x14ac:dyDescent="0.25">
      <c r="A93" s="27" t="s">
        <v>107</v>
      </c>
      <c r="B93" s="156" t="s">
        <v>51</v>
      </c>
      <c r="C93" s="106">
        <v>51431339</v>
      </c>
      <c r="D93" s="157" t="s">
        <v>52</v>
      </c>
      <c r="E93" s="156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56" t="s">
        <v>51</v>
      </c>
      <c r="C94" s="106">
        <v>51217244</v>
      </c>
      <c r="D94" s="156" t="s">
        <v>37</v>
      </c>
      <c r="E94" s="156">
        <v>600</v>
      </c>
      <c r="F94" s="30">
        <v>249.68020000000001</v>
      </c>
      <c r="G94" s="30">
        <v>250.55520000000001</v>
      </c>
      <c r="H94" s="18">
        <f t="shared" si="4"/>
        <v>525</v>
      </c>
      <c r="I94" s="51"/>
      <c r="J94" s="52"/>
    </row>
    <row r="95" spans="1:10" ht="15.75" x14ac:dyDescent="0.25">
      <c r="A95" s="27" t="s">
        <v>109</v>
      </c>
      <c r="B95" s="156" t="s">
        <v>51</v>
      </c>
      <c r="C95" s="106">
        <v>51217267</v>
      </c>
      <c r="D95" s="88" t="s">
        <v>62</v>
      </c>
      <c r="E95" s="156">
        <v>2400</v>
      </c>
      <c r="F95" s="30">
        <v>18.785299999999999</v>
      </c>
      <c r="G95" s="30">
        <v>18.8188</v>
      </c>
      <c r="H95" s="18">
        <f t="shared" si="4"/>
        <v>80.400000000000205</v>
      </c>
      <c r="I95" s="51"/>
      <c r="J95" s="52"/>
    </row>
    <row r="96" spans="1:10" ht="15.75" x14ac:dyDescent="0.25">
      <c r="A96" s="27" t="s">
        <v>110</v>
      </c>
      <c r="B96" s="156" t="s">
        <v>51</v>
      </c>
      <c r="C96" s="156">
        <v>51555165</v>
      </c>
      <c r="D96" s="157" t="s">
        <v>52</v>
      </c>
      <c r="E96" s="156">
        <v>1200</v>
      </c>
      <c r="F96" s="30">
        <v>682.94389999999999</v>
      </c>
      <c r="G96" s="30">
        <v>691.5376</v>
      </c>
      <c r="H96" s="18">
        <f t="shared" si="4"/>
        <v>10312.440000000015</v>
      </c>
      <c r="I96" s="51" t="s">
        <v>27</v>
      </c>
      <c r="J96" s="52"/>
    </row>
    <row r="97" spans="1:10" ht="15.75" x14ac:dyDescent="0.25">
      <c r="A97" s="113" t="s">
        <v>111</v>
      </c>
      <c r="B97" s="156" t="s">
        <v>51</v>
      </c>
      <c r="C97" s="106">
        <v>51431346</v>
      </c>
      <c r="D97" s="114" t="s">
        <v>37</v>
      </c>
      <c r="E97" s="114">
        <v>600</v>
      </c>
      <c r="F97" s="30">
        <v>288.06709999999998</v>
      </c>
      <c r="G97" s="30">
        <v>290.26010000000002</v>
      </c>
      <c r="H97" s="115">
        <f t="shared" si="4"/>
        <v>1315.8000000000243</v>
      </c>
      <c r="I97" s="116"/>
      <c r="J97" s="117"/>
    </row>
    <row r="98" spans="1:10" ht="15.75" x14ac:dyDescent="0.25">
      <c r="A98" s="27" t="s">
        <v>112</v>
      </c>
      <c r="B98" s="156" t="s">
        <v>51</v>
      </c>
      <c r="C98" s="106">
        <v>51431352</v>
      </c>
      <c r="D98" s="88" t="s">
        <v>21</v>
      </c>
      <c r="E98" s="156">
        <v>3600</v>
      </c>
      <c r="F98" s="21">
        <v>154.31219999999999</v>
      </c>
      <c r="G98" s="21">
        <v>155.79900000000001</v>
      </c>
      <c r="H98" s="18">
        <f t="shared" si="4"/>
        <v>5352.4800000000596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17738.120000000104</v>
      </c>
      <c r="I99" s="51"/>
      <c r="J99" s="52"/>
    </row>
    <row r="100" spans="1:10" ht="15.75" x14ac:dyDescent="0.25">
      <c r="A100" s="45" t="s">
        <v>113</v>
      </c>
      <c r="B100" s="156" t="s">
        <v>51</v>
      </c>
      <c r="C100" s="120">
        <v>51431357</v>
      </c>
      <c r="D100" s="157" t="s">
        <v>62</v>
      </c>
      <c r="E100" s="157">
        <v>14000</v>
      </c>
      <c r="F100" s="28">
        <v>672.60299999999995</v>
      </c>
      <c r="G100" s="28">
        <v>675.27560000000005</v>
      </c>
      <c r="H100" s="121">
        <f t="shared" si="4"/>
        <v>37416.400000001435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C1" workbookViewId="0">
      <selection activeCell="D25" sqref="D25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138</v>
      </c>
      <c r="G3" s="4" t="s">
        <v>137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59" t="s">
        <v>13</v>
      </c>
      <c r="C5" s="159">
        <v>51555166</v>
      </c>
      <c r="D5" s="159" t="s">
        <v>14</v>
      </c>
      <c r="E5" s="159">
        <v>132000</v>
      </c>
      <c r="F5" s="17">
        <v>2.3481000000000001</v>
      </c>
      <c r="G5" s="17">
        <v>2.3601999999999999</v>
      </c>
      <c r="H5" s="18">
        <f>(G5-F5)*E5</f>
        <v>1597.1999999999707</v>
      </c>
      <c r="I5" s="19"/>
      <c r="J5" s="20"/>
    </row>
    <row r="6" spans="1:10" ht="15.75" x14ac:dyDescent="0.25">
      <c r="A6" s="15" t="s">
        <v>15</v>
      </c>
      <c r="B6" s="159" t="s">
        <v>13</v>
      </c>
      <c r="C6" s="159">
        <v>51555191</v>
      </c>
      <c r="D6" s="159" t="s">
        <v>14</v>
      </c>
      <c r="E6" s="159">
        <v>132000</v>
      </c>
      <c r="F6" s="21">
        <v>277.84019999999998</v>
      </c>
      <c r="G6" s="21">
        <v>279.94959999999998</v>
      </c>
      <c r="H6" s="18">
        <f>(G6-F6)*E6</f>
        <v>278440.79999999917</v>
      </c>
      <c r="I6" s="19"/>
      <c r="J6" s="20"/>
    </row>
    <row r="7" spans="1:10" ht="15.75" x14ac:dyDescent="0.25">
      <c r="A7" s="219" t="s">
        <v>16</v>
      </c>
      <c r="B7" s="220"/>
      <c r="C7" s="159"/>
      <c r="D7" s="160"/>
      <c r="E7" s="159"/>
      <c r="H7" s="23">
        <f>H5+H6</f>
        <v>280037.99999999913</v>
      </c>
      <c r="I7" s="24">
        <f>H7-H10-H20</f>
        <v>2236.7999999995372</v>
      </c>
      <c r="J7" s="25">
        <f>I7/H7</f>
        <v>7.9874874124209721E-3</v>
      </c>
    </row>
    <row r="8" spans="1:10" ht="15.75" x14ac:dyDescent="0.25">
      <c r="A8" s="26" t="s">
        <v>17</v>
      </c>
      <c r="B8" s="159" t="s">
        <v>13</v>
      </c>
      <c r="C8" s="159">
        <v>51097629</v>
      </c>
      <c r="D8" s="160" t="s">
        <v>14</v>
      </c>
      <c r="E8" s="159">
        <v>42000</v>
      </c>
      <c r="F8" s="21">
        <v>892.86890000000005</v>
      </c>
      <c r="G8" s="21">
        <v>897.87710000000004</v>
      </c>
      <c r="H8" s="18">
        <f>(G8-F8)*E8</f>
        <v>210344.3999999995</v>
      </c>
      <c r="I8" s="19"/>
      <c r="J8" s="20"/>
    </row>
    <row r="9" spans="1:10" ht="15.75" x14ac:dyDescent="0.25">
      <c r="A9" s="26" t="s">
        <v>18</v>
      </c>
      <c r="B9" s="159" t="s">
        <v>13</v>
      </c>
      <c r="C9" s="159">
        <v>51616820</v>
      </c>
      <c r="D9" s="160" t="s">
        <v>14</v>
      </c>
      <c r="E9" s="159">
        <v>42000</v>
      </c>
      <c r="F9" s="21">
        <v>3.8138999999999998</v>
      </c>
      <c r="G9" s="21">
        <v>3.8384999999999998</v>
      </c>
      <c r="H9" s="18">
        <f>(G9-F9)*E9</f>
        <v>1033.1999999999982</v>
      </c>
      <c r="I9" s="19"/>
      <c r="J9" s="20"/>
    </row>
    <row r="10" spans="1:10" ht="15.75" x14ac:dyDescent="0.25">
      <c r="A10" s="219" t="s">
        <v>19</v>
      </c>
      <c r="B10" s="220"/>
      <c r="C10" s="159"/>
      <c r="D10" s="160"/>
      <c r="E10" s="159"/>
      <c r="F10" s="21"/>
      <c r="G10" s="21"/>
      <c r="H10" s="23">
        <f>H8+H9</f>
        <v>211377.59999999951</v>
      </c>
      <c r="I10" s="24">
        <f>H10-H17</f>
        <v>-8.400000000372529</v>
      </c>
      <c r="J10" s="25">
        <f>I10/H10</f>
        <v>-3.97393101273387E-5</v>
      </c>
    </row>
    <row r="11" spans="1:10" ht="15.75" x14ac:dyDescent="0.25">
      <c r="A11" s="27" t="s">
        <v>20</v>
      </c>
      <c r="B11" s="159" t="s">
        <v>13</v>
      </c>
      <c r="C11" s="159">
        <v>51217286</v>
      </c>
      <c r="D11" s="160" t="s">
        <v>21</v>
      </c>
      <c r="E11" s="159">
        <v>21000</v>
      </c>
      <c r="F11" s="21">
        <v>710.85170000000005</v>
      </c>
      <c r="G11" s="21">
        <v>714.73990000000003</v>
      </c>
      <c r="H11" s="18">
        <f t="shared" ref="H11:H16" si="0">(G11-F11)*E11</f>
        <v>81652.199999999648</v>
      </c>
      <c r="I11" s="19"/>
      <c r="J11" s="20"/>
    </row>
    <row r="12" spans="1:10" ht="15.75" x14ac:dyDescent="0.25">
      <c r="A12" s="27" t="s">
        <v>22</v>
      </c>
      <c r="B12" s="159" t="s">
        <v>13</v>
      </c>
      <c r="C12" s="159">
        <v>51217292</v>
      </c>
      <c r="D12" s="160" t="s">
        <v>21</v>
      </c>
      <c r="E12" s="159">
        <v>21000</v>
      </c>
      <c r="F12" s="28">
        <v>2.7523</v>
      </c>
      <c r="G12" s="28">
        <v>2.7780999999999998</v>
      </c>
      <c r="H12" s="18">
        <f>(G12-F12)*E12</f>
        <v>541.79999999999632</v>
      </c>
      <c r="I12" s="19"/>
      <c r="J12" s="20"/>
    </row>
    <row r="13" spans="1:10" ht="15.75" x14ac:dyDescent="0.25">
      <c r="A13" s="27" t="s">
        <v>23</v>
      </c>
      <c r="B13" s="159" t="s">
        <v>13</v>
      </c>
      <c r="C13" s="159">
        <v>51217271</v>
      </c>
      <c r="D13" s="160" t="s">
        <v>21</v>
      </c>
      <c r="E13" s="159">
        <v>21000</v>
      </c>
      <c r="F13" s="21">
        <v>512.23419999999999</v>
      </c>
      <c r="G13" s="21">
        <v>515.53020000000004</v>
      </c>
      <c r="H13" s="18">
        <f t="shared" si="0"/>
        <v>69216.000000001033</v>
      </c>
      <c r="I13" s="19"/>
      <c r="J13" s="20"/>
    </row>
    <row r="14" spans="1:10" ht="15.75" x14ac:dyDescent="0.25">
      <c r="A14" s="27" t="s">
        <v>24</v>
      </c>
      <c r="B14" s="159" t="s">
        <v>13</v>
      </c>
      <c r="C14" s="159">
        <v>51217276</v>
      </c>
      <c r="D14" s="160" t="s">
        <v>21</v>
      </c>
      <c r="E14" s="159">
        <v>21000</v>
      </c>
      <c r="F14" s="28">
        <v>0.38769999999999999</v>
      </c>
      <c r="G14" s="28">
        <v>0.39589999999999997</v>
      </c>
      <c r="H14" s="18">
        <f>(G14-F14)*E14</f>
        <v>172.19999999999968</v>
      </c>
      <c r="I14" s="19"/>
      <c r="J14" s="20"/>
    </row>
    <row r="15" spans="1:10" ht="15.75" x14ac:dyDescent="0.25">
      <c r="A15" s="27" t="s">
        <v>25</v>
      </c>
      <c r="B15" s="159" t="s">
        <v>13</v>
      </c>
      <c r="C15" s="159">
        <v>51100990</v>
      </c>
      <c r="D15" s="160" t="s">
        <v>21</v>
      </c>
      <c r="E15" s="159">
        <v>21000</v>
      </c>
      <c r="F15" s="29">
        <v>567.18790000000001</v>
      </c>
      <c r="G15" s="29">
        <v>570.02319999999997</v>
      </c>
      <c r="H15" s="18">
        <f t="shared" si="0"/>
        <v>59541.299999999181</v>
      </c>
      <c r="I15" s="19"/>
      <c r="J15" s="20"/>
    </row>
    <row r="16" spans="1:10" ht="15.75" x14ac:dyDescent="0.25">
      <c r="A16" s="27" t="s">
        <v>26</v>
      </c>
      <c r="B16" s="159" t="s">
        <v>13</v>
      </c>
      <c r="C16" s="159">
        <v>51097622</v>
      </c>
      <c r="D16" s="160" t="s">
        <v>21</v>
      </c>
      <c r="E16" s="159">
        <v>21000</v>
      </c>
      <c r="F16" s="21">
        <v>2.4813999999999998</v>
      </c>
      <c r="G16" s="21">
        <v>2.4939</v>
      </c>
      <c r="H16" s="18">
        <f t="shared" si="0"/>
        <v>262.50000000000375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59"/>
      <c r="D17" s="160"/>
      <c r="E17" s="159"/>
      <c r="F17" s="21"/>
      <c r="G17" s="21"/>
      <c r="H17" s="23">
        <f>H11+H12+H13+H14+H15+H16</f>
        <v>211385.99999999988</v>
      </c>
      <c r="I17" s="19"/>
      <c r="J17" s="20"/>
    </row>
    <row r="18" spans="1:10" ht="15.75" x14ac:dyDescent="0.25">
      <c r="A18" s="26" t="s">
        <v>29</v>
      </c>
      <c r="B18" s="159" t="s">
        <v>13</v>
      </c>
      <c r="C18" s="159">
        <v>51097617</v>
      </c>
      <c r="D18" s="160" t="s">
        <v>30</v>
      </c>
      <c r="E18" s="159">
        <v>18000</v>
      </c>
      <c r="F18" s="30">
        <v>661.91510000000005</v>
      </c>
      <c r="G18" s="30">
        <v>665.60530000000006</v>
      </c>
      <c r="H18" s="18">
        <f>(G18-F18)*E18</f>
        <v>66423.600000000079</v>
      </c>
      <c r="I18" s="19"/>
      <c r="J18" s="20"/>
    </row>
    <row r="19" spans="1:10" ht="15.75" x14ac:dyDescent="0.25">
      <c r="A19" s="26" t="s">
        <v>31</v>
      </c>
      <c r="B19" s="159" t="s">
        <v>13</v>
      </c>
      <c r="C19" s="159">
        <v>51097655</v>
      </c>
      <c r="D19" s="160" t="s">
        <v>30</v>
      </c>
      <c r="E19" s="159">
        <v>18000</v>
      </c>
      <c r="F19" s="30">
        <v>6.1279000000000003</v>
      </c>
      <c r="G19" s="30">
        <v>6.1279000000000003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59"/>
      <c r="D20" s="160"/>
      <c r="E20" s="159"/>
      <c r="F20" s="30"/>
      <c r="G20" s="30"/>
      <c r="H20" s="23">
        <f>H18+H19</f>
        <v>66423.600000000079</v>
      </c>
      <c r="I20" s="24">
        <f>H20-H35</f>
        <v>2852.2799999999552</v>
      </c>
      <c r="J20" s="25">
        <f>I20/H20</f>
        <v>4.2940762018318063E-2</v>
      </c>
    </row>
    <row r="21" spans="1:10" ht="15.75" x14ac:dyDescent="0.25">
      <c r="A21" s="15" t="s">
        <v>33</v>
      </c>
      <c r="B21" s="159" t="s">
        <v>13</v>
      </c>
      <c r="C21" s="159">
        <v>51217282</v>
      </c>
      <c r="D21" s="160" t="s">
        <v>34</v>
      </c>
      <c r="E21" s="159">
        <v>4800</v>
      </c>
      <c r="F21" s="21">
        <v>378.37259999999998</v>
      </c>
      <c r="G21" s="21">
        <v>378.3732</v>
      </c>
      <c r="H21" s="18">
        <f t="shared" ref="H21:H34" si="1">(G21-F21)*E21</f>
        <v>2.8800000000956061</v>
      </c>
      <c r="I21" s="19" t="s">
        <v>27</v>
      </c>
      <c r="J21" s="20"/>
    </row>
    <row r="22" spans="1:10" ht="15.75" x14ac:dyDescent="0.25">
      <c r="A22" s="15" t="s">
        <v>35</v>
      </c>
      <c r="B22" s="159" t="s">
        <v>13</v>
      </c>
      <c r="C22" s="159">
        <v>51217274</v>
      </c>
      <c r="D22" s="160" t="s">
        <v>34</v>
      </c>
      <c r="E22" s="159">
        <v>4800</v>
      </c>
      <c r="F22" s="21">
        <v>1052.4476</v>
      </c>
      <c r="G22" s="21">
        <v>1058.3643999999999</v>
      </c>
      <c r="H22" s="18">
        <f t="shared" si="1"/>
        <v>28400.639999999839</v>
      </c>
      <c r="I22" s="19"/>
      <c r="J22" s="20"/>
    </row>
    <row r="23" spans="1:10" ht="15.75" x14ac:dyDescent="0.25">
      <c r="A23" s="15" t="s">
        <v>36</v>
      </c>
      <c r="B23" s="159" t="s">
        <v>13</v>
      </c>
      <c r="C23" s="159">
        <v>51097664</v>
      </c>
      <c r="D23" s="160" t="s">
        <v>37</v>
      </c>
      <c r="E23" s="159">
        <v>600</v>
      </c>
      <c r="F23" s="21">
        <v>3.8614000000000002</v>
      </c>
      <c r="G23" s="21">
        <v>3.8818999999999999</v>
      </c>
      <c r="H23" s="18">
        <f t="shared" si="1"/>
        <v>12.299999999999844</v>
      </c>
      <c r="I23" s="19"/>
      <c r="J23" s="20"/>
    </row>
    <row r="24" spans="1:10" ht="15.75" x14ac:dyDescent="0.25">
      <c r="A24" s="15" t="s">
        <v>38</v>
      </c>
      <c r="B24" s="159" t="s">
        <v>13</v>
      </c>
      <c r="C24" s="159">
        <v>51097615</v>
      </c>
      <c r="D24" s="160" t="s">
        <v>37</v>
      </c>
      <c r="E24" s="159">
        <v>600</v>
      </c>
      <c r="F24" s="21">
        <v>26.197900000000001</v>
      </c>
      <c r="G24" s="21">
        <v>26.563600000000001</v>
      </c>
      <c r="H24" s="18">
        <f t="shared" si="1"/>
        <v>219.42000000000021</v>
      </c>
      <c r="I24" s="19"/>
      <c r="J24" s="20"/>
    </row>
    <row r="25" spans="1:10" ht="15.75" x14ac:dyDescent="0.25">
      <c r="A25" s="15" t="s">
        <v>39</v>
      </c>
      <c r="B25" s="159" t="s">
        <v>13</v>
      </c>
      <c r="C25" s="159">
        <v>51217264</v>
      </c>
      <c r="D25" s="160" t="s">
        <v>37</v>
      </c>
      <c r="E25" s="159">
        <v>600</v>
      </c>
      <c r="F25" s="21">
        <v>69.1738</v>
      </c>
      <c r="G25" s="21">
        <v>69.814499999999995</v>
      </c>
      <c r="H25" s="18">
        <f t="shared" si="1"/>
        <v>384.41999999999723</v>
      </c>
      <c r="I25" s="19"/>
      <c r="J25" s="20"/>
    </row>
    <row r="26" spans="1:10" ht="15.75" x14ac:dyDescent="0.25">
      <c r="A26" s="15" t="s">
        <v>40</v>
      </c>
      <c r="B26" s="159" t="s">
        <v>13</v>
      </c>
      <c r="C26" s="159">
        <v>51217288</v>
      </c>
      <c r="D26" s="160" t="s">
        <v>37</v>
      </c>
      <c r="E26" s="159">
        <v>600</v>
      </c>
      <c r="F26" s="21">
        <v>18.947199999999999</v>
      </c>
      <c r="G26" s="21">
        <v>18.977900000000002</v>
      </c>
      <c r="H26" s="18">
        <f t="shared" si="1"/>
        <v>18.420000000001835</v>
      </c>
      <c r="I26" s="19" t="s">
        <v>27</v>
      </c>
      <c r="J26" s="20"/>
    </row>
    <row r="27" spans="1:10" ht="15.75" x14ac:dyDescent="0.25">
      <c r="A27" s="15" t="s">
        <v>41</v>
      </c>
      <c r="B27" s="159" t="s">
        <v>13</v>
      </c>
      <c r="C27" s="159">
        <v>51217279</v>
      </c>
      <c r="D27" s="160" t="s">
        <v>37</v>
      </c>
      <c r="E27" s="159">
        <v>600</v>
      </c>
      <c r="F27" s="21">
        <v>12.6259</v>
      </c>
      <c r="G27" s="21">
        <v>12.679600000000001</v>
      </c>
      <c r="H27" s="18">
        <f t="shared" si="1"/>
        <v>32.220000000000582</v>
      </c>
      <c r="I27" s="19" t="s">
        <v>27</v>
      </c>
      <c r="J27" s="20"/>
    </row>
    <row r="28" spans="1:10" ht="15.75" x14ac:dyDescent="0.25">
      <c r="A28" s="15" t="s">
        <v>42</v>
      </c>
      <c r="B28" s="159" t="s">
        <v>13</v>
      </c>
      <c r="C28" s="159">
        <v>51217272</v>
      </c>
      <c r="D28" s="160" t="s">
        <v>37</v>
      </c>
      <c r="E28" s="159">
        <v>600</v>
      </c>
      <c r="F28" s="31">
        <v>12.386699999999999</v>
      </c>
      <c r="G28" s="31">
        <v>12.439399999999999</v>
      </c>
      <c r="H28" s="18">
        <f t="shared" si="1"/>
        <v>31.619999999999848</v>
      </c>
      <c r="I28" s="19"/>
      <c r="J28" s="20"/>
    </row>
    <row r="29" spans="1:10" ht="15.75" x14ac:dyDescent="0.25">
      <c r="A29" s="15" t="s">
        <v>43</v>
      </c>
      <c r="B29" s="159" t="s">
        <v>13</v>
      </c>
      <c r="C29" s="159">
        <v>51616744</v>
      </c>
      <c r="D29" s="160">
        <f>300/5</f>
        <v>60</v>
      </c>
      <c r="E29" s="159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59" t="s">
        <v>13</v>
      </c>
      <c r="C30" s="159">
        <v>51555226</v>
      </c>
      <c r="D30" s="160">
        <f>300/5</f>
        <v>60</v>
      </c>
      <c r="E30" s="159">
        <v>3600</v>
      </c>
      <c r="F30" s="31">
        <v>311.83949999999999</v>
      </c>
      <c r="G30" s="31">
        <v>316.13900000000001</v>
      </c>
      <c r="H30" s="18">
        <f>(G30-F30)*E30</f>
        <v>15478.200000000084</v>
      </c>
      <c r="I30" s="19"/>
      <c r="J30" s="20"/>
    </row>
    <row r="31" spans="1:10" ht="15.75" x14ac:dyDescent="0.25">
      <c r="A31" s="15" t="s">
        <v>45</v>
      </c>
      <c r="B31" s="159" t="s">
        <v>13</v>
      </c>
      <c r="C31" s="159">
        <v>51097658</v>
      </c>
      <c r="D31" s="160" t="s">
        <v>34</v>
      </c>
      <c r="E31" s="159">
        <v>4800</v>
      </c>
      <c r="F31" s="31">
        <v>495.10890000000001</v>
      </c>
      <c r="G31" s="31">
        <v>499.00330000000002</v>
      </c>
      <c r="H31" s="18">
        <f t="shared" si="1"/>
        <v>18693.12000000009</v>
      </c>
      <c r="I31" s="19"/>
      <c r="J31" s="20"/>
    </row>
    <row r="32" spans="1:10" ht="15.75" x14ac:dyDescent="0.25">
      <c r="A32" s="15" t="s">
        <v>46</v>
      </c>
      <c r="B32" s="159" t="s">
        <v>13</v>
      </c>
      <c r="C32" s="159">
        <v>51097635</v>
      </c>
      <c r="D32" s="160" t="s">
        <v>34</v>
      </c>
      <c r="E32" s="159">
        <v>4800</v>
      </c>
      <c r="F32" s="31">
        <v>48.435099999999998</v>
      </c>
      <c r="G32" s="31">
        <v>48.436</v>
      </c>
      <c r="H32" s="18">
        <f t="shared" si="1"/>
        <v>4.3200000000069849</v>
      </c>
      <c r="I32" s="19"/>
      <c r="J32" s="20"/>
    </row>
    <row r="33" spans="1:10" ht="15.75" x14ac:dyDescent="0.25">
      <c r="A33" s="15" t="s">
        <v>47</v>
      </c>
      <c r="B33" s="159" t="s">
        <v>13</v>
      </c>
      <c r="C33" s="32">
        <v>51097633</v>
      </c>
      <c r="D33" s="160" t="s">
        <v>34</v>
      </c>
      <c r="E33" s="159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59" t="s">
        <v>13</v>
      </c>
      <c r="C34" s="32">
        <v>51097662</v>
      </c>
      <c r="D34" s="160" t="s">
        <v>34</v>
      </c>
      <c r="E34" s="159">
        <v>4800</v>
      </c>
      <c r="F34" s="31">
        <v>0.7742</v>
      </c>
      <c r="G34" s="31">
        <v>0.83540000000000003</v>
      </c>
      <c r="H34" s="33">
        <f t="shared" si="1"/>
        <v>293.76000000000016</v>
      </c>
      <c r="I34" s="34"/>
      <c r="J34" s="35"/>
    </row>
    <row r="35" spans="1:10" ht="15.75" x14ac:dyDescent="0.25">
      <c r="A35" s="219" t="s">
        <v>48</v>
      </c>
      <c r="B35" s="220"/>
      <c r="C35" s="159"/>
      <c r="D35" s="160"/>
      <c r="E35" s="159"/>
      <c r="F35" s="36"/>
      <c r="G35" s="36"/>
      <c r="H35" s="23">
        <f>H21+H22+H23+H24+H25+H26+H27+H28+H29+H30+H31+H32+H33+H34</f>
        <v>63571.320000000123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59" t="s">
        <v>51</v>
      </c>
      <c r="C37" s="159">
        <v>51555209</v>
      </c>
      <c r="D37" s="160" t="s">
        <v>52</v>
      </c>
      <c r="E37" s="159">
        <v>7000</v>
      </c>
      <c r="F37" s="17">
        <v>3.5278999999999998</v>
      </c>
      <c r="G37" s="17">
        <v>3.5739000000000001</v>
      </c>
      <c r="H37" s="41">
        <f>(G37-F37)*E37</f>
        <v>322.00000000000182</v>
      </c>
      <c r="I37" s="42"/>
      <c r="J37" s="14"/>
    </row>
    <row r="38" spans="1:10" ht="15.75" x14ac:dyDescent="0.25">
      <c r="A38" s="15" t="s">
        <v>53</v>
      </c>
      <c r="B38" s="159" t="s">
        <v>51</v>
      </c>
      <c r="C38" s="159">
        <v>51555209</v>
      </c>
      <c r="D38" s="160" t="s">
        <v>52</v>
      </c>
      <c r="E38" s="159">
        <v>7000</v>
      </c>
      <c r="F38" s="21">
        <v>8.3653999999999993</v>
      </c>
      <c r="G38" s="21">
        <v>8.4002999999999997</v>
      </c>
      <c r="H38" s="18">
        <f>(G38-F38)*E38</f>
        <v>244.30000000000263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59" t="s">
        <v>51</v>
      </c>
      <c r="C40" s="159">
        <v>51097674</v>
      </c>
      <c r="D40" s="159" t="s">
        <v>14</v>
      </c>
      <c r="E40" s="159">
        <v>7200</v>
      </c>
      <c r="F40" s="21">
        <v>480.69029999999998</v>
      </c>
      <c r="G40" s="21">
        <v>483.2586</v>
      </c>
      <c r="H40" s="18">
        <f>(G40-F40)*E40</f>
        <v>18491.760000000158</v>
      </c>
      <c r="I40" s="47"/>
      <c r="J40" s="20"/>
    </row>
    <row r="41" spans="1:10" ht="15.75" x14ac:dyDescent="0.25">
      <c r="A41" s="27" t="s">
        <v>56</v>
      </c>
      <c r="B41" s="159" t="s">
        <v>51</v>
      </c>
      <c r="C41" s="159">
        <v>51259257</v>
      </c>
      <c r="D41" s="159" t="s">
        <v>14</v>
      </c>
      <c r="E41" s="159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59"/>
      <c r="C42" s="159"/>
      <c r="D42" s="159"/>
      <c r="E42" s="159"/>
      <c r="F42" s="21"/>
      <c r="G42" s="21"/>
      <c r="H42" s="48">
        <f>H40+H41</f>
        <v>18491.760000000158</v>
      </c>
      <c r="I42" s="24">
        <f>H42-H50</f>
        <v>-118.39999999974316</v>
      </c>
      <c r="J42" s="25">
        <f>I42/H42</f>
        <v>-6.4028518648166612E-3</v>
      </c>
    </row>
    <row r="43" spans="1:10" ht="15.75" x14ac:dyDescent="0.25">
      <c r="A43" s="15" t="s">
        <v>58</v>
      </c>
      <c r="B43" s="159"/>
      <c r="C43" s="159"/>
      <c r="D43" s="160"/>
      <c r="E43" s="159"/>
      <c r="H43" s="18"/>
      <c r="I43" s="43"/>
      <c r="J43" s="20"/>
    </row>
    <row r="44" spans="1:10" ht="15.75" x14ac:dyDescent="0.25">
      <c r="A44" s="27" t="s">
        <v>59</v>
      </c>
      <c r="B44" s="159" t="s">
        <v>51</v>
      </c>
      <c r="C44" s="32">
        <v>51097648</v>
      </c>
      <c r="D44" s="159" t="s">
        <v>52</v>
      </c>
      <c r="E44" s="159">
        <v>1200</v>
      </c>
      <c r="F44" s="21">
        <v>392.92200000000003</v>
      </c>
      <c r="G44" s="21">
        <v>395.07040000000001</v>
      </c>
      <c r="H44" s="33">
        <f>(G44-F44)*E44</f>
        <v>2578.0799999999772</v>
      </c>
      <c r="I44" s="43"/>
      <c r="J44" s="20"/>
    </row>
    <row r="45" spans="1:10" ht="15.75" x14ac:dyDescent="0.25">
      <c r="A45" s="27" t="s">
        <v>60</v>
      </c>
      <c r="B45" s="159" t="s">
        <v>51</v>
      </c>
      <c r="C45" s="32">
        <v>50555043</v>
      </c>
      <c r="D45" s="159" t="s">
        <v>52</v>
      </c>
      <c r="E45" s="159">
        <v>1200</v>
      </c>
      <c r="F45" s="21">
        <v>1649.1659999999999</v>
      </c>
      <c r="G45" s="21">
        <v>1657.6153999999999</v>
      </c>
      <c r="H45" s="33">
        <f>(G45-F45)*E45</f>
        <v>10139.279999999962</v>
      </c>
      <c r="I45" s="43"/>
      <c r="J45" s="20"/>
    </row>
    <row r="46" spans="1:10" ht="15.75" x14ac:dyDescent="0.25">
      <c r="A46" s="27" t="s">
        <v>61</v>
      </c>
      <c r="B46" s="159" t="s">
        <v>51</v>
      </c>
      <c r="C46" s="32">
        <v>51259336</v>
      </c>
      <c r="D46" s="159" t="s">
        <v>62</v>
      </c>
      <c r="E46" s="159">
        <v>2400</v>
      </c>
      <c r="F46" s="21">
        <v>3.4944000000000002</v>
      </c>
      <c r="G46" s="21">
        <v>3.508</v>
      </c>
      <c r="H46" s="33">
        <f>(G46-F46)*E46</f>
        <v>32.639999999999603</v>
      </c>
      <c r="I46" s="43"/>
      <c r="J46" s="20"/>
    </row>
    <row r="47" spans="1:10" ht="15.75" x14ac:dyDescent="0.25">
      <c r="A47" s="27" t="s">
        <v>63</v>
      </c>
      <c r="B47" s="159" t="s">
        <v>51</v>
      </c>
      <c r="C47" s="32">
        <v>51259266</v>
      </c>
      <c r="D47" s="159" t="s">
        <v>52</v>
      </c>
      <c r="E47" s="159">
        <v>1200</v>
      </c>
      <c r="F47" s="21">
        <v>800.3338</v>
      </c>
      <c r="G47" s="21">
        <v>804.86379999999997</v>
      </c>
      <c r="H47" s="33">
        <f>(G47-F47)*E47</f>
        <v>5435.9999999999673</v>
      </c>
      <c r="I47" s="43"/>
      <c r="J47" s="20"/>
    </row>
    <row r="48" spans="1:10" ht="15.75" x14ac:dyDescent="0.25">
      <c r="A48" s="27" t="s">
        <v>64</v>
      </c>
      <c r="B48" s="159" t="s">
        <v>51</v>
      </c>
      <c r="C48" s="32">
        <v>51431336</v>
      </c>
      <c r="D48" s="159" t="s">
        <v>52</v>
      </c>
      <c r="E48" s="159">
        <v>1200</v>
      </c>
      <c r="F48" s="21">
        <v>42.4405</v>
      </c>
      <c r="G48" s="21">
        <v>42.752299999999998</v>
      </c>
      <c r="H48" s="33">
        <f>(G48-F48)*E48</f>
        <v>374.15999999999769</v>
      </c>
      <c r="I48" s="43"/>
      <c r="J48" s="20"/>
    </row>
    <row r="49" spans="1:10" ht="15.75" x14ac:dyDescent="0.25">
      <c r="A49" s="15" t="s">
        <v>65</v>
      </c>
      <c r="B49" s="159" t="s">
        <v>66</v>
      </c>
      <c r="C49" s="159">
        <v>49174</v>
      </c>
      <c r="D49" s="160" t="s">
        <v>52</v>
      </c>
      <c r="E49" s="159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18610.159999999902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59" t="s">
        <v>51</v>
      </c>
      <c r="C52" s="159">
        <v>51097603</v>
      </c>
      <c r="D52" s="160" t="s">
        <v>52</v>
      </c>
      <c r="E52" s="159">
        <v>7000</v>
      </c>
      <c r="F52" s="17">
        <v>1593.7946999999999</v>
      </c>
      <c r="G52" s="17">
        <v>1602.5794000000001</v>
      </c>
      <c r="H52" s="18">
        <f>(G52-F52)*E52</f>
        <v>61492.9000000011</v>
      </c>
      <c r="I52" s="43"/>
      <c r="J52" s="20"/>
    </row>
    <row r="53" spans="1:10" ht="15.75" x14ac:dyDescent="0.25">
      <c r="A53" s="27" t="s">
        <v>71</v>
      </c>
      <c r="B53" s="159" t="s">
        <v>51</v>
      </c>
      <c r="C53" s="159">
        <v>51097590</v>
      </c>
      <c r="D53" s="160" t="s">
        <v>52</v>
      </c>
      <c r="E53" s="159">
        <v>7000</v>
      </c>
      <c r="F53" s="21">
        <v>9.2238000000000007</v>
      </c>
      <c r="G53" s="21">
        <v>9.2989999999999995</v>
      </c>
      <c r="H53" s="18">
        <f>(G53-F53)*E53</f>
        <v>526.39999999999179</v>
      </c>
      <c r="I53" s="43"/>
      <c r="J53" s="20"/>
    </row>
    <row r="54" spans="1:10" ht="15.75" x14ac:dyDescent="0.25">
      <c r="A54" s="15" t="s">
        <v>65</v>
      </c>
      <c r="B54" s="159" t="s">
        <v>66</v>
      </c>
      <c r="C54" s="159">
        <v>49174</v>
      </c>
      <c r="D54" s="160" t="s">
        <v>52</v>
      </c>
      <c r="E54" s="159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59"/>
      <c r="D55" s="160"/>
      <c r="E55" s="159"/>
      <c r="F55" s="21"/>
      <c r="G55" s="21"/>
      <c r="H55" s="48">
        <f>H52+H53+H54</f>
        <v>62119.300000001094</v>
      </c>
      <c r="I55" s="47"/>
      <c r="J55" s="59"/>
    </row>
    <row r="56" spans="1:10" ht="15.75" x14ac:dyDescent="0.25">
      <c r="A56" s="27" t="s">
        <v>73</v>
      </c>
      <c r="B56" s="159" t="s">
        <v>51</v>
      </c>
      <c r="C56" s="159">
        <v>51100980</v>
      </c>
      <c r="D56" s="159" t="s">
        <v>74</v>
      </c>
      <c r="E56" s="159">
        <v>12000</v>
      </c>
      <c r="F56" s="21">
        <v>937.30889999999999</v>
      </c>
      <c r="G56" s="21">
        <v>942.48630000000003</v>
      </c>
      <c r="H56" s="18">
        <f>(G56-F56)*E56</f>
        <v>62128.80000000041</v>
      </c>
      <c r="I56" s="47"/>
      <c r="J56" s="58"/>
    </row>
    <row r="57" spans="1:10" ht="15.75" x14ac:dyDescent="0.25">
      <c r="A57" s="27" t="s">
        <v>75</v>
      </c>
      <c r="B57" s="159" t="s">
        <v>51</v>
      </c>
      <c r="C57" s="159">
        <v>51097623</v>
      </c>
      <c r="D57" s="159" t="s">
        <v>74</v>
      </c>
      <c r="E57" s="159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59"/>
      <c r="C58" s="159"/>
      <c r="D58" s="159"/>
      <c r="E58" s="159"/>
      <c r="F58" s="21"/>
      <c r="G58" s="21"/>
      <c r="H58" s="48">
        <f>H56+H57</f>
        <v>62128.80000000041</v>
      </c>
      <c r="I58" s="61">
        <f>H55-H65-H54</f>
        <v>-244.01999999965483</v>
      </c>
      <c r="J58" s="25">
        <f>I58/H58</f>
        <v>-3.9276470815411404E-3</v>
      </c>
    </row>
    <row r="59" spans="1:10" ht="15.75" x14ac:dyDescent="0.25">
      <c r="A59" s="27" t="s">
        <v>77</v>
      </c>
      <c r="B59" s="159" t="s">
        <v>51</v>
      </c>
      <c r="C59" s="159">
        <v>51097675</v>
      </c>
      <c r="D59" s="159" t="s">
        <v>34</v>
      </c>
      <c r="E59" s="159">
        <v>4800</v>
      </c>
      <c r="F59" s="21">
        <v>361.69060000000002</v>
      </c>
      <c r="G59" s="21">
        <v>364.8227</v>
      </c>
      <c r="H59" s="18">
        <f t="shared" ref="H59:H64" si="2">(G59-F59)*E59</f>
        <v>15034.079999999904</v>
      </c>
      <c r="I59" s="62"/>
      <c r="J59" s="59"/>
    </row>
    <row r="60" spans="1:10" ht="15.75" x14ac:dyDescent="0.25">
      <c r="A60" s="27" t="s">
        <v>78</v>
      </c>
      <c r="B60" s="159" t="s">
        <v>51</v>
      </c>
      <c r="C60" s="159">
        <v>51100997</v>
      </c>
      <c r="D60" s="159" t="s">
        <v>21</v>
      </c>
      <c r="E60" s="159">
        <v>3600</v>
      </c>
      <c r="F60" s="21">
        <v>1204.8997999999999</v>
      </c>
      <c r="G60" s="21">
        <v>1210.6409000000001</v>
      </c>
      <c r="H60" s="18">
        <f t="shared" si="2"/>
        <v>20667.960000000676</v>
      </c>
      <c r="I60" s="62"/>
      <c r="J60" s="59"/>
    </row>
    <row r="61" spans="1:10" ht="15.75" x14ac:dyDescent="0.25">
      <c r="A61" s="27" t="s">
        <v>79</v>
      </c>
      <c r="B61" s="159" t="s">
        <v>51</v>
      </c>
      <c r="C61" s="159">
        <v>51555218</v>
      </c>
      <c r="D61" s="159">
        <f>400/5</f>
        <v>80</v>
      </c>
      <c r="E61" s="159">
        <v>4800</v>
      </c>
      <c r="F61" s="21">
        <v>40.503100000000003</v>
      </c>
      <c r="G61" s="21">
        <v>40.935299999999998</v>
      </c>
      <c r="H61" s="18">
        <f t="shared" si="2"/>
        <v>2074.559999999974</v>
      </c>
      <c r="I61" s="62"/>
      <c r="J61" s="59"/>
    </row>
    <row r="62" spans="1:10" ht="15.75" x14ac:dyDescent="0.25">
      <c r="A62" s="27" t="s">
        <v>80</v>
      </c>
      <c r="B62" s="159" t="s">
        <v>51</v>
      </c>
      <c r="C62" s="159">
        <v>51555151</v>
      </c>
      <c r="D62" s="159">
        <f>400/5</f>
        <v>80</v>
      </c>
      <c r="E62" s="159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59" t="s">
        <v>51</v>
      </c>
      <c r="C63" s="159">
        <v>51097599</v>
      </c>
      <c r="D63" s="159" t="s">
        <v>21</v>
      </c>
      <c r="E63" s="159">
        <v>3600</v>
      </c>
      <c r="F63" s="21">
        <v>846.97820000000002</v>
      </c>
      <c r="G63" s="21">
        <v>850.17060000000004</v>
      </c>
      <c r="H63" s="18">
        <f t="shared" si="2"/>
        <v>11492.640000000074</v>
      </c>
      <c r="I63" s="62"/>
      <c r="J63" s="59"/>
    </row>
    <row r="64" spans="1:10" ht="15.75" x14ac:dyDescent="0.25">
      <c r="A64" s="27" t="s">
        <v>82</v>
      </c>
      <c r="B64" s="159" t="s">
        <v>51</v>
      </c>
      <c r="C64" s="159">
        <v>51097620</v>
      </c>
      <c r="D64" s="159" t="s">
        <v>34</v>
      </c>
      <c r="E64" s="159">
        <v>4800</v>
      </c>
      <c r="F64" s="21">
        <v>390.81639999999999</v>
      </c>
      <c r="G64" s="21">
        <v>393.52350000000001</v>
      </c>
      <c r="H64" s="18">
        <f t="shared" si="2"/>
        <v>12994.080000000122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62263.320000000749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59" t="s">
        <v>51</v>
      </c>
      <c r="C67" s="9">
        <v>51259238</v>
      </c>
      <c r="D67" s="74" t="s">
        <v>52</v>
      </c>
      <c r="E67" s="74">
        <v>7000</v>
      </c>
      <c r="F67" s="75">
        <v>428.1515</v>
      </c>
      <c r="G67" s="75">
        <v>430.89179999999999</v>
      </c>
      <c r="H67" s="76">
        <f>(G67-F67)*E67</f>
        <v>19182.099999999933</v>
      </c>
      <c r="I67" s="77"/>
      <c r="J67" s="78"/>
    </row>
    <row r="68" spans="1:10" ht="15.75" x14ac:dyDescent="0.25">
      <c r="A68" s="27" t="s">
        <v>85</v>
      </c>
      <c r="B68" s="159" t="s">
        <v>51</v>
      </c>
      <c r="C68" s="159">
        <v>51259324</v>
      </c>
      <c r="D68" s="160" t="s">
        <v>52</v>
      </c>
      <c r="E68" s="160">
        <v>7000</v>
      </c>
      <c r="F68" s="21">
        <v>329.45440000000002</v>
      </c>
      <c r="G68" s="21">
        <v>331.48689999999999</v>
      </c>
      <c r="H68" s="18">
        <f>(G68-F68)*E68</f>
        <v>14227.499999999793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59">
        <v>51491618</v>
      </c>
      <c r="D69" s="160" t="s">
        <v>62</v>
      </c>
      <c r="E69" s="159">
        <v>40</v>
      </c>
      <c r="F69" s="28">
        <v>755.27300000000002</v>
      </c>
      <c r="G69" s="28">
        <v>765.505</v>
      </c>
      <c r="H69" s="18">
        <f>(G69-F69)*E69</f>
        <v>409.27999999999884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59">
        <v>51491624</v>
      </c>
      <c r="D70" s="160" t="s">
        <v>62</v>
      </c>
      <c r="E70" s="159">
        <v>40</v>
      </c>
      <c r="F70" s="28">
        <v>106.271</v>
      </c>
      <c r="G70" s="28">
        <v>107.38800000000001</v>
      </c>
      <c r="H70" s="18">
        <f>(G70-F70)*E70</f>
        <v>44.680000000000177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33409.599999999729</v>
      </c>
      <c r="I71" s="85">
        <f>H71-H74-H69-H70</f>
        <v>-1279.159999999647</v>
      </c>
      <c r="J71" s="25">
        <f>I71/H71</f>
        <v>-3.8287198888931846E-2</v>
      </c>
    </row>
    <row r="72" spans="1:10" ht="15.75" x14ac:dyDescent="0.25">
      <c r="A72" s="27" t="s">
        <v>90</v>
      </c>
      <c r="B72" s="159" t="s">
        <v>51</v>
      </c>
      <c r="C72" s="86">
        <v>51097588</v>
      </c>
      <c r="D72" s="160" t="s">
        <v>74</v>
      </c>
      <c r="E72" s="159">
        <v>12000</v>
      </c>
      <c r="F72" s="21">
        <v>259.50650000000002</v>
      </c>
      <c r="G72" s="21">
        <v>261.12689999999998</v>
      </c>
      <c r="H72" s="18">
        <f>(G72-F72)*E72</f>
        <v>19444.79999999953</v>
      </c>
      <c r="I72" s="51"/>
      <c r="J72" s="58"/>
    </row>
    <row r="73" spans="1:10" ht="15.75" x14ac:dyDescent="0.25">
      <c r="A73" s="27" t="s">
        <v>91</v>
      </c>
      <c r="B73" s="159" t="s">
        <v>51</v>
      </c>
      <c r="C73" s="86">
        <v>51431335</v>
      </c>
      <c r="D73" s="160" t="s">
        <v>74</v>
      </c>
      <c r="E73" s="159">
        <v>12000</v>
      </c>
      <c r="F73" s="21">
        <v>202.4949</v>
      </c>
      <c r="G73" s="21">
        <v>203.72739999999999</v>
      </c>
      <c r="H73" s="18">
        <f>(G73-F73)*E73</f>
        <v>14789.999999999851</v>
      </c>
      <c r="I73" s="51"/>
      <c r="J73" s="58"/>
    </row>
    <row r="74" spans="1:10" ht="15.75" x14ac:dyDescent="0.25">
      <c r="A74" s="87" t="s">
        <v>92</v>
      </c>
      <c r="B74" s="159" t="s">
        <v>27</v>
      </c>
      <c r="C74" s="159"/>
      <c r="D74" s="160"/>
      <c r="E74" s="159"/>
      <c r="F74" s="21"/>
      <c r="G74" s="21"/>
      <c r="H74" s="48">
        <f>H72+ H73</f>
        <v>34234.799999999377</v>
      </c>
      <c r="I74" s="85">
        <f>H74-H82</f>
        <v>-81.060000000266882</v>
      </c>
      <c r="J74" s="25">
        <f>I74/H74</f>
        <v>-2.3677661327149088E-3</v>
      </c>
    </row>
    <row r="75" spans="1:10" ht="15.75" x14ac:dyDescent="0.25">
      <c r="A75" s="27" t="s">
        <v>93</v>
      </c>
      <c r="B75" s="159" t="s">
        <v>51</v>
      </c>
      <c r="C75" s="86">
        <v>51097676</v>
      </c>
      <c r="D75" s="88" t="s">
        <v>62</v>
      </c>
      <c r="E75" s="159">
        <v>2400</v>
      </c>
      <c r="F75" s="21">
        <v>519.53530000000001</v>
      </c>
      <c r="G75" s="21">
        <v>523.51829999999995</v>
      </c>
      <c r="H75" s="18">
        <f>(G75-F75)*E75</f>
        <v>9559.1999999998734</v>
      </c>
      <c r="I75" s="51"/>
      <c r="J75" s="58"/>
    </row>
    <row r="76" spans="1:10" ht="15.75" x14ac:dyDescent="0.25">
      <c r="A76" s="27" t="s">
        <v>94</v>
      </c>
      <c r="B76" s="159" t="s">
        <v>51</v>
      </c>
      <c r="C76" s="86">
        <v>51431355</v>
      </c>
      <c r="D76" s="160" t="s">
        <v>21</v>
      </c>
      <c r="E76" s="160">
        <v>3600</v>
      </c>
      <c r="F76" s="21">
        <v>304.12040000000002</v>
      </c>
      <c r="G76" s="21">
        <v>305.36419999999998</v>
      </c>
      <c r="H76" s="18">
        <f>(G76-F76)*E76</f>
        <v>4477.679999999873</v>
      </c>
      <c r="I76" s="51"/>
      <c r="J76" s="52"/>
    </row>
    <row r="77" spans="1:10" ht="15.75" x14ac:dyDescent="0.25">
      <c r="A77" s="27" t="s">
        <v>95</v>
      </c>
      <c r="B77" s="159" t="s">
        <v>51</v>
      </c>
      <c r="C77" s="86">
        <v>51259331</v>
      </c>
      <c r="D77" s="88" t="s">
        <v>37</v>
      </c>
      <c r="E77" s="159">
        <v>600</v>
      </c>
      <c r="F77" s="21">
        <v>119.3998</v>
      </c>
      <c r="G77" s="21">
        <v>120.3985</v>
      </c>
      <c r="H77" s="18">
        <f>(G77-F77)*E77</f>
        <v>599.21999999999969</v>
      </c>
      <c r="I77" s="51"/>
      <c r="J77" s="52"/>
    </row>
    <row r="78" spans="1:10" ht="15.75" x14ac:dyDescent="0.25">
      <c r="A78" s="27" t="s">
        <v>96</v>
      </c>
      <c r="B78" s="159" t="s">
        <v>51</v>
      </c>
      <c r="C78" s="86">
        <v>51259326</v>
      </c>
      <c r="D78" s="88" t="s">
        <v>14</v>
      </c>
      <c r="E78" s="159">
        <v>7200</v>
      </c>
      <c r="F78" s="21">
        <v>263.6456</v>
      </c>
      <c r="G78" s="21">
        <v>265.03019999999998</v>
      </c>
      <c r="H78" s="18">
        <f>(G78-F78)*E78</f>
        <v>9969.1199999998389</v>
      </c>
      <c r="I78" s="51"/>
      <c r="J78" s="52"/>
    </row>
    <row r="79" spans="1:10" ht="15.75" x14ac:dyDescent="0.25">
      <c r="A79" s="27" t="s">
        <v>97</v>
      </c>
      <c r="B79" s="159" t="s">
        <v>51</v>
      </c>
      <c r="C79" s="86">
        <v>51431351</v>
      </c>
      <c r="D79" s="88" t="s">
        <v>14</v>
      </c>
      <c r="E79" s="159">
        <v>7200</v>
      </c>
      <c r="F79" s="21">
        <v>172.5335</v>
      </c>
      <c r="G79" s="21">
        <v>173.88220000000001</v>
      </c>
      <c r="H79" s="18">
        <f>(G79-F79)*E79</f>
        <v>9710.6400000000576</v>
      </c>
      <c r="I79" s="51"/>
      <c r="J79" s="52"/>
    </row>
    <row r="80" spans="1:10" ht="15.75" x14ac:dyDescent="0.25">
      <c r="A80" s="89" t="s">
        <v>98</v>
      </c>
      <c r="B80" s="159" t="s">
        <v>51</v>
      </c>
      <c r="C80" s="90">
        <v>51097666</v>
      </c>
      <c r="D80" s="88" t="s">
        <v>62</v>
      </c>
      <c r="E80" s="159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59" t="s">
        <v>51</v>
      </c>
      <c r="C81" s="90">
        <v>51259323</v>
      </c>
      <c r="D81" s="88" t="s">
        <v>62</v>
      </c>
      <c r="E81" s="159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34315.859999999644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59" t="s">
        <v>51</v>
      </c>
      <c r="C84" s="106">
        <v>51431297</v>
      </c>
      <c r="D84" s="160" t="s">
        <v>52</v>
      </c>
      <c r="E84" s="100">
        <v>7000</v>
      </c>
      <c r="F84" s="17">
        <v>209.01159999999999</v>
      </c>
      <c r="G84" s="17">
        <v>211.4588</v>
      </c>
      <c r="H84" s="18">
        <f>(G84-F84)*E84</f>
        <v>17130.400000000067</v>
      </c>
      <c r="I84" s="107"/>
      <c r="J84" s="108"/>
    </row>
    <row r="85" spans="1:10" ht="15.75" x14ac:dyDescent="0.25">
      <c r="A85" s="105" t="s">
        <v>85</v>
      </c>
      <c r="B85" s="159" t="s">
        <v>51</v>
      </c>
      <c r="C85" s="106">
        <v>51431332</v>
      </c>
      <c r="D85" s="160" t="s">
        <v>52</v>
      </c>
      <c r="E85" s="100">
        <v>7000</v>
      </c>
      <c r="F85" s="21">
        <v>305.31950000000001</v>
      </c>
      <c r="G85" s="21">
        <v>305.45409999999998</v>
      </c>
      <c r="H85" s="18">
        <f>(G85-F85)*E85</f>
        <v>942.19999999984339</v>
      </c>
      <c r="I85" s="159"/>
      <c r="J85" s="58"/>
    </row>
    <row r="86" spans="1:10" ht="15.75" x14ac:dyDescent="0.25">
      <c r="A86" s="27" t="s">
        <v>86</v>
      </c>
      <c r="B86" s="159" t="s">
        <v>102</v>
      </c>
      <c r="C86" s="109">
        <v>150773</v>
      </c>
      <c r="D86" s="160" t="s">
        <v>52</v>
      </c>
      <c r="E86" s="109">
        <v>20</v>
      </c>
      <c r="F86" s="17">
        <v>15268.2</v>
      </c>
      <c r="G86" s="17">
        <v>15275.8</v>
      </c>
      <c r="H86" s="18">
        <f>(G86-F86)*E86</f>
        <v>151.9999999999709</v>
      </c>
      <c r="I86" s="51"/>
      <c r="J86" s="58"/>
    </row>
    <row r="87" spans="1:10" ht="15.75" x14ac:dyDescent="0.25">
      <c r="A87" s="27" t="s">
        <v>88</v>
      </c>
      <c r="B87" s="159" t="s">
        <v>102</v>
      </c>
      <c r="C87" s="109">
        <v>150791</v>
      </c>
      <c r="D87" s="160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61"/>
      <c r="C88" s="32"/>
      <c r="D88" s="82"/>
      <c r="E88" s="82"/>
      <c r="F88" s="21"/>
      <c r="G88" s="21"/>
      <c r="H88" s="48">
        <f>H84+H85</f>
        <v>18072.599999999911</v>
      </c>
      <c r="I88" s="85">
        <f>H88-H91-H86-H87</f>
        <v>402.52000000011321</v>
      </c>
      <c r="J88" s="25">
        <f>I88/H88</f>
        <v>2.2272390248227438E-2</v>
      </c>
    </row>
    <row r="89" spans="1:10" ht="15.75" x14ac:dyDescent="0.25">
      <c r="A89" s="27" t="s">
        <v>103</v>
      </c>
      <c r="B89" s="159" t="s">
        <v>51</v>
      </c>
      <c r="C89" s="106">
        <v>51431342</v>
      </c>
      <c r="D89" s="88" t="s">
        <v>34</v>
      </c>
      <c r="E89" s="159">
        <v>4800</v>
      </c>
      <c r="F89" s="21">
        <v>295.5752</v>
      </c>
      <c r="G89" s="21">
        <v>299.09739999999999</v>
      </c>
      <c r="H89" s="18">
        <f>(G89-F89)*E89</f>
        <v>16906.55999999999</v>
      </c>
      <c r="I89" s="51"/>
      <c r="J89" s="52"/>
    </row>
    <row r="90" spans="1:10" ht="15.75" x14ac:dyDescent="0.25">
      <c r="A90" s="27" t="s">
        <v>104</v>
      </c>
      <c r="B90" s="159" t="s">
        <v>51</v>
      </c>
      <c r="C90" s="106">
        <v>51431343</v>
      </c>
      <c r="D90" s="88" t="s">
        <v>34</v>
      </c>
      <c r="E90" s="159">
        <v>4800</v>
      </c>
      <c r="F90" s="21">
        <v>433.08600000000001</v>
      </c>
      <c r="G90" s="21">
        <v>433.21339999999998</v>
      </c>
      <c r="H90" s="18">
        <f>(G90-F90)*E90</f>
        <v>611.51999999983673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17518.079999999827</v>
      </c>
      <c r="I91" s="85">
        <f>H91-H99</f>
        <v>-69.44000000001688</v>
      </c>
      <c r="J91" s="25">
        <f>I91/H91</f>
        <v>-3.9639047201529831E-3</v>
      </c>
    </row>
    <row r="92" spans="1:10" ht="15.75" x14ac:dyDescent="0.25">
      <c r="A92" s="27" t="s">
        <v>106</v>
      </c>
      <c r="B92" s="159" t="s">
        <v>51</v>
      </c>
      <c r="C92" s="106">
        <v>51431347</v>
      </c>
      <c r="D92" s="160" t="s">
        <v>52</v>
      </c>
      <c r="E92" s="159">
        <v>1200</v>
      </c>
      <c r="F92" s="21">
        <v>958.84389999999996</v>
      </c>
      <c r="G92" s="21">
        <v>958.84389999999996</v>
      </c>
      <c r="H92" s="18">
        <f t="shared" ref="H92:H100" si="4">(G92-F92)*E92</f>
        <v>0</v>
      </c>
      <c r="I92" s="51"/>
      <c r="J92" s="52"/>
    </row>
    <row r="93" spans="1:10" ht="15.75" x14ac:dyDescent="0.25">
      <c r="A93" s="27" t="s">
        <v>107</v>
      </c>
      <c r="B93" s="159" t="s">
        <v>51</v>
      </c>
      <c r="C93" s="106">
        <v>51431339</v>
      </c>
      <c r="D93" s="160" t="s">
        <v>52</v>
      </c>
      <c r="E93" s="159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59" t="s">
        <v>51</v>
      </c>
      <c r="C94" s="106">
        <v>51217244</v>
      </c>
      <c r="D94" s="159" t="s">
        <v>37</v>
      </c>
      <c r="E94" s="159">
        <v>600</v>
      </c>
      <c r="F94" s="30">
        <v>250.55520000000001</v>
      </c>
      <c r="G94" s="30">
        <v>251.4511</v>
      </c>
      <c r="H94" s="18">
        <f t="shared" si="4"/>
        <v>537.53999999998996</v>
      </c>
      <c r="I94" s="51"/>
      <c r="J94" s="52"/>
    </row>
    <row r="95" spans="1:10" ht="15.75" x14ac:dyDescent="0.25">
      <c r="A95" s="27" t="s">
        <v>109</v>
      </c>
      <c r="B95" s="159" t="s">
        <v>51</v>
      </c>
      <c r="C95" s="106">
        <v>51217267</v>
      </c>
      <c r="D95" s="88" t="s">
        <v>62</v>
      </c>
      <c r="E95" s="159">
        <v>2400</v>
      </c>
      <c r="F95" s="30">
        <v>18.8188</v>
      </c>
      <c r="G95" s="30">
        <v>18.851500000000001</v>
      </c>
      <c r="H95" s="18">
        <f t="shared" si="4"/>
        <v>78.480000000004679</v>
      </c>
      <c r="I95" s="51"/>
      <c r="J95" s="52"/>
    </row>
    <row r="96" spans="1:10" ht="15.75" x14ac:dyDescent="0.25">
      <c r="A96" s="27" t="s">
        <v>110</v>
      </c>
      <c r="B96" s="159" t="s">
        <v>51</v>
      </c>
      <c r="C96" s="159">
        <v>51555165</v>
      </c>
      <c r="D96" s="160" t="s">
        <v>52</v>
      </c>
      <c r="E96" s="159">
        <v>1200</v>
      </c>
      <c r="F96" s="30">
        <v>691.5376</v>
      </c>
      <c r="G96" s="30">
        <v>700.10429999999997</v>
      </c>
      <c r="H96" s="18">
        <f t="shared" si="4"/>
        <v>10280.039999999963</v>
      </c>
      <c r="I96" s="51" t="s">
        <v>27</v>
      </c>
      <c r="J96" s="52"/>
    </row>
    <row r="97" spans="1:10" ht="15.75" x14ac:dyDescent="0.25">
      <c r="A97" s="113" t="s">
        <v>111</v>
      </c>
      <c r="B97" s="159" t="s">
        <v>51</v>
      </c>
      <c r="C97" s="106">
        <v>51431346</v>
      </c>
      <c r="D97" s="114" t="s">
        <v>37</v>
      </c>
      <c r="E97" s="114">
        <v>600</v>
      </c>
      <c r="F97" s="30">
        <v>290.26010000000002</v>
      </c>
      <c r="G97" s="30">
        <v>292.4658</v>
      </c>
      <c r="H97" s="115">
        <f t="shared" si="4"/>
        <v>1323.4199999999873</v>
      </c>
      <c r="I97" s="116"/>
      <c r="J97" s="117"/>
    </row>
    <row r="98" spans="1:10" ht="15.75" x14ac:dyDescent="0.25">
      <c r="A98" s="27" t="s">
        <v>112</v>
      </c>
      <c r="B98" s="159" t="s">
        <v>51</v>
      </c>
      <c r="C98" s="106">
        <v>51431352</v>
      </c>
      <c r="D98" s="88" t="s">
        <v>21</v>
      </c>
      <c r="E98" s="159">
        <v>3600</v>
      </c>
      <c r="F98" s="21">
        <v>155.79900000000001</v>
      </c>
      <c r="G98" s="21">
        <v>157.24789999999999</v>
      </c>
      <c r="H98" s="18">
        <f t="shared" si="4"/>
        <v>5216.0399999999299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17587.519999999844</v>
      </c>
      <c r="I99" s="51"/>
      <c r="J99" s="52"/>
    </row>
    <row r="100" spans="1:10" ht="15.75" x14ac:dyDescent="0.25">
      <c r="A100" s="45" t="s">
        <v>113</v>
      </c>
      <c r="B100" s="159" t="s">
        <v>51</v>
      </c>
      <c r="C100" s="120">
        <v>51431357</v>
      </c>
      <c r="D100" s="160" t="s">
        <v>62</v>
      </c>
      <c r="E100" s="160">
        <v>14000</v>
      </c>
      <c r="F100" s="28">
        <v>675.27560000000005</v>
      </c>
      <c r="G100" s="28">
        <v>677.96050000000002</v>
      </c>
      <c r="H100" s="121">
        <f t="shared" si="4"/>
        <v>37588.599999999584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137</v>
      </c>
      <c r="G3" s="4" t="s">
        <v>139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62" t="s">
        <v>13</v>
      </c>
      <c r="C5" s="162">
        <v>51555166</v>
      </c>
      <c r="D5" s="162" t="s">
        <v>14</v>
      </c>
      <c r="E5" s="162">
        <v>132000</v>
      </c>
      <c r="F5" s="17">
        <v>2.3601999999999999</v>
      </c>
      <c r="G5" s="17">
        <v>2.3715999999999999</v>
      </c>
      <c r="H5" s="18">
        <f>(G5-F5)*E5</f>
        <v>1504.8000000000102</v>
      </c>
      <c r="I5" s="19"/>
      <c r="J5" s="20"/>
    </row>
    <row r="6" spans="1:10" ht="15.75" x14ac:dyDescent="0.25">
      <c r="A6" s="15" t="s">
        <v>15</v>
      </c>
      <c r="B6" s="162" t="s">
        <v>13</v>
      </c>
      <c r="C6" s="162">
        <v>51555191</v>
      </c>
      <c r="D6" s="162" t="s">
        <v>14</v>
      </c>
      <c r="E6" s="162">
        <v>132000</v>
      </c>
      <c r="F6" s="21">
        <v>279.94959999999998</v>
      </c>
      <c r="G6" s="21">
        <v>282.0763</v>
      </c>
      <c r="H6" s="18">
        <f>(G6-F6)*E6</f>
        <v>280724.40000000369</v>
      </c>
      <c r="I6" s="19"/>
      <c r="J6" s="20"/>
    </row>
    <row r="7" spans="1:10" ht="15.75" x14ac:dyDescent="0.25">
      <c r="A7" s="219" t="s">
        <v>16</v>
      </c>
      <c r="B7" s="220"/>
      <c r="C7" s="162"/>
      <c r="D7" s="163"/>
      <c r="E7" s="162"/>
      <c r="H7" s="23">
        <f>H5+H6</f>
        <v>282229.20000000368</v>
      </c>
      <c r="I7" s="24">
        <f>H7-H10-H20</f>
        <v>2395.2000000036496</v>
      </c>
      <c r="J7" s="25">
        <f>I7/H7</f>
        <v>8.486719304748121E-3</v>
      </c>
    </row>
    <row r="8" spans="1:10" ht="15.75" x14ac:dyDescent="0.25">
      <c r="A8" s="26" t="s">
        <v>17</v>
      </c>
      <c r="B8" s="162" t="s">
        <v>13</v>
      </c>
      <c r="C8" s="162">
        <v>51097629</v>
      </c>
      <c r="D8" s="163" t="s">
        <v>14</v>
      </c>
      <c r="E8" s="162">
        <v>42000</v>
      </c>
      <c r="F8" s="21">
        <v>897.87710000000004</v>
      </c>
      <c r="G8" s="21">
        <v>902.90060000000005</v>
      </c>
      <c r="H8" s="18">
        <f>(G8-F8)*E8</f>
        <v>210987.00000000052</v>
      </c>
      <c r="I8" s="19"/>
      <c r="J8" s="20"/>
    </row>
    <row r="9" spans="1:10" ht="15.75" x14ac:dyDescent="0.25">
      <c r="A9" s="26" t="s">
        <v>18</v>
      </c>
      <c r="B9" s="162" t="s">
        <v>13</v>
      </c>
      <c r="C9" s="162">
        <v>51616820</v>
      </c>
      <c r="D9" s="163" t="s">
        <v>14</v>
      </c>
      <c r="E9" s="162">
        <v>42000</v>
      </c>
      <c r="F9" s="21">
        <v>3.8384999999999998</v>
      </c>
      <c r="G9" s="21">
        <v>3.8614000000000002</v>
      </c>
      <c r="H9" s="18">
        <f>(G9-F9)*E9</f>
        <v>961.8000000000153</v>
      </c>
      <c r="I9" s="19"/>
      <c r="J9" s="20"/>
    </row>
    <row r="10" spans="1:10" ht="15.75" x14ac:dyDescent="0.25">
      <c r="A10" s="219" t="s">
        <v>19</v>
      </c>
      <c r="B10" s="220"/>
      <c r="C10" s="162"/>
      <c r="D10" s="163"/>
      <c r="E10" s="162"/>
      <c r="F10" s="21"/>
      <c r="G10" s="21"/>
      <c r="H10" s="23">
        <f>H8+H9</f>
        <v>211948.80000000054</v>
      </c>
      <c r="I10" s="24">
        <f>H10-H17</f>
        <v>-10.499999999068677</v>
      </c>
      <c r="J10" s="25">
        <f>I10/H10</f>
        <v>-4.9540266324077561E-5</v>
      </c>
    </row>
    <row r="11" spans="1:10" ht="15.75" x14ac:dyDescent="0.25">
      <c r="A11" s="27" t="s">
        <v>20</v>
      </c>
      <c r="B11" s="162" t="s">
        <v>13</v>
      </c>
      <c r="C11" s="162">
        <v>51217286</v>
      </c>
      <c r="D11" s="163" t="s">
        <v>21</v>
      </c>
      <c r="E11" s="162">
        <v>21000</v>
      </c>
      <c r="F11" s="21">
        <v>714.73990000000003</v>
      </c>
      <c r="G11" s="21">
        <v>718.58879999999999</v>
      </c>
      <c r="H11" s="18">
        <f t="shared" ref="H11:H16" si="0">(G11-F11)*E11</f>
        <v>80826.899999999121</v>
      </c>
      <c r="I11" s="19"/>
      <c r="J11" s="20"/>
    </row>
    <row r="12" spans="1:10" ht="15.75" x14ac:dyDescent="0.25">
      <c r="A12" s="27" t="s">
        <v>22</v>
      </c>
      <c r="B12" s="162" t="s">
        <v>13</v>
      </c>
      <c r="C12" s="162">
        <v>51217292</v>
      </c>
      <c r="D12" s="163" t="s">
        <v>21</v>
      </c>
      <c r="E12" s="162">
        <v>21000</v>
      </c>
      <c r="F12" s="28">
        <v>2.7780999999999998</v>
      </c>
      <c r="G12" s="28">
        <v>2.8029000000000002</v>
      </c>
      <c r="H12" s="18">
        <f>(G12-F12)*E12</f>
        <v>520.80000000000791</v>
      </c>
      <c r="I12" s="19"/>
      <c r="J12" s="20"/>
    </row>
    <row r="13" spans="1:10" ht="15.75" x14ac:dyDescent="0.25">
      <c r="A13" s="27" t="s">
        <v>23</v>
      </c>
      <c r="B13" s="162" t="s">
        <v>13</v>
      </c>
      <c r="C13" s="162">
        <v>51217271</v>
      </c>
      <c r="D13" s="163" t="s">
        <v>21</v>
      </c>
      <c r="E13" s="162">
        <v>21000</v>
      </c>
      <c r="F13" s="21">
        <v>515.53020000000004</v>
      </c>
      <c r="G13" s="21">
        <v>518.83680000000004</v>
      </c>
      <c r="H13" s="18">
        <f t="shared" si="0"/>
        <v>69438.600000000064</v>
      </c>
      <c r="I13" s="19"/>
      <c r="J13" s="20"/>
    </row>
    <row r="14" spans="1:10" ht="15.75" x14ac:dyDescent="0.25">
      <c r="A14" s="27" t="s">
        <v>24</v>
      </c>
      <c r="B14" s="162" t="s">
        <v>13</v>
      </c>
      <c r="C14" s="162">
        <v>51217276</v>
      </c>
      <c r="D14" s="163" t="s">
        <v>21</v>
      </c>
      <c r="E14" s="162">
        <v>21000</v>
      </c>
      <c r="F14" s="28">
        <v>0.39589999999999997</v>
      </c>
      <c r="G14" s="28">
        <v>0.40100000000000002</v>
      </c>
      <c r="H14" s="18">
        <f>(G14-F14)*E14</f>
        <v>107.10000000000103</v>
      </c>
      <c r="I14" s="19"/>
      <c r="J14" s="20"/>
    </row>
    <row r="15" spans="1:10" ht="15.75" x14ac:dyDescent="0.25">
      <c r="A15" s="27" t="s">
        <v>25</v>
      </c>
      <c r="B15" s="162" t="s">
        <v>13</v>
      </c>
      <c r="C15" s="162">
        <v>51100990</v>
      </c>
      <c r="D15" s="163" t="s">
        <v>21</v>
      </c>
      <c r="E15" s="162">
        <v>21000</v>
      </c>
      <c r="F15" s="29">
        <v>570.02319999999997</v>
      </c>
      <c r="G15" s="29">
        <v>572.91849999999999</v>
      </c>
      <c r="H15" s="18">
        <f t="shared" si="0"/>
        <v>60801.300000000425</v>
      </c>
      <c r="I15" s="19"/>
      <c r="J15" s="20"/>
    </row>
    <row r="16" spans="1:10" ht="15.75" x14ac:dyDescent="0.25">
      <c r="A16" s="27" t="s">
        <v>26</v>
      </c>
      <c r="B16" s="162" t="s">
        <v>13</v>
      </c>
      <c r="C16" s="162">
        <v>51097622</v>
      </c>
      <c r="D16" s="163" t="s">
        <v>21</v>
      </c>
      <c r="E16" s="162">
        <v>21000</v>
      </c>
      <c r="F16" s="21">
        <v>2.4939</v>
      </c>
      <c r="G16" s="21">
        <v>2.5065</v>
      </c>
      <c r="H16" s="18">
        <f t="shared" si="0"/>
        <v>264.59999999999883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62"/>
      <c r="D17" s="163"/>
      <c r="E17" s="162"/>
      <c r="F17" s="21"/>
      <c r="G17" s="21"/>
      <c r="H17" s="23">
        <f>H11+H12+H13+H14+H15+H16</f>
        <v>211959.29999999961</v>
      </c>
      <c r="I17" s="19"/>
      <c r="J17" s="20"/>
    </row>
    <row r="18" spans="1:10" ht="15.75" x14ac:dyDescent="0.25">
      <c r="A18" s="26" t="s">
        <v>29</v>
      </c>
      <c r="B18" s="162" t="s">
        <v>13</v>
      </c>
      <c r="C18" s="162">
        <v>51097617</v>
      </c>
      <c r="D18" s="163" t="s">
        <v>30</v>
      </c>
      <c r="E18" s="162">
        <v>18000</v>
      </c>
      <c r="F18" s="30">
        <v>665.60530000000006</v>
      </c>
      <c r="G18" s="30">
        <v>669.37670000000003</v>
      </c>
      <c r="H18" s="18">
        <f>(G18-F18)*E18</f>
        <v>67885.199999999488</v>
      </c>
      <c r="I18" s="19"/>
      <c r="J18" s="20"/>
    </row>
    <row r="19" spans="1:10" ht="15.75" x14ac:dyDescent="0.25">
      <c r="A19" s="26" t="s">
        <v>31</v>
      </c>
      <c r="B19" s="162" t="s">
        <v>13</v>
      </c>
      <c r="C19" s="162">
        <v>51097655</v>
      </c>
      <c r="D19" s="163" t="s">
        <v>30</v>
      </c>
      <c r="E19" s="162">
        <v>18000</v>
      </c>
      <c r="F19" s="30">
        <v>6.1279000000000003</v>
      </c>
      <c r="G19" s="30">
        <v>6.1279000000000003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62"/>
      <c r="D20" s="163"/>
      <c r="E20" s="162"/>
      <c r="F20" s="30"/>
      <c r="G20" s="30"/>
      <c r="H20" s="23">
        <f>H18+H19</f>
        <v>67885.199999999488</v>
      </c>
      <c r="I20" s="24">
        <f>H20-H35</f>
        <v>3126.5399999996516</v>
      </c>
      <c r="J20" s="25">
        <f>I20/H20</f>
        <v>4.605628325466634E-2</v>
      </c>
    </row>
    <row r="21" spans="1:10" ht="15.75" x14ac:dyDescent="0.25">
      <c r="A21" s="15" t="s">
        <v>33</v>
      </c>
      <c r="B21" s="162" t="s">
        <v>13</v>
      </c>
      <c r="C21" s="162">
        <v>51217282</v>
      </c>
      <c r="D21" s="163" t="s">
        <v>34</v>
      </c>
      <c r="E21" s="162">
        <v>4800</v>
      </c>
      <c r="F21" s="21">
        <v>378.3732</v>
      </c>
      <c r="G21" s="21">
        <v>378.3732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62" t="s">
        <v>13</v>
      </c>
      <c r="C22" s="162">
        <v>51217274</v>
      </c>
      <c r="D22" s="163" t="s">
        <v>34</v>
      </c>
      <c r="E22" s="162">
        <v>4800</v>
      </c>
      <c r="F22" s="21">
        <v>1058.3643999999999</v>
      </c>
      <c r="G22" s="21">
        <v>1064.3644999999999</v>
      </c>
      <c r="H22" s="18">
        <f t="shared" si="1"/>
        <v>28800.47999999988</v>
      </c>
      <c r="I22" s="19"/>
      <c r="J22" s="20"/>
    </row>
    <row r="23" spans="1:10" ht="15.75" x14ac:dyDescent="0.25">
      <c r="A23" s="15" t="s">
        <v>36</v>
      </c>
      <c r="B23" s="162" t="s">
        <v>13</v>
      </c>
      <c r="C23" s="162">
        <v>51097664</v>
      </c>
      <c r="D23" s="163" t="s">
        <v>37</v>
      </c>
      <c r="E23" s="162">
        <v>600</v>
      </c>
      <c r="F23" s="21">
        <v>3.8818999999999999</v>
      </c>
      <c r="G23" s="21">
        <v>3.9039999999999999</v>
      </c>
      <c r="H23" s="18">
        <f t="shared" si="1"/>
        <v>13.260000000000005</v>
      </c>
      <c r="I23" s="19"/>
      <c r="J23" s="20"/>
    </row>
    <row r="24" spans="1:10" ht="15.75" x14ac:dyDescent="0.25">
      <c r="A24" s="15" t="s">
        <v>38</v>
      </c>
      <c r="B24" s="162" t="s">
        <v>13</v>
      </c>
      <c r="C24" s="162">
        <v>51097615</v>
      </c>
      <c r="D24" s="163" t="s">
        <v>37</v>
      </c>
      <c r="E24" s="162">
        <v>600</v>
      </c>
      <c r="F24" s="21">
        <v>26.563600000000001</v>
      </c>
      <c r="G24" s="21">
        <v>26.95</v>
      </c>
      <c r="H24" s="18">
        <f t="shared" si="1"/>
        <v>231.83999999999898</v>
      </c>
      <c r="I24" s="19"/>
      <c r="J24" s="20"/>
    </row>
    <row r="25" spans="1:10" ht="15.75" x14ac:dyDescent="0.25">
      <c r="A25" s="15" t="s">
        <v>39</v>
      </c>
      <c r="B25" s="162" t="s">
        <v>13</v>
      </c>
      <c r="C25" s="162">
        <v>51217264</v>
      </c>
      <c r="D25" s="163" t="s">
        <v>37</v>
      </c>
      <c r="E25" s="162">
        <v>600</v>
      </c>
      <c r="F25" s="21">
        <v>69.814499999999995</v>
      </c>
      <c r="G25" s="21">
        <v>70.462999999999994</v>
      </c>
      <c r="H25" s="18">
        <f t="shared" si="1"/>
        <v>389.09999999999911</v>
      </c>
      <c r="I25" s="19"/>
      <c r="J25" s="20"/>
    </row>
    <row r="26" spans="1:10" ht="15.75" x14ac:dyDescent="0.25">
      <c r="A26" s="15" t="s">
        <v>40</v>
      </c>
      <c r="B26" s="162" t="s">
        <v>13</v>
      </c>
      <c r="C26" s="162">
        <v>51217288</v>
      </c>
      <c r="D26" s="163" t="s">
        <v>37</v>
      </c>
      <c r="E26" s="162">
        <v>600</v>
      </c>
      <c r="F26" s="21">
        <v>18.977900000000002</v>
      </c>
      <c r="G26" s="21">
        <v>19.008800000000001</v>
      </c>
      <c r="H26" s="18">
        <f t="shared" si="1"/>
        <v>18.539999999999424</v>
      </c>
      <c r="I26" s="19" t="s">
        <v>27</v>
      </c>
      <c r="J26" s="20"/>
    </row>
    <row r="27" spans="1:10" ht="15.75" x14ac:dyDescent="0.25">
      <c r="A27" s="15" t="s">
        <v>41</v>
      </c>
      <c r="B27" s="162" t="s">
        <v>13</v>
      </c>
      <c r="C27" s="162">
        <v>51217279</v>
      </c>
      <c r="D27" s="163" t="s">
        <v>37</v>
      </c>
      <c r="E27" s="162">
        <v>600</v>
      </c>
      <c r="F27" s="21">
        <v>12.679600000000001</v>
      </c>
      <c r="G27" s="21">
        <v>12.733700000000001</v>
      </c>
      <c r="H27" s="18">
        <f t="shared" si="1"/>
        <v>32.460000000000022</v>
      </c>
      <c r="I27" s="19" t="s">
        <v>27</v>
      </c>
      <c r="J27" s="20"/>
    </row>
    <row r="28" spans="1:10" ht="15.75" x14ac:dyDescent="0.25">
      <c r="A28" s="15" t="s">
        <v>42</v>
      </c>
      <c r="B28" s="162" t="s">
        <v>13</v>
      </c>
      <c r="C28" s="162">
        <v>51217272</v>
      </c>
      <c r="D28" s="163" t="s">
        <v>37</v>
      </c>
      <c r="E28" s="162">
        <v>600</v>
      </c>
      <c r="F28" s="31">
        <v>12.439399999999999</v>
      </c>
      <c r="G28" s="31">
        <v>12.4925</v>
      </c>
      <c r="H28" s="18">
        <f t="shared" si="1"/>
        <v>31.860000000000355</v>
      </c>
      <c r="I28" s="19"/>
      <c r="J28" s="20"/>
    </row>
    <row r="29" spans="1:10" ht="15.75" x14ac:dyDescent="0.25">
      <c r="A29" s="15" t="s">
        <v>43</v>
      </c>
      <c r="B29" s="162" t="s">
        <v>13</v>
      </c>
      <c r="C29" s="162">
        <v>51616744</v>
      </c>
      <c r="D29" s="163">
        <f>300/5</f>
        <v>60</v>
      </c>
      <c r="E29" s="162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62" t="s">
        <v>13</v>
      </c>
      <c r="C30" s="162">
        <v>51555226</v>
      </c>
      <c r="D30" s="163">
        <f>300/5</f>
        <v>60</v>
      </c>
      <c r="E30" s="162">
        <v>3600</v>
      </c>
      <c r="F30" s="31">
        <v>316.13900000000001</v>
      </c>
      <c r="G30" s="31">
        <v>320.60140000000001</v>
      </c>
      <c r="H30" s="18">
        <f>(G30-F30)*E30</f>
        <v>16064.640000000009</v>
      </c>
      <c r="I30" s="19"/>
      <c r="J30" s="20"/>
    </row>
    <row r="31" spans="1:10" ht="15.75" x14ac:dyDescent="0.25">
      <c r="A31" s="15" t="s">
        <v>45</v>
      </c>
      <c r="B31" s="162" t="s">
        <v>13</v>
      </c>
      <c r="C31" s="162">
        <v>51097658</v>
      </c>
      <c r="D31" s="163" t="s">
        <v>34</v>
      </c>
      <c r="E31" s="162">
        <v>4800</v>
      </c>
      <c r="F31" s="31">
        <v>499.00330000000002</v>
      </c>
      <c r="G31" s="31">
        <v>502.93020000000001</v>
      </c>
      <c r="H31" s="18">
        <f t="shared" si="1"/>
        <v>18849.119999999948</v>
      </c>
      <c r="I31" s="19"/>
      <c r="J31" s="20"/>
    </row>
    <row r="32" spans="1:10" ht="15.75" x14ac:dyDescent="0.25">
      <c r="A32" s="15" t="s">
        <v>46</v>
      </c>
      <c r="B32" s="162" t="s">
        <v>13</v>
      </c>
      <c r="C32" s="162">
        <v>51097635</v>
      </c>
      <c r="D32" s="163" t="s">
        <v>34</v>
      </c>
      <c r="E32" s="162">
        <v>4800</v>
      </c>
      <c r="F32" s="31">
        <v>48.436</v>
      </c>
      <c r="G32" s="31">
        <v>48.436500000000002</v>
      </c>
      <c r="H32" s="18">
        <f t="shared" si="1"/>
        <v>2.4000000000114596</v>
      </c>
      <c r="I32" s="19"/>
      <c r="J32" s="20"/>
    </row>
    <row r="33" spans="1:10" ht="15.75" x14ac:dyDescent="0.25">
      <c r="A33" s="15" t="s">
        <v>47</v>
      </c>
      <c r="B33" s="162" t="s">
        <v>13</v>
      </c>
      <c r="C33" s="32">
        <v>51097633</v>
      </c>
      <c r="D33" s="163" t="s">
        <v>34</v>
      </c>
      <c r="E33" s="162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62" t="s">
        <v>13</v>
      </c>
      <c r="C34" s="32">
        <v>51097662</v>
      </c>
      <c r="D34" s="163" t="s">
        <v>34</v>
      </c>
      <c r="E34" s="162">
        <v>4800</v>
      </c>
      <c r="F34" s="31">
        <v>0.83540000000000003</v>
      </c>
      <c r="G34" s="31">
        <v>0.90310000000000001</v>
      </c>
      <c r="H34" s="33">
        <f t="shared" si="1"/>
        <v>324.95999999999992</v>
      </c>
      <c r="I34" s="34"/>
      <c r="J34" s="35"/>
    </row>
    <row r="35" spans="1:10" ht="15.75" x14ac:dyDescent="0.25">
      <c r="A35" s="219" t="s">
        <v>48</v>
      </c>
      <c r="B35" s="220"/>
      <c r="C35" s="162"/>
      <c r="D35" s="163"/>
      <c r="E35" s="162"/>
      <c r="F35" s="36"/>
      <c r="G35" s="36"/>
      <c r="H35" s="23">
        <f>H21+H22+H23+H24+H25+H26+H27+H28+H29+H30+H31+H32+H33+H34</f>
        <v>64758.659999999836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62" t="s">
        <v>51</v>
      </c>
      <c r="C37" s="162">
        <v>51555209</v>
      </c>
      <c r="D37" s="163" t="s">
        <v>52</v>
      </c>
      <c r="E37" s="162">
        <v>7000</v>
      </c>
      <c r="F37" s="17">
        <v>3.5739000000000001</v>
      </c>
      <c r="G37" s="17">
        <v>3.6219000000000001</v>
      </c>
      <c r="H37" s="41">
        <f>(G37-F37)*E37</f>
        <v>336.00000000000028</v>
      </c>
      <c r="I37" s="42"/>
      <c r="J37" s="14"/>
    </row>
    <row r="38" spans="1:10" ht="15.75" x14ac:dyDescent="0.25">
      <c r="A38" s="15" t="s">
        <v>53</v>
      </c>
      <c r="B38" s="162" t="s">
        <v>51</v>
      </c>
      <c r="C38" s="162">
        <v>51555209</v>
      </c>
      <c r="D38" s="163" t="s">
        <v>52</v>
      </c>
      <c r="E38" s="162">
        <v>7000</v>
      </c>
      <c r="F38" s="21">
        <v>8.4002999999999997</v>
      </c>
      <c r="G38" s="21">
        <v>8.4344999999999999</v>
      </c>
      <c r="H38" s="18">
        <f>(G38-F38)*E38</f>
        <v>239.40000000000163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62" t="s">
        <v>51</v>
      </c>
      <c r="C40" s="162">
        <v>51097674</v>
      </c>
      <c r="D40" s="162" t="s">
        <v>14</v>
      </c>
      <c r="E40" s="162">
        <v>7200</v>
      </c>
      <c r="F40" s="21">
        <v>483.2586</v>
      </c>
      <c r="G40" s="21">
        <v>485.5992</v>
      </c>
      <c r="H40" s="18">
        <f>(G40-F40)*E40</f>
        <v>16852.319999999963</v>
      </c>
      <c r="I40" s="47"/>
      <c r="J40" s="20"/>
    </row>
    <row r="41" spans="1:10" ht="15.75" x14ac:dyDescent="0.25">
      <c r="A41" s="27" t="s">
        <v>56</v>
      </c>
      <c r="B41" s="162" t="s">
        <v>51</v>
      </c>
      <c r="C41" s="162">
        <v>51259257</v>
      </c>
      <c r="D41" s="162" t="s">
        <v>14</v>
      </c>
      <c r="E41" s="162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62"/>
      <c r="C42" s="162"/>
      <c r="D42" s="162"/>
      <c r="E42" s="162"/>
      <c r="F42" s="21"/>
      <c r="G42" s="21"/>
      <c r="H42" s="48">
        <f>H40+H41</f>
        <v>16852.319999999963</v>
      </c>
      <c r="I42" s="24">
        <f>H42-H50</f>
        <v>-101.60000000025684</v>
      </c>
      <c r="J42" s="25">
        <f>I42/H42</f>
        <v>-6.0288435064286142E-3</v>
      </c>
    </row>
    <row r="43" spans="1:10" ht="15.75" x14ac:dyDescent="0.25">
      <c r="A43" s="15" t="s">
        <v>58</v>
      </c>
      <c r="B43" s="162"/>
      <c r="C43" s="162"/>
      <c r="D43" s="163"/>
      <c r="E43" s="162"/>
      <c r="H43" s="18"/>
      <c r="I43" s="43"/>
      <c r="J43" s="20"/>
    </row>
    <row r="44" spans="1:10" ht="15.75" x14ac:dyDescent="0.25">
      <c r="A44" s="27" t="s">
        <v>59</v>
      </c>
      <c r="B44" s="162" t="s">
        <v>51</v>
      </c>
      <c r="C44" s="32">
        <v>51097648</v>
      </c>
      <c r="D44" s="162" t="s">
        <v>52</v>
      </c>
      <c r="E44" s="162">
        <v>1200</v>
      </c>
      <c r="F44" s="21">
        <v>395.07040000000001</v>
      </c>
      <c r="G44" s="21">
        <v>397.25990000000002</v>
      </c>
      <c r="H44" s="33">
        <f>(G44-F44)*E44</f>
        <v>2627.4000000000115</v>
      </c>
      <c r="I44" s="43"/>
      <c r="J44" s="20"/>
    </row>
    <row r="45" spans="1:10" ht="15.75" x14ac:dyDescent="0.25">
      <c r="A45" s="27" t="s">
        <v>60</v>
      </c>
      <c r="B45" s="162" t="s">
        <v>51</v>
      </c>
      <c r="C45" s="32">
        <v>50555043</v>
      </c>
      <c r="D45" s="162" t="s">
        <v>52</v>
      </c>
      <c r="E45" s="162">
        <v>1200</v>
      </c>
      <c r="F45" s="21">
        <v>1657.6153999999999</v>
      </c>
      <c r="G45" s="21">
        <v>1665.461</v>
      </c>
      <c r="H45" s="33">
        <f>(G45-F45)*E45</f>
        <v>9414.7200000001249</v>
      </c>
      <c r="I45" s="43"/>
      <c r="J45" s="20"/>
    </row>
    <row r="46" spans="1:10" ht="15.75" x14ac:dyDescent="0.25">
      <c r="A46" s="27" t="s">
        <v>61</v>
      </c>
      <c r="B46" s="162" t="s">
        <v>51</v>
      </c>
      <c r="C46" s="32">
        <v>51259336</v>
      </c>
      <c r="D46" s="162" t="s">
        <v>62</v>
      </c>
      <c r="E46" s="162">
        <v>2400</v>
      </c>
      <c r="F46" s="21">
        <v>3.508</v>
      </c>
      <c r="G46" s="21">
        <v>3.5217000000000001</v>
      </c>
      <c r="H46" s="33">
        <f>(G46-F46)*E46</f>
        <v>32.880000000000109</v>
      </c>
      <c r="I46" s="43"/>
      <c r="J46" s="20"/>
    </row>
    <row r="47" spans="1:10" ht="15.75" x14ac:dyDescent="0.25">
      <c r="A47" s="27" t="s">
        <v>63</v>
      </c>
      <c r="B47" s="162" t="s">
        <v>51</v>
      </c>
      <c r="C47" s="32">
        <v>51259266</v>
      </c>
      <c r="D47" s="162" t="s">
        <v>52</v>
      </c>
      <c r="E47" s="162">
        <v>1200</v>
      </c>
      <c r="F47" s="21">
        <v>804.86379999999997</v>
      </c>
      <c r="G47" s="21">
        <v>808.57460000000003</v>
      </c>
      <c r="H47" s="33">
        <f>(G47-F47)*E47</f>
        <v>4452.9600000000755</v>
      </c>
      <c r="I47" s="43"/>
      <c r="J47" s="20"/>
    </row>
    <row r="48" spans="1:10" ht="15.75" x14ac:dyDescent="0.25">
      <c r="A48" s="27" t="s">
        <v>64</v>
      </c>
      <c r="B48" s="162" t="s">
        <v>51</v>
      </c>
      <c r="C48" s="32">
        <v>51431336</v>
      </c>
      <c r="D48" s="162" t="s">
        <v>52</v>
      </c>
      <c r="E48" s="162">
        <v>1200</v>
      </c>
      <c r="F48" s="21">
        <v>42.752299999999998</v>
      </c>
      <c r="G48" s="21">
        <v>43.065600000000003</v>
      </c>
      <c r="H48" s="33">
        <f>(G48-F48)*E48</f>
        <v>375.96000000000629</v>
      </c>
      <c r="I48" s="43"/>
      <c r="J48" s="20"/>
    </row>
    <row r="49" spans="1:10" ht="15.75" x14ac:dyDescent="0.25">
      <c r="A49" s="15" t="s">
        <v>65</v>
      </c>
      <c r="B49" s="162" t="s">
        <v>66</v>
      </c>
      <c r="C49" s="162">
        <v>49174</v>
      </c>
      <c r="D49" s="163" t="s">
        <v>52</v>
      </c>
      <c r="E49" s="162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16953.92000000022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62" t="s">
        <v>51</v>
      </c>
      <c r="C52" s="162">
        <v>51097603</v>
      </c>
      <c r="D52" s="163" t="s">
        <v>52</v>
      </c>
      <c r="E52" s="162">
        <v>7000</v>
      </c>
      <c r="F52" s="17">
        <v>1602.5794000000001</v>
      </c>
      <c r="G52" s="17">
        <v>1611.4916000000001</v>
      </c>
      <c r="H52" s="18">
        <f>(G52-F52)*E52</f>
        <v>62385.399999999892</v>
      </c>
      <c r="I52" s="43"/>
      <c r="J52" s="20"/>
    </row>
    <row r="53" spans="1:10" ht="15.75" x14ac:dyDescent="0.25">
      <c r="A53" s="27" t="s">
        <v>71</v>
      </c>
      <c r="B53" s="162" t="s">
        <v>51</v>
      </c>
      <c r="C53" s="162">
        <v>51097590</v>
      </c>
      <c r="D53" s="163" t="s">
        <v>52</v>
      </c>
      <c r="E53" s="162">
        <v>7000</v>
      </c>
      <c r="F53" s="21">
        <v>9.2989999999999995</v>
      </c>
      <c r="G53" s="21">
        <v>9.3742000000000001</v>
      </c>
      <c r="H53" s="18">
        <f>(G53-F53)*E53</f>
        <v>526.40000000000418</v>
      </c>
      <c r="I53" s="43"/>
      <c r="J53" s="20"/>
    </row>
    <row r="54" spans="1:10" ht="15.75" x14ac:dyDescent="0.25">
      <c r="A54" s="15" t="s">
        <v>65</v>
      </c>
      <c r="B54" s="162" t="s">
        <v>66</v>
      </c>
      <c r="C54" s="162">
        <v>49174</v>
      </c>
      <c r="D54" s="163" t="s">
        <v>52</v>
      </c>
      <c r="E54" s="162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62"/>
      <c r="D55" s="163"/>
      <c r="E55" s="162"/>
      <c r="F55" s="21"/>
      <c r="G55" s="21"/>
      <c r="H55" s="48">
        <f>H52+H53+H54</f>
        <v>63011.799999999894</v>
      </c>
      <c r="I55" s="47"/>
      <c r="J55" s="59"/>
    </row>
    <row r="56" spans="1:10" ht="15.75" x14ac:dyDescent="0.25">
      <c r="A56" s="27" t="s">
        <v>73</v>
      </c>
      <c r="B56" s="162" t="s">
        <v>51</v>
      </c>
      <c r="C56" s="162">
        <v>51100980</v>
      </c>
      <c r="D56" s="162" t="s">
        <v>74</v>
      </c>
      <c r="E56" s="162">
        <v>12000</v>
      </c>
      <c r="F56" s="21">
        <v>942.48630000000003</v>
      </c>
      <c r="G56" s="21">
        <v>947.74400000000003</v>
      </c>
      <c r="H56" s="18">
        <f>(G56-F56)*E56</f>
        <v>63092.399999999994</v>
      </c>
      <c r="I56" s="47"/>
      <c r="J56" s="58"/>
    </row>
    <row r="57" spans="1:10" ht="15.75" x14ac:dyDescent="0.25">
      <c r="A57" s="27" t="s">
        <v>75</v>
      </c>
      <c r="B57" s="162" t="s">
        <v>51</v>
      </c>
      <c r="C57" s="162">
        <v>51097623</v>
      </c>
      <c r="D57" s="162" t="s">
        <v>74</v>
      </c>
      <c r="E57" s="162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62"/>
      <c r="C58" s="162"/>
      <c r="D58" s="162"/>
      <c r="E58" s="162"/>
      <c r="F58" s="21"/>
      <c r="G58" s="21"/>
      <c r="H58" s="48">
        <f>H56+H57</f>
        <v>63092.399999999994</v>
      </c>
      <c r="I58" s="61">
        <f>H55-H65-H54</f>
        <v>-299.27999999943859</v>
      </c>
      <c r="J58" s="25">
        <f>I58/H58</f>
        <v>-4.743519029224417E-3</v>
      </c>
    </row>
    <row r="59" spans="1:10" ht="15.75" x14ac:dyDescent="0.25">
      <c r="A59" s="27" t="s">
        <v>77</v>
      </c>
      <c r="B59" s="162" t="s">
        <v>51</v>
      </c>
      <c r="C59" s="162">
        <v>51097675</v>
      </c>
      <c r="D59" s="162" t="s">
        <v>34</v>
      </c>
      <c r="E59" s="162">
        <v>4800</v>
      </c>
      <c r="F59" s="21">
        <v>364.8227</v>
      </c>
      <c r="G59" s="21">
        <v>368.0788</v>
      </c>
      <c r="H59" s="18">
        <f t="shared" ref="H59:H64" si="2">(G59-F59)*E59</f>
        <v>15629.280000000017</v>
      </c>
      <c r="I59" s="62"/>
      <c r="J59" s="59"/>
    </row>
    <row r="60" spans="1:10" ht="15.75" x14ac:dyDescent="0.25">
      <c r="A60" s="27" t="s">
        <v>78</v>
      </c>
      <c r="B60" s="162" t="s">
        <v>51</v>
      </c>
      <c r="C60" s="162">
        <v>51100997</v>
      </c>
      <c r="D60" s="162" t="s">
        <v>21</v>
      </c>
      <c r="E60" s="162">
        <v>3600</v>
      </c>
      <c r="F60" s="21">
        <v>1210.6409000000001</v>
      </c>
      <c r="G60" s="21">
        <v>1216.4766999999999</v>
      </c>
      <c r="H60" s="18">
        <f t="shared" si="2"/>
        <v>21008.879999999408</v>
      </c>
      <c r="I60" s="62"/>
      <c r="J60" s="59"/>
    </row>
    <row r="61" spans="1:10" ht="15.75" x14ac:dyDescent="0.25">
      <c r="A61" s="27" t="s">
        <v>79</v>
      </c>
      <c r="B61" s="162" t="s">
        <v>51</v>
      </c>
      <c r="C61" s="162">
        <v>51555218</v>
      </c>
      <c r="D61" s="162">
        <f>400/5</f>
        <v>80</v>
      </c>
      <c r="E61" s="162">
        <v>4800</v>
      </c>
      <c r="F61" s="21">
        <v>40.935299999999998</v>
      </c>
      <c r="G61" s="21">
        <v>41.386899999999997</v>
      </c>
      <c r="H61" s="18">
        <f t="shared" si="2"/>
        <v>2167.6799999999957</v>
      </c>
      <c r="I61" s="62"/>
      <c r="J61" s="59"/>
    </row>
    <row r="62" spans="1:10" ht="15.75" x14ac:dyDescent="0.25">
      <c r="A62" s="27" t="s">
        <v>80</v>
      </c>
      <c r="B62" s="162" t="s">
        <v>51</v>
      </c>
      <c r="C62" s="162">
        <v>51555151</v>
      </c>
      <c r="D62" s="162">
        <f>400/5</f>
        <v>80</v>
      </c>
      <c r="E62" s="162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62" t="s">
        <v>51</v>
      </c>
      <c r="C63" s="162">
        <v>51097599</v>
      </c>
      <c r="D63" s="162" t="s">
        <v>21</v>
      </c>
      <c r="E63" s="162">
        <v>3600</v>
      </c>
      <c r="F63" s="21">
        <v>850.17060000000004</v>
      </c>
      <c r="G63" s="21">
        <v>853.35850000000005</v>
      </c>
      <c r="H63" s="18">
        <f t="shared" si="2"/>
        <v>11476.440000000048</v>
      </c>
      <c r="I63" s="62"/>
      <c r="J63" s="59"/>
    </row>
    <row r="64" spans="1:10" ht="15.75" x14ac:dyDescent="0.25">
      <c r="A64" s="27" t="s">
        <v>82</v>
      </c>
      <c r="B64" s="162" t="s">
        <v>51</v>
      </c>
      <c r="C64" s="162">
        <v>51097620</v>
      </c>
      <c r="D64" s="162" t="s">
        <v>34</v>
      </c>
      <c r="E64" s="162">
        <v>4800</v>
      </c>
      <c r="F64" s="21">
        <v>393.52350000000001</v>
      </c>
      <c r="G64" s="21">
        <v>396.21699999999998</v>
      </c>
      <c r="H64" s="18">
        <f t="shared" si="2"/>
        <v>12928.799999999865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63211.079999999332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62" t="s">
        <v>51</v>
      </c>
      <c r="C67" s="9">
        <v>51259238</v>
      </c>
      <c r="D67" s="74" t="s">
        <v>52</v>
      </c>
      <c r="E67" s="74">
        <v>7000</v>
      </c>
      <c r="F67" s="75">
        <v>430.89179999999999</v>
      </c>
      <c r="G67" s="75">
        <v>433.72370000000001</v>
      </c>
      <c r="H67" s="76">
        <f>(G67-F67)*E67</f>
        <v>19823.30000000013</v>
      </c>
      <c r="I67" s="77"/>
      <c r="J67" s="78"/>
    </row>
    <row r="68" spans="1:10" ht="15.75" x14ac:dyDescent="0.25">
      <c r="A68" s="27" t="s">
        <v>85</v>
      </c>
      <c r="B68" s="162" t="s">
        <v>51</v>
      </c>
      <c r="C68" s="162">
        <v>51259324</v>
      </c>
      <c r="D68" s="163" t="s">
        <v>52</v>
      </c>
      <c r="E68" s="163">
        <v>7000</v>
      </c>
      <c r="F68" s="21">
        <v>331.48689999999999</v>
      </c>
      <c r="G68" s="21">
        <v>333.51190000000003</v>
      </c>
      <c r="H68" s="18">
        <f>(G68-F68)*E68</f>
        <v>14175.000000000238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62">
        <v>51491618</v>
      </c>
      <c r="D69" s="163" t="s">
        <v>62</v>
      </c>
      <c r="E69" s="162">
        <v>40</v>
      </c>
      <c r="F69" s="28">
        <v>765.505</v>
      </c>
      <c r="G69" s="28">
        <v>775.76549999999997</v>
      </c>
      <c r="H69" s="18">
        <f>(G69-F69)*E69</f>
        <v>410.41999999999916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62">
        <v>51491624</v>
      </c>
      <c r="D70" s="163" t="s">
        <v>62</v>
      </c>
      <c r="E70" s="162">
        <v>40</v>
      </c>
      <c r="F70" s="28">
        <v>107.38800000000001</v>
      </c>
      <c r="G70" s="28">
        <v>108.50749999999999</v>
      </c>
      <c r="H70" s="18">
        <f>(G70-F70)*E70</f>
        <v>44.779999999999518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33998.300000000367</v>
      </c>
      <c r="I71" s="85">
        <f>H71-H74-H69-H70</f>
        <v>-1169.299999999859</v>
      </c>
      <c r="J71" s="25">
        <f>I71/H71</f>
        <v>-3.4392896115389489E-2</v>
      </c>
    </row>
    <row r="72" spans="1:10" ht="15.75" x14ac:dyDescent="0.25">
      <c r="A72" s="27" t="s">
        <v>90</v>
      </c>
      <c r="B72" s="162" t="s">
        <v>51</v>
      </c>
      <c r="C72" s="86">
        <v>51097588</v>
      </c>
      <c r="D72" s="163" t="s">
        <v>74</v>
      </c>
      <c r="E72" s="162">
        <v>12000</v>
      </c>
      <c r="F72" s="21">
        <v>261.12689999999998</v>
      </c>
      <c r="G72" s="21">
        <v>262.791</v>
      </c>
      <c r="H72" s="18">
        <f>(G72-F72)*E72</f>
        <v>19969.20000000023</v>
      </c>
      <c r="I72" s="51"/>
      <c r="J72" s="58"/>
    </row>
    <row r="73" spans="1:10" ht="15.75" x14ac:dyDescent="0.25">
      <c r="A73" s="27" t="s">
        <v>91</v>
      </c>
      <c r="B73" s="162" t="s">
        <v>51</v>
      </c>
      <c r="C73" s="86">
        <v>51431335</v>
      </c>
      <c r="D73" s="163" t="s">
        <v>74</v>
      </c>
      <c r="E73" s="162">
        <v>12000</v>
      </c>
      <c r="F73" s="21">
        <v>203.72739999999999</v>
      </c>
      <c r="G73" s="21">
        <v>204.95599999999999</v>
      </c>
      <c r="H73" s="18">
        <f>(G73-F73)*E73</f>
        <v>14743.2</v>
      </c>
      <c r="I73" s="51"/>
      <c r="J73" s="58"/>
    </row>
    <row r="74" spans="1:10" ht="15.75" x14ac:dyDescent="0.25">
      <c r="A74" s="87" t="s">
        <v>92</v>
      </c>
      <c r="B74" s="162" t="s">
        <v>27</v>
      </c>
      <c r="C74" s="162"/>
      <c r="D74" s="163"/>
      <c r="E74" s="162"/>
      <c r="F74" s="21"/>
      <c r="G74" s="21"/>
      <c r="H74" s="48">
        <f>H72+ H73</f>
        <v>34712.400000000227</v>
      </c>
      <c r="I74" s="85">
        <f>H74-H82</f>
        <v>-92.27999999999156</v>
      </c>
      <c r="J74" s="25">
        <f>I74/H74</f>
        <v>-2.6584160127214184E-3</v>
      </c>
    </row>
    <row r="75" spans="1:10" ht="15.75" x14ac:dyDescent="0.25">
      <c r="A75" s="27" t="s">
        <v>93</v>
      </c>
      <c r="B75" s="162" t="s">
        <v>51</v>
      </c>
      <c r="C75" s="86">
        <v>51097676</v>
      </c>
      <c r="D75" s="88" t="s">
        <v>62</v>
      </c>
      <c r="E75" s="162">
        <v>2400</v>
      </c>
      <c r="F75" s="21">
        <v>523.51829999999995</v>
      </c>
      <c r="G75" s="21">
        <v>527.56029999999998</v>
      </c>
      <c r="H75" s="18">
        <f>(G75-F75)*E75</f>
        <v>9700.800000000072</v>
      </c>
      <c r="I75" s="51"/>
      <c r="J75" s="58"/>
    </row>
    <row r="76" spans="1:10" ht="15.75" x14ac:dyDescent="0.25">
      <c r="A76" s="27" t="s">
        <v>94</v>
      </c>
      <c r="B76" s="162" t="s">
        <v>51</v>
      </c>
      <c r="C76" s="86">
        <v>51431355</v>
      </c>
      <c r="D76" s="163" t="s">
        <v>21</v>
      </c>
      <c r="E76" s="163">
        <v>3600</v>
      </c>
      <c r="F76" s="21">
        <v>305.36419999999998</v>
      </c>
      <c r="G76" s="21">
        <v>306.54309999999998</v>
      </c>
      <c r="H76" s="18">
        <f>(G76-F76)*E76</f>
        <v>4244.0399999999954</v>
      </c>
      <c r="I76" s="51"/>
      <c r="J76" s="52"/>
    </row>
    <row r="77" spans="1:10" ht="15.75" x14ac:dyDescent="0.25">
      <c r="A77" s="27" t="s">
        <v>95</v>
      </c>
      <c r="B77" s="162" t="s">
        <v>51</v>
      </c>
      <c r="C77" s="86">
        <v>51259331</v>
      </c>
      <c r="D77" s="88" t="s">
        <v>37</v>
      </c>
      <c r="E77" s="162">
        <v>600</v>
      </c>
      <c r="F77" s="21">
        <v>120.3985</v>
      </c>
      <c r="G77" s="21">
        <v>121.4281</v>
      </c>
      <c r="H77" s="18">
        <f>(G77-F77)*E77</f>
        <v>617.76000000000124</v>
      </c>
      <c r="I77" s="51"/>
      <c r="J77" s="52"/>
    </row>
    <row r="78" spans="1:10" ht="15.75" x14ac:dyDescent="0.25">
      <c r="A78" s="27" t="s">
        <v>96</v>
      </c>
      <c r="B78" s="162" t="s">
        <v>51</v>
      </c>
      <c r="C78" s="86">
        <v>51259326</v>
      </c>
      <c r="D78" s="88" t="s">
        <v>14</v>
      </c>
      <c r="E78" s="162">
        <v>7200</v>
      </c>
      <c r="F78" s="21">
        <v>265.03019999999998</v>
      </c>
      <c r="G78" s="21">
        <v>266.46940000000001</v>
      </c>
      <c r="H78" s="18">
        <f>(G78-F78)*E78</f>
        <v>10362.240000000202</v>
      </c>
      <c r="I78" s="51"/>
      <c r="J78" s="52"/>
    </row>
    <row r="79" spans="1:10" ht="15.75" x14ac:dyDescent="0.25">
      <c r="A79" s="27" t="s">
        <v>97</v>
      </c>
      <c r="B79" s="162" t="s">
        <v>51</v>
      </c>
      <c r="C79" s="86">
        <v>51431351</v>
      </c>
      <c r="D79" s="88" t="s">
        <v>14</v>
      </c>
      <c r="E79" s="162">
        <v>7200</v>
      </c>
      <c r="F79" s="21">
        <v>173.88220000000001</v>
      </c>
      <c r="G79" s="21">
        <v>175.2544</v>
      </c>
      <c r="H79" s="18">
        <f>(G79-F79)*E79</f>
        <v>9879.8399999999456</v>
      </c>
      <c r="I79" s="51"/>
      <c r="J79" s="52"/>
    </row>
    <row r="80" spans="1:10" ht="15.75" x14ac:dyDescent="0.25">
      <c r="A80" s="89" t="s">
        <v>98</v>
      </c>
      <c r="B80" s="162" t="s">
        <v>51</v>
      </c>
      <c r="C80" s="90">
        <v>51097666</v>
      </c>
      <c r="D80" s="88" t="s">
        <v>62</v>
      </c>
      <c r="E80" s="162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62" t="s">
        <v>51</v>
      </c>
      <c r="C81" s="90">
        <v>51259323</v>
      </c>
      <c r="D81" s="88" t="s">
        <v>62</v>
      </c>
      <c r="E81" s="162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34804.680000000219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62" t="s">
        <v>51</v>
      </c>
      <c r="C84" s="106">
        <v>51431297</v>
      </c>
      <c r="D84" s="163" t="s">
        <v>52</v>
      </c>
      <c r="E84" s="100">
        <v>7000</v>
      </c>
      <c r="F84" s="17">
        <v>211.4588</v>
      </c>
      <c r="G84" s="17">
        <v>213.93299999999999</v>
      </c>
      <c r="H84" s="18">
        <f>(G84-F84)*E84</f>
        <v>17319.399999999972</v>
      </c>
      <c r="I84" s="107"/>
      <c r="J84" s="108"/>
    </row>
    <row r="85" spans="1:10" ht="15.75" x14ac:dyDescent="0.25">
      <c r="A85" s="105" t="s">
        <v>85</v>
      </c>
      <c r="B85" s="162" t="s">
        <v>51</v>
      </c>
      <c r="C85" s="106">
        <v>51431332</v>
      </c>
      <c r="D85" s="163" t="s">
        <v>52</v>
      </c>
      <c r="E85" s="100">
        <v>7000</v>
      </c>
      <c r="F85" s="21">
        <v>305.45409999999998</v>
      </c>
      <c r="G85" s="21">
        <v>305.59460000000001</v>
      </c>
      <c r="H85" s="18">
        <f>(G85-F85)*E85</f>
        <v>983.50000000021964</v>
      </c>
      <c r="I85" s="162"/>
      <c r="J85" s="58"/>
    </row>
    <row r="86" spans="1:10" ht="15.75" x14ac:dyDescent="0.25">
      <c r="A86" s="27" t="s">
        <v>86</v>
      </c>
      <c r="B86" s="162" t="s">
        <v>102</v>
      </c>
      <c r="C86" s="109">
        <v>150773</v>
      </c>
      <c r="D86" s="163" t="s">
        <v>52</v>
      </c>
      <c r="E86" s="109">
        <v>20</v>
      </c>
      <c r="F86" s="17">
        <v>15275.8</v>
      </c>
      <c r="G86" s="17">
        <v>15283.9</v>
      </c>
      <c r="H86" s="18">
        <f>(G86-F86)*E86</f>
        <v>162.00000000000728</v>
      </c>
      <c r="I86" s="51"/>
      <c r="J86" s="58"/>
    </row>
    <row r="87" spans="1:10" ht="15.75" x14ac:dyDescent="0.25">
      <c r="A87" s="27" t="s">
        <v>88</v>
      </c>
      <c r="B87" s="162" t="s">
        <v>102</v>
      </c>
      <c r="C87" s="109">
        <v>150791</v>
      </c>
      <c r="D87" s="163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64"/>
      <c r="C88" s="32"/>
      <c r="D88" s="82"/>
      <c r="E88" s="82"/>
      <c r="F88" s="21"/>
      <c r="G88" s="21"/>
      <c r="H88" s="48">
        <f>H84+H85</f>
        <v>18302.900000000191</v>
      </c>
      <c r="I88" s="85">
        <f>H88-H91-H86-H87</f>
        <v>428.42000000004191</v>
      </c>
      <c r="J88" s="25">
        <f>I88/H88</f>
        <v>2.3407219620936434E-2</v>
      </c>
    </row>
    <row r="89" spans="1:10" ht="15.75" x14ac:dyDescent="0.25">
      <c r="A89" s="27" t="s">
        <v>103</v>
      </c>
      <c r="B89" s="162" t="s">
        <v>51</v>
      </c>
      <c r="C89" s="106">
        <v>51431342</v>
      </c>
      <c r="D89" s="88" t="s">
        <v>34</v>
      </c>
      <c r="E89" s="162">
        <v>4800</v>
      </c>
      <c r="F89" s="21">
        <v>299.09739999999999</v>
      </c>
      <c r="G89" s="21">
        <v>302.65960000000001</v>
      </c>
      <c r="H89" s="18">
        <f>(G89-F89)*E89</f>
        <v>17098.560000000089</v>
      </c>
      <c r="I89" s="51"/>
      <c r="J89" s="52"/>
    </row>
    <row r="90" spans="1:10" ht="15.75" x14ac:dyDescent="0.25">
      <c r="A90" s="27" t="s">
        <v>104</v>
      </c>
      <c r="B90" s="162" t="s">
        <v>51</v>
      </c>
      <c r="C90" s="106">
        <v>51431343</v>
      </c>
      <c r="D90" s="88" t="s">
        <v>34</v>
      </c>
      <c r="E90" s="162">
        <v>4800</v>
      </c>
      <c r="F90" s="21">
        <v>433.21339999999998</v>
      </c>
      <c r="G90" s="21">
        <v>433.34129999999999</v>
      </c>
      <c r="H90" s="18">
        <f>(G90-F90)*E90</f>
        <v>613.92000000005282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17712.480000000141</v>
      </c>
      <c r="I91" s="85">
        <f>H91-H99</f>
        <v>-97.439999999907741</v>
      </c>
      <c r="J91" s="25">
        <f>I91/H91</f>
        <v>-5.5012059293733546E-3</v>
      </c>
    </row>
    <row r="92" spans="1:10" ht="15.75" x14ac:dyDescent="0.25">
      <c r="A92" s="27" t="s">
        <v>106</v>
      </c>
      <c r="B92" s="162" t="s">
        <v>51</v>
      </c>
      <c r="C92" s="106">
        <v>51431347</v>
      </c>
      <c r="D92" s="163" t="s">
        <v>52</v>
      </c>
      <c r="E92" s="162">
        <v>1200</v>
      </c>
      <c r="F92" s="21">
        <v>958.84389999999996</v>
      </c>
      <c r="G92" s="21">
        <v>958.84389999999996</v>
      </c>
      <c r="H92" s="18">
        <f t="shared" ref="H92:H100" si="4">(G92-F92)*E92</f>
        <v>0</v>
      </c>
      <c r="I92" s="51"/>
      <c r="J92" s="52"/>
    </row>
    <row r="93" spans="1:10" ht="15.75" x14ac:dyDescent="0.25">
      <c r="A93" s="27" t="s">
        <v>107</v>
      </c>
      <c r="B93" s="162" t="s">
        <v>51</v>
      </c>
      <c r="C93" s="106">
        <v>51431339</v>
      </c>
      <c r="D93" s="163" t="s">
        <v>52</v>
      </c>
      <c r="E93" s="162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62" t="s">
        <v>51</v>
      </c>
      <c r="C94" s="106">
        <v>51217244</v>
      </c>
      <c r="D94" s="162" t="s">
        <v>37</v>
      </c>
      <c r="E94" s="162">
        <v>600</v>
      </c>
      <c r="F94" s="30">
        <v>251.4511</v>
      </c>
      <c r="G94" s="30">
        <v>252.35599999999999</v>
      </c>
      <c r="H94" s="18">
        <f t="shared" si="4"/>
        <v>542.93999999999869</v>
      </c>
      <c r="I94" s="51"/>
      <c r="J94" s="52"/>
    </row>
    <row r="95" spans="1:10" ht="15.75" x14ac:dyDescent="0.25">
      <c r="A95" s="27" t="s">
        <v>109</v>
      </c>
      <c r="B95" s="162" t="s">
        <v>51</v>
      </c>
      <c r="C95" s="106">
        <v>51217267</v>
      </c>
      <c r="D95" s="88" t="s">
        <v>62</v>
      </c>
      <c r="E95" s="162">
        <v>2400</v>
      </c>
      <c r="F95" s="30">
        <v>18.851500000000001</v>
      </c>
      <c r="G95" s="30">
        <v>18.883099999999999</v>
      </c>
      <c r="H95" s="18">
        <f t="shared" si="4"/>
        <v>75.839999999993779</v>
      </c>
      <c r="I95" s="51"/>
      <c r="J95" s="52"/>
    </row>
    <row r="96" spans="1:10" ht="15.75" x14ac:dyDescent="0.25">
      <c r="A96" s="27" t="s">
        <v>110</v>
      </c>
      <c r="B96" s="162" t="s">
        <v>51</v>
      </c>
      <c r="C96" s="162">
        <v>51555165</v>
      </c>
      <c r="D96" s="163" t="s">
        <v>52</v>
      </c>
      <c r="E96" s="162">
        <v>1200</v>
      </c>
      <c r="F96" s="30">
        <v>700.10429999999997</v>
      </c>
      <c r="G96" s="30">
        <v>708.69380000000001</v>
      </c>
      <c r="H96" s="18">
        <f t="shared" si="4"/>
        <v>10307.400000000052</v>
      </c>
      <c r="I96" s="51" t="s">
        <v>27</v>
      </c>
      <c r="J96" s="52"/>
    </row>
    <row r="97" spans="1:10" ht="15.75" x14ac:dyDescent="0.25">
      <c r="A97" s="113" t="s">
        <v>111</v>
      </c>
      <c r="B97" s="162" t="s">
        <v>51</v>
      </c>
      <c r="C97" s="106">
        <v>51431346</v>
      </c>
      <c r="D97" s="114" t="s">
        <v>37</v>
      </c>
      <c r="E97" s="114">
        <v>600</v>
      </c>
      <c r="F97" s="30">
        <v>292.4658</v>
      </c>
      <c r="G97" s="30">
        <v>294.68430000000001</v>
      </c>
      <c r="H97" s="115">
        <f t="shared" si="4"/>
        <v>1331.1000000000035</v>
      </c>
      <c r="I97" s="116"/>
      <c r="J97" s="117"/>
    </row>
    <row r="98" spans="1:10" ht="15.75" x14ac:dyDescent="0.25">
      <c r="A98" s="27" t="s">
        <v>112</v>
      </c>
      <c r="B98" s="162" t="s">
        <v>51</v>
      </c>
      <c r="C98" s="106">
        <v>51431352</v>
      </c>
      <c r="D98" s="88" t="s">
        <v>21</v>
      </c>
      <c r="E98" s="162">
        <v>3600</v>
      </c>
      <c r="F98" s="21">
        <v>157.24789999999999</v>
      </c>
      <c r="G98" s="21">
        <v>158.74529999999999</v>
      </c>
      <c r="H98" s="18">
        <f t="shared" si="4"/>
        <v>5390.6399999999958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17809.920000000049</v>
      </c>
      <c r="I99" s="51"/>
      <c r="J99" s="52"/>
    </row>
    <row r="100" spans="1:10" ht="15.75" x14ac:dyDescent="0.25">
      <c r="A100" s="45" t="s">
        <v>113</v>
      </c>
      <c r="B100" s="162" t="s">
        <v>51</v>
      </c>
      <c r="C100" s="120">
        <v>51431357</v>
      </c>
      <c r="D100" s="163" t="s">
        <v>62</v>
      </c>
      <c r="E100" s="163">
        <v>14000</v>
      </c>
      <c r="F100" s="28">
        <v>677.96050000000002</v>
      </c>
      <c r="G100" s="28">
        <v>680.65250000000003</v>
      </c>
      <c r="H100" s="121">
        <f t="shared" si="4"/>
        <v>37688.000000000102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E1" workbookViewId="0">
      <selection activeCell="D42" sqref="D42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139</v>
      </c>
      <c r="G3" s="4" t="s">
        <v>140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65" t="s">
        <v>13</v>
      </c>
      <c r="C5" s="165">
        <v>51555166</v>
      </c>
      <c r="D5" s="165" t="s">
        <v>14</v>
      </c>
      <c r="E5" s="165">
        <v>132000</v>
      </c>
      <c r="F5" s="17">
        <v>2.3715999999999999</v>
      </c>
      <c r="G5" s="17">
        <v>2.3834</v>
      </c>
      <c r="H5" s="18">
        <f>(G5-F5)*E5</f>
        <v>1557.6000000000042</v>
      </c>
      <c r="I5" s="19"/>
      <c r="J5" s="20"/>
    </row>
    <row r="6" spans="1:10" ht="15.75" x14ac:dyDescent="0.25">
      <c r="A6" s="15" t="s">
        <v>15</v>
      </c>
      <c r="B6" s="165" t="s">
        <v>13</v>
      </c>
      <c r="C6" s="165">
        <v>51555191</v>
      </c>
      <c r="D6" s="165" t="s">
        <v>14</v>
      </c>
      <c r="E6" s="165">
        <v>132000</v>
      </c>
      <c r="F6" s="21">
        <v>282.0763</v>
      </c>
      <c r="G6" s="21">
        <v>284.22840000000002</v>
      </c>
      <c r="H6" s="18">
        <f>(G6-F6)*E6</f>
        <v>284077.20000000246</v>
      </c>
      <c r="I6" s="19"/>
      <c r="J6" s="20"/>
    </row>
    <row r="7" spans="1:10" ht="15.75" x14ac:dyDescent="0.25">
      <c r="A7" s="219" t="s">
        <v>16</v>
      </c>
      <c r="B7" s="220"/>
      <c r="C7" s="165"/>
      <c r="D7" s="166"/>
      <c r="E7" s="165"/>
      <c r="H7" s="23">
        <f>H5+H6</f>
        <v>285634.80000000243</v>
      </c>
      <c r="I7" s="24">
        <f>H7-H10-H20</f>
        <v>2520.0000000042055</v>
      </c>
      <c r="J7" s="25">
        <f>I7/H7</f>
        <v>8.8224544068306252E-3</v>
      </c>
    </row>
    <row r="8" spans="1:10" ht="15.75" x14ac:dyDescent="0.25">
      <c r="A8" s="26" t="s">
        <v>17</v>
      </c>
      <c r="B8" s="165" t="s">
        <v>13</v>
      </c>
      <c r="C8" s="165">
        <v>51097629</v>
      </c>
      <c r="D8" s="166" t="s">
        <v>14</v>
      </c>
      <c r="E8" s="165">
        <v>42000</v>
      </c>
      <c r="F8" s="21">
        <v>902.90060000000005</v>
      </c>
      <c r="G8" s="21">
        <v>907.99220000000003</v>
      </c>
      <c r="H8" s="18">
        <f>(G8-F8)*E8</f>
        <v>213847.19999999879</v>
      </c>
      <c r="I8" s="19"/>
      <c r="J8" s="20"/>
    </row>
    <row r="9" spans="1:10" ht="15.75" x14ac:dyDescent="0.25">
      <c r="A9" s="26" t="s">
        <v>18</v>
      </c>
      <c r="B9" s="165" t="s">
        <v>13</v>
      </c>
      <c r="C9" s="165">
        <v>51616820</v>
      </c>
      <c r="D9" s="166" t="s">
        <v>14</v>
      </c>
      <c r="E9" s="165">
        <v>42000</v>
      </c>
      <c r="F9" s="21">
        <v>3.8614000000000002</v>
      </c>
      <c r="G9" s="21">
        <v>3.8847999999999998</v>
      </c>
      <c r="H9" s="18">
        <f>(G9-F9)*E9</f>
        <v>982.79999999998506</v>
      </c>
      <c r="I9" s="19"/>
      <c r="J9" s="20"/>
    </row>
    <row r="10" spans="1:10" ht="15.75" x14ac:dyDescent="0.25">
      <c r="A10" s="219" t="s">
        <v>19</v>
      </c>
      <c r="B10" s="220"/>
      <c r="C10" s="165"/>
      <c r="D10" s="166"/>
      <c r="E10" s="165"/>
      <c r="F10" s="21"/>
      <c r="G10" s="21"/>
      <c r="H10" s="23">
        <f>H8+H9</f>
        <v>214829.99999999878</v>
      </c>
      <c r="I10" s="24">
        <f>H10-H17</f>
        <v>-16.799999999842839</v>
      </c>
      <c r="J10" s="25">
        <f>I10/H10</f>
        <v>-7.8201368523218051E-5</v>
      </c>
    </row>
    <row r="11" spans="1:10" ht="15.75" x14ac:dyDescent="0.25">
      <c r="A11" s="27" t="s">
        <v>20</v>
      </c>
      <c r="B11" s="165" t="s">
        <v>13</v>
      </c>
      <c r="C11" s="165">
        <v>51217286</v>
      </c>
      <c r="D11" s="166" t="s">
        <v>21</v>
      </c>
      <c r="E11" s="165">
        <v>21000</v>
      </c>
      <c r="F11" s="21">
        <v>718.58879999999999</v>
      </c>
      <c r="G11" s="21">
        <v>722.53449999999998</v>
      </c>
      <c r="H11" s="18">
        <f t="shared" ref="H11:H16" si="0">(G11-F11)*E11</f>
        <v>82859.69999999975</v>
      </c>
      <c r="I11" s="19"/>
      <c r="J11" s="20"/>
    </row>
    <row r="12" spans="1:10" ht="15.75" x14ac:dyDescent="0.25">
      <c r="A12" s="27" t="s">
        <v>22</v>
      </c>
      <c r="B12" s="165" t="s">
        <v>13</v>
      </c>
      <c r="C12" s="165">
        <v>51217292</v>
      </c>
      <c r="D12" s="166" t="s">
        <v>21</v>
      </c>
      <c r="E12" s="165">
        <v>21000</v>
      </c>
      <c r="F12" s="28">
        <v>2.8029000000000002</v>
      </c>
      <c r="G12" s="28">
        <v>2.8285999999999998</v>
      </c>
      <c r="H12" s="18">
        <f>(G12-F12)*E12</f>
        <v>539.69999999999186</v>
      </c>
      <c r="I12" s="19"/>
      <c r="J12" s="20"/>
    </row>
    <row r="13" spans="1:10" ht="15.75" x14ac:dyDescent="0.25">
      <c r="A13" s="27" t="s">
        <v>23</v>
      </c>
      <c r="B13" s="165" t="s">
        <v>13</v>
      </c>
      <c r="C13" s="165">
        <v>51217271</v>
      </c>
      <c r="D13" s="166" t="s">
        <v>21</v>
      </c>
      <c r="E13" s="165">
        <v>21000</v>
      </c>
      <c r="F13" s="21">
        <v>518.83680000000004</v>
      </c>
      <c r="G13" s="21">
        <v>522.14530000000002</v>
      </c>
      <c r="H13" s="18">
        <f t="shared" si="0"/>
        <v>69478.499999999593</v>
      </c>
      <c r="I13" s="19"/>
      <c r="J13" s="20"/>
    </row>
    <row r="14" spans="1:10" ht="15.75" x14ac:dyDescent="0.25">
      <c r="A14" s="27" t="s">
        <v>24</v>
      </c>
      <c r="B14" s="165" t="s">
        <v>13</v>
      </c>
      <c r="C14" s="165">
        <v>51217276</v>
      </c>
      <c r="D14" s="166" t="s">
        <v>21</v>
      </c>
      <c r="E14" s="165">
        <v>21000</v>
      </c>
      <c r="F14" s="28">
        <v>0.40100000000000002</v>
      </c>
      <c r="G14" s="28">
        <v>0.40539999999999998</v>
      </c>
      <c r="H14" s="18">
        <f>(G14-F14)*E14</f>
        <v>92.399999999999153</v>
      </c>
      <c r="I14" s="19"/>
      <c r="J14" s="20"/>
    </row>
    <row r="15" spans="1:10" ht="15.75" x14ac:dyDescent="0.25">
      <c r="A15" s="27" t="s">
        <v>25</v>
      </c>
      <c r="B15" s="165" t="s">
        <v>13</v>
      </c>
      <c r="C15" s="165">
        <v>51100990</v>
      </c>
      <c r="D15" s="166" t="s">
        <v>21</v>
      </c>
      <c r="E15" s="165">
        <v>21000</v>
      </c>
      <c r="F15" s="29">
        <v>572.91849999999999</v>
      </c>
      <c r="G15" s="29">
        <v>575.85159999999996</v>
      </c>
      <c r="H15" s="18">
        <f t="shared" si="0"/>
        <v>61595.099999999322</v>
      </c>
      <c r="I15" s="19"/>
      <c r="J15" s="20"/>
    </row>
    <row r="16" spans="1:10" ht="15.75" x14ac:dyDescent="0.25">
      <c r="A16" s="27" t="s">
        <v>26</v>
      </c>
      <c r="B16" s="165" t="s">
        <v>13</v>
      </c>
      <c r="C16" s="165">
        <v>51097622</v>
      </c>
      <c r="D16" s="166" t="s">
        <v>21</v>
      </c>
      <c r="E16" s="165">
        <v>21000</v>
      </c>
      <c r="F16" s="21">
        <v>2.5065</v>
      </c>
      <c r="G16" s="21">
        <v>2.5198999999999998</v>
      </c>
      <c r="H16" s="18">
        <f t="shared" si="0"/>
        <v>281.39999999999696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65"/>
      <c r="D17" s="166"/>
      <c r="E17" s="165"/>
      <c r="F17" s="21"/>
      <c r="G17" s="21"/>
      <c r="H17" s="23">
        <f>H11+H12+H13+H14+H15+H16</f>
        <v>214846.79999999862</v>
      </c>
      <c r="I17" s="19"/>
      <c r="J17" s="20"/>
    </row>
    <row r="18" spans="1:10" ht="15.75" x14ac:dyDescent="0.25">
      <c r="A18" s="26" t="s">
        <v>29</v>
      </c>
      <c r="B18" s="165" t="s">
        <v>13</v>
      </c>
      <c r="C18" s="165">
        <v>51097617</v>
      </c>
      <c r="D18" s="166" t="s">
        <v>30</v>
      </c>
      <c r="E18" s="165">
        <v>18000</v>
      </c>
      <c r="F18" s="30">
        <v>669.37670000000003</v>
      </c>
      <c r="G18" s="30">
        <v>673.1703</v>
      </c>
      <c r="H18" s="18">
        <f>(G18-F18)*E18</f>
        <v>68284.79999999945</v>
      </c>
      <c r="I18" s="19"/>
      <c r="J18" s="20"/>
    </row>
    <row r="19" spans="1:10" ht="15.75" x14ac:dyDescent="0.25">
      <c r="A19" s="26" t="s">
        <v>31</v>
      </c>
      <c r="B19" s="165" t="s">
        <v>13</v>
      </c>
      <c r="C19" s="165">
        <v>51097655</v>
      </c>
      <c r="D19" s="166" t="s">
        <v>30</v>
      </c>
      <c r="E19" s="165">
        <v>18000</v>
      </c>
      <c r="F19" s="30">
        <v>6.1279000000000003</v>
      </c>
      <c r="G19" s="30">
        <v>6.1279000000000003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65"/>
      <c r="D20" s="166"/>
      <c r="E20" s="165"/>
      <c r="F20" s="30"/>
      <c r="G20" s="30"/>
      <c r="H20" s="23">
        <f>H18+H19</f>
        <v>68284.79999999945</v>
      </c>
      <c r="I20" s="24">
        <f>H20-H35</f>
        <v>3405.9599999990023</v>
      </c>
      <c r="J20" s="25">
        <f>I20/H20</f>
        <v>4.9878743146337542E-2</v>
      </c>
    </row>
    <row r="21" spans="1:10" ht="15.75" x14ac:dyDescent="0.25">
      <c r="A21" s="15" t="s">
        <v>33</v>
      </c>
      <c r="B21" s="165" t="s">
        <v>13</v>
      </c>
      <c r="C21" s="165">
        <v>51217282</v>
      </c>
      <c r="D21" s="166" t="s">
        <v>34</v>
      </c>
      <c r="E21" s="165">
        <v>4800</v>
      </c>
      <c r="F21" s="21">
        <v>378.3732</v>
      </c>
      <c r="G21" s="21">
        <v>378.3732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65" t="s">
        <v>13</v>
      </c>
      <c r="C22" s="165">
        <v>51217274</v>
      </c>
      <c r="D22" s="166" t="s">
        <v>34</v>
      </c>
      <c r="E22" s="165">
        <v>4800</v>
      </c>
      <c r="F22" s="21">
        <v>1064.3644999999999</v>
      </c>
      <c r="G22" s="21">
        <v>1070.3115</v>
      </c>
      <c r="H22" s="18">
        <f t="shared" si="1"/>
        <v>28545.600000000559</v>
      </c>
      <c r="I22" s="19"/>
      <c r="J22" s="20"/>
    </row>
    <row r="23" spans="1:10" ht="15.75" x14ac:dyDescent="0.25">
      <c r="A23" s="15" t="s">
        <v>36</v>
      </c>
      <c r="B23" s="165" t="s">
        <v>13</v>
      </c>
      <c r="C23" s="165">
        <v>51097664</v>
      </c>
      <c r="D23" s="166" t="s">
        <v>37</v>
      </c>
      <c r="E23" s="165">
        <v>600</v>
      </c>
      <c r="F23" s="21">
        <v>3.9039999999999999</v>
      </c>
      <c r="G23" s="21">
        <v>3.9257</v>
      </c>
      <c r="H23" s="18">
        <f t="shared" si="1"/>
        <v>13.020000000000032</v>
      </c>
      <c r="I23" s="19"/>
      <c r="J23" s="20"/>
    </row>
    <row r="24" spans="1:10" ht="15.75" x14ac:dyDescent="0.25">
      <c r="A24" s="15" t="s">
        <v>38</v>
      </c>
      <c r="B24" s="165" t="s">
        <v>13</v>
      </c>
      <c r="C24" s="165">
        <v>51097615</v>
      </c>
      <c r="D24" s="166" t="s">
        <v>37</v>
      </c>
      <c r="E24" s="165">
        <v>600</v>
      </c>
      <c r="F24" s="21">
        <v>26.95</v>
      </c>
      <c r="G24" s="21">
        <v>27.336500000000001</v>
      </c>
      <c r="H24" s="18">
        <f t="shared" si="1"/>
        <v>231.90000000000097</v>
      </c>
      <c r="I24" s="19"/>
      <c r="J24" s="20"/>
    </row>
    <row r="25" spans="1:10" ht="15.75" x14ac:dyDescent="0.25">
      <c r="A25" s="15" t="s">
        <v>39</v>
      </c>
      <c r="B25" s="165" t="s">
        <v>13</v>
      </c>
      <c r="C25" s="165">
        <v>51217264</v>
      </c>
      <c r="D25" s="166" t="s">
        <v>37</v>
      </c>
      <c r="E25" s="165">
        <v>600</v>
      </c>
      <c r="F25" s="21">
        <v>70.462999999999994</v>
      </c>
      <c r="G25" s="21">
        <v>71.150499999999994</v>
      </c>
      <c r="H25" s="18">
        <f t="shared" si="1"/>
        <v>412.5</v>
      </c>
      <c r="I25" s="19"/>
      <c r="J25" s="20"/>
    </row>
    <row r="26" spans="1:10" ht="15.75" x14ac:dyDescent="0.25">
      <c r="A26" s="15" t="s">
        <v>40</v>
      </c>
      <c r="B26" s="165" t="s">
        <v>13</v>
      </c>
      <c r="C26" s="165">
        <v>51217288</v>
      </c>
      <c r="D26" s="166" t="s">
        <v>37</v>
      </c>
      <c r="E26" s="165">
        <v>600</v>
      </c>
      <c r="F26" s="21">
        <v>19.008800000000001</v>
      </c>
      <c r="G26" s="21">
        <v>19.0395</v>
      </c>
      <c r="H26" s="18">
        <f t="shared" si="1"/>
        <v>18.419999999999703</v>
      </c>
      <c r="I26" s="19" t="s">
        <v>27</v>
      </c>
      <c r="J26" s="20"/>
    </row>
    <row r="27" spans="1:10" ht="15.75" x14ac:dyDescent="0.25">
      <c r="A27" s="15" t="s">
        <v>41</v>
      </c>
      <c r="B27" s="165" t="s">
        <v>13</v>
      </c>
      <c r="C27" s="165">
        <v>51217279</v>
      </c>
      <c r="D27" s="166" t="s">
        <v>37</v>
      </c>
      <c r="E27" s="165">
        <v>600</v>
      </c>
      <c r="F27" s="21">
        <v>12.733700000000001</v>
      </c>
      <c r="G27" s="21">
        <v>12.787800000000001</v>
      </c>
      <c r="H27" s="18">
        <f t="shared" si="1"/>
        <v>32.460000000000022</v>
      </c>
      <c r="I27" s="19" t="s">
        <v>27</v>
      </c>
      <c r="J27" s="20"/>
    </row>
    <row r="28" spans="1:10" ht="15.75" x14ac:dyDescent="0.25">
      <c r="A28" s="15" t="s">
        <v>42</v>
      </c>
      <c r="B28" s="165" t="s">
        <v>13</v>
      </c>
      <c r="C28" s="165">
        <v>51217272</v>
      </c>
      <c r="D28" s="166" t="s">
        <v>37</v>
      </c>
      <c r="E28" s="165">
        <v>600</v>
      </c>
      <c r="F28" s="31">
        <v>12.4925</v>
      </c>
      <c r="G28" s="31">
        <v>12.545400000000001</v>
      </c>
      <c r="H28" s="18">
        <f t="shared" si="1"/>
        <v>31.740000000000634</v>
      </c>
      <c r="I28" s="19"/>
      <c r="J28" s="20"/>
    </row>
    <row r="29" spans="1:10" ht="15.75" x14ac:dyDescent="0.25">
      <c r="A29" s="15" t="s">
        <v>43</v>
      </c>
      <c r="B29" s="165" t="s">
        <v>13</v>
      </c>
      <c r="C29" s="165">
        <v>51616744</v>
      </c>
      <c r="D29" s="166">
        <f>300/5</f>
        <v>60</v>
      </c>
      <c r="E29" s="165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65" t="s">
        <v>13</v>
      </c>
      <c r="C30" s="165">
        <v>51555226</v>
      </c>
      <c r="D30" s="166">
        <f>300/5</f>
        <v>60</v>
      </c>
      <c r="E30" s="165">
        <v>3600</v>
      </c>
      <c r="F30" s="31">
        <v>320.60140000000001</v>
      </c>
      <c r="G30" s="31">
        <v>325.10599999999999</v>
      </c>
      <c r="H30" s="18">
        <f>(G30-F30)*E30</f>
        <v>16216.559999999936</v>
      </c>
      <c r="I30" s="19"/>
      <c r="J30" s="20"/>
    </row>
    <row r="31" spans="1:10" ht="15.75" x14ac:dyDescent="0.25">
      <c r="A31" s="15" t="s">
        <v>45</v>
      </c>
      <c r="B31" s="165" t="s">
        <v>13</v>
      </c>
      <c r="C31" s="165">
        <v>51097658</v>
      </c>
      <c r="D31" s="166" t="s">
        <v>34</v>
      </c>
      <c r="E31" s="165">
        <v>4800</v>
      </c>
      <c r="F31" s="31">
        <v>502.93020000000001</v>
      </c>
      <c r="G31" s="31">
        <v>506.9042</v>
      </c>
      <c r="H31" s="18">
        <f t="shared" si="1"/>
        <v>19075.19999999995</v>
      </c>
      <c r="I31" s="19"/>
      <c r="J31" s="20"/>
    </row>
    <row r="32" spans="1:10" ht="15.75" x14ac:dyDescent="0.25">
      <c r="A32" s="15" t="s">
        <v>46</v>
      </c>
      <c r="B32" s="165" t="s">
        <v>13</v>
      </c>
      <c r="C32" s="165">
        <v>51097635</v>
      </c>
      <c r="D32" s="166" t="s">
        <v>34</v>
      </c>
      <c r="E32" s="165">
        <v>4800</v>
      </c>
      <c r="F32" s="31">
        <v>48.436500000000002</v>
      </c>
      <c r="G32" s="31">
        <v>48.436500000000002</v>
      </c>
      <c r="H32" s="18">
        <f t="shared" si="1"/>
        <v>0</v>
      </c>
      <c r="I32" s="19"/>
      <c r="J32" s="20"/>
    </row>
    <row r="33" spans="1:10" ht="15.75" x14ac:dyDescent="0.25">
      <c r="A33" s="15" t="s">
        <v>47</v>
      </c>
      <c r="B33" s="165" t="s">
        <v>13</v>
      </c>
      <c r="C33" s="32">
        <v>51097633</v>
      </c>
      <c r="D33" s="166" t="s">
        <v>34</v>
      </c>
      <c r="E33" s="165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65" t="s">
        <v>13</v>
      </c>
      <c r="C34" s="32">
        <v>51097662</v>
      </c>
      <c r="D34" s="166" t="s">
        <v>34</v>
      </c>
      <c r="E34" s="165">
        <v>4800</v>
      </c>
      <c r="F34" s="31">
        <v>0.90310000000000001</v>
      </c>
      <c r="G34" s="31">
        <v>0.96589999999999998</v>
      </c>
      <c r="H34" s="33">
        <f t="shared" si="1"/>
        <v>301.43999999999983</v>
      </c>
      <c r="I34" s="34"/>
      <c r="J34" s="35"/>
    </row>
    <row r="35" spans="1:10" ht="15.75" x14ac:dyDescent="0.25">
      <c r="A35" s="219" t="s">
        <v>48</v>
      </c>
      <c r="B35" s="220"/>
      <c r="C35" s="165"/>
      <c r="D35" s="166"/>
      <c r="E35" s="165"/>
      <c r="F35" s="36"/>
      <c r="G35" s="36"/>
      <c r="H35" s="23">
        <f>H21+H22+H23+H24+H25+H26+H27+H28+H29+H30+H31+H32+H33+H34</f>
        <v>64878.840000000448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65" t="s">
        <v>51</v>
      </c>
      <c r="C37" s="165">
        <v>51555209</v>
      </c>
      <c r="D37" s="166" t="s">
        <v>52</v>
      </c>
      <c r="E37" s="165">
        <v>7000</v>
      </c>
      <c r="F37" s="17">
        <v>3.6219000000000001</v>
      </c>
      <c r="G37" s="17">
        <v>3.6753999999999998</v>
      </c>
      <c r="H37" s="41">
        <f>(G37-F37)*E37</f>
        <v>374.49999999999761</v>
      </c>
      <c r="I37" s="42"/>
      <c r="J37" s="14"/>
    </row>
    <row r="38" spans="1:10" ht="15.75" x14ac:dyDescent="0.25">
      <c r="A38" s="15" t="s">
        <v>53</v>
      </c>
      <c r="B38" s="165" t="s">
        <v>51</v>
      </c>
      <c r="C38" s="165">
        <v>51555209</v>
      </c>
      <c r="D38" s="166" t="s">
        <v>52</v>
      </c>
      <c r="E38" s="165">
        <v>7000</v>
      </c>
      <c r="F38" s="21">
        <v>8.4344999999999999</v>
      </c>
      <c r="G38" s="21">
        <v>8.4758999999999993</v>
      </c>
      <c r="H38" s="18">
        <f>(G38-F38)*E38</f>
        <v>289.79999999999609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65" t="s">
        <v>51</v>
      </c>
      <c r="C40" s="165">
        <v>51097674</v>
      </c>
      <c r="D40" s="165" t="s">
        <v>14</v>
      </c>
      <c r="E40" s="165">
        <v>7200</v>
      </c>
      <c r="F40" s="21">
        <v>485.5992</v>
      </c>
      <c r="G40" s="21">
        <v>488.07490000000001</v>
      </c>
      <c r="H40" s="18">
        <f>(G40-F40)*E40</f>
        <v>17825.040000000125</v>
      </c>
      <c r="I40" s="47"/>
      <c r="J40" s="20"/>
    </row>
    <row r="41" spans="1:10" ht="15.75" x14ac:dyDescent="0.25">
      <c r="A41" s="27" t="s">
        <v>56</v>
      </c>
      <c r="B41" s="165" t="s">
        <v>51</v>
      </c>
      <c r="C41" s="165">
        <v>51259257</v>
      </c>
      <c r="D41" s="165" t="s">
        <v>14</v>
      </c>
      <c r="E41" s="165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65"/>
      <c r="C42" s="165"/>
      <c r="D42" s="165"/>
      <c r="E42" s="165"/>
      <c r="F42" s="21"/>
      <c r="G42" s="21"/>
      <c r="H42" s="48">
        <f>H40+H41</f>
        <v>17825.040000000125</v>
      </c>
      <c r="I42" s="24">
        <f>H42-H50</f>
        <v>-105.07999999986714</v>
      </c>
      <c r="J42" s="25">
        <f>I42/H42</f>
        <v>-5.8950779353014867E-3</v>
      </c>
    </row>
    <row r="43" spans="1:10" ht="15.75" x14ac:dyDescent="0.25">
      <c r="A43" s="15" t="s">
        <v>58</v>
      </c>
      <c r="B43" s="165"/>
      <c r="C43" s="165"/>
      <c r="D43" s="166"/>
      <c r="E43" s="165"/>
      <c r="H43" s="18"/>
      <c r="I43" s="43"/>
      <c r="J43" s="20"/>
    </row>
    <row r="44" spans="1:10" ht="15.75" x14ac:dyDescent="0.25">
      <c r="A44" s="27" t="s">
        <v>59</v>
      </c>
      <c r="B44" s="165" t="s">
        <v>51</v>
      </c>
      <c r="C44" s="32">
        <v>51097648</v>
      </c>
      <c r="D44" s="165" t="s">
        <v>52</v>
      </c>
      <c r="E44" s="165">
        <v>1200</v>
      </c>
      <c r="F44" s="21">
        <v>397.25990000000002</v>
      </c>
      <c r="G44" s="21">
        <v>399.48349999999999</v>
      </c>
      <c r="H44" s="33">
        <f>(G44-F44)*E44</f>
        <v>2668.3199999999715</v>
      </c>
      <c r="I44" s="43"/>
      <c r="J44" s="20"/>
    </row>
    <row r="45" spans="1:10" ht="15.75" x14ac:dyDescent="0.25">
      <c r="A45" s="27" t="s">
        <v>60</v>
      </c>
      <c r="B45" s="165" t="s">
        <v>51</v>
      </c>
      <c r="C45" s="32">
        <v>50555043</v>
      </c>
      <c r="D45" s="165" t="s">
        <v>52</v>
      </c>
      <c r="E45" s="165">
        <v>1200</v>
      </c>
      <c r="F45" s="21">
        <v>1665.461</v>
      </c>
      <c r="G45" s="21">
        <v>1673.8731</v>
      </c>
      <c r="H45" s="33">
        <f>(G45-F45)*E45</f>
        <v>10094.520000000011</v>
      </c>
      <c r="I45" s="43"/>
      <c r="J45" s="20"/>
    </row>
    <row r="46" spans="1:10" ht="15.75" x14ac:dyDescent="0.25">
      <c r="A46" s="27" t="s">
        <v>61</v>
      </c>
      <c r="B46" s="165" t="s">
        <v>51</v>
      </c>
      <c r="C46" s="32">
        <v>51259336</v>
      </c>
      <c r="D46" s="165" t="s">
        <v>62</v>
      </c>
      <c r="E46" s="165">
        <v>2400</v>
      </c>
      <c r="F46" s="21">
        <v>3.5217000000000001</v>
      </c>
      <c r="G46" s="21">
        <v>3.5352999999999999</v>
      </c>
      <c r="H46" s="33">
        <f>(G46-F46)*E46</f>
        <v>32.639999999999603</v>
      </c>
      <c r="I46" s="43"/>
      <c r="J46" s="20"/>
    </row>
    <row r="47" spans="1:10" ht="15.75" x14ac:dyDescent="0.25">
      <c r="A47" s="27" t="s">
        <v>63</v>
      </c>
      <c r="B47" s="165" t="s">
        <v>51</v>
      </c>
      <c r="C47" s="32">
        <v>51259266</v>
      </c>
      <c r="D47" s="165" t="s">
        <v>52</v>
      </c>
      <c r="E47" s="165">
        <v>1200</v>
      </c>
      <c r="F47" s="21">
        <v>808.57460000000003</v>
      </c>
      <c r="G47" s="21">
        <v>812.50300000000004</v>
      </c>
      <c r="H47" s="33">
        <f>(G47-F47)*E47</f>
        <v>4714.0800000000127</v>
      </c>
      <c r="I47" s="43"/>
      <c r="J47" s="20"/>
    </row>
    <row r="48" spans="1:10" ht="15.75" x14ac:dyDescent="0.25">
      <c r="A48" s="27" t="s">
        <v>64</v>
      </c>
      <c r="B48" s="165" t="s">
        <v>51</v>
      </c>
      <c r="C48" s="32">
        <v>51431336</v>
      </c>
      <c r="D48" s="165" t="s">
        <v>52</v>
      </c>
      <c r="E48" s="165">
        <v>1200</v>
      </c>
      <c r="F48" s="21">
        <v>43.065600000000003</v>
      </c>
      <c r="G48" s="21">
        <v>43.374400000000001</v>
      </c>
      <c r="H48" s="33">
        <f>(G48-F48)*E48</f>
        <v>370.55999999999756</v>
      </c>
      <c r="I48" s="43"/>
      <c r="J48" s="20"/>
    </row>
    <row r="49" spans="1:10" ht="15.75" x14ac:dyDescent="0.25">
      <c r="A49" s="15" t="s">
        <v>65</v>
      </c>
      <c r="B49" s="165" t="s">
        <v>66</v>
      </c>
      <c r="C49" s="165">
        <v>49174</v>
      </c>
      <c r="D49" s="166" t="s">
        <v>52</v>
      </c>
      <c r="E49" s="165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17930.119999999992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65" t="s">
        <v>51</v>
      </c>
      <c r="C52" s="165">
        <v>51097603</v>
      </c>
      <c r="D52" s="166" t="s">
        <v>52</v>
      </c>
      <c r="E52" s="165">
        <v>7000</v>
      </c>
      <c r="F52" s="17">
        <v>1611.4916000000001</v>
      </c>
      <c r="G52" s="17">
        <v>1620.5482999999999</v>
      </c>
      <c r="H52" s="18">
        <f>(G52-F52)*E52</f>
        <v>63396.899999999048</v>
      </c>
      <c r="I52" s="43"/>
      <c r="J52" s="20"/>
    </row>
    <row r="53" spans="1:10" ht="15.75" x14ac:dyDescent="0.25">
      <c r="A53" s="27" t="s">
        <v>71</v>
      </c>
      <c r="B53" s="165" t="s">
        <v>51</v>
      </c>
      <c r="C53" s="165">
        <v>51097590</v>
      </c>
      <c r="D53" s="166" t="s">
        <v>52</v>
      </c>
      <c r="E53" s="165">
        <v>7000</v>
      </c>
      <c r="F53" s="21">
        <v>9.3742000000000001</v>
      </c>
      <c r="G53" s="21">
        <v>9.4512</v>
      </c>
      <c r="H53" s="18">
        <f>(G53-F53)*E53</f>
        <v>538.99999999999966</v>
      </c>
      <c r="I53" s="43"/>
      <c r="J53" s="20"/>
    </row>
    <row r="54" spans="1:10" ht="15.75" x14ac:dyDescent="0.25">
      <c r="A54" s="15" t="s">
        <v>65</v>
      </c>
      <c r="B54" s="165" t="s">
        <v>66</v>
      </c>
      <c r="C54" s="165">
        <v>49174</v>
      </c>
      <c r="D54" s="166" t="s">
        <v>52</v>
      </c>
      <c r="E54" s="165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65"/>
      <c r="D55" s="166"/>
      <c r="E55" s="165"/>
      <c r="F55" s="21"/>
      <c r="G55" s="21"/>
      <c r="H55" s="48">
        <f>H52+H53+H54</f>
        <v>64035.899999999048</v>
      </c>
      <c r="I55" s="47"/>
      <c r="J55" s="59"/>
    </row>
    <row r="56" spans="1:10" ht="15.75" x14ac:dyDescent="0.25">
      <c r="A56" s="27" t="s">
        <v>73</v>
      </c>
      <c r="B56" s="165" t="s">
        <v>51</v>
      </c>
      <c r="C56" s="165">
        <v>51100980</v>
      </c>
      <c r="D56" s="165" t="s">
        <v>74</v>
      </c>
      <c r="E56" s="165">
        <v>12000</v>
      </c>
      <c r="F56" s="21">
        <v>947.74400000000003</v>
      </c>
      <c r="G56" s="21">
        <v>953.08860000000004</v>
      </c>
      <c r="H56" s="18">
        <f>(G56-F56)*E56</f>
        <v>64135.200000000172</v>
      </c>
      <c r="I56" s="47"/>
      <c r="J56" s="58"/>
    </row>
    <row r="57" spans="1:10" ht="15.75" x14ac:dyDescent="0.25">
      <c r="A57" s="27" t="s">
        <v>75</v>
      </c>
      <c r="B57" s="165" t="s">
        <v>51</v>
      </c>
      <c r="C57" s="165">
        <v>51097623</v>
      </c>
      <c r="D57" s="165" t="s">
        <v>74</v>
      </c>
      <c r="E57" s="165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65"/>
      <c r="C58" s="165"/>
      <c r="D58" s="165"/>
      <c r="E58" s="165"/>
      <c r="F58" s="21"/>
      <c r="G58" s="21"/>
      <c r="H58" s="48">
        <f>H56+H57</f>
        <v>64135.200000000172</v>
      </c>
      <c r="I58" s="61">
        <f>H55-H65-H54</f>
        <v>-314.86000000075728</v>
      </c>
      <c r="J58" s="25">
        <f>I58/H58</f>
        <v>-4.9093165687603135E-3</v>
      </c>
    </row>
    <row r="59" spans="1:10" ht="15.75" x14ac:dyDescent="0.25">
      <c r="A59" s="27" t="s">
        <v>77</v>
      </c>
      <c r="B59" s="165" t="s">
        <v>51</v>
      </c>
      <c r="C59" s="165">
        <v>51097675</v>
      </c>
      <c r="D59" s="165" t="s">
        <v>34</v>
      </c>
      <c r="E59" s="165">
        <v>4800</v>
      </c>
      <c r="F59" s="21">
        <v>368.0788</v>
      </c>
      <c r="G59" s="21">
        <v>371.47359999999998</v>
      </c>
      <c r="H59" s="18">
        <f t="shared" ref="H59:H64" si="2">(G59-F59)*E59</f>
        <v>16295.039999999881</v>
      </c>
      <c r="I59" s="62"/>
      <c r="J59" s="59"/>
    </row>
    <row r="60" spans="1:10" ht="15.75" x14ac:dyDescent="0.25">
      <c r="A60" s="27" t="s">
        <v>78</v>
      </c>
      <c r="B60" s="165" t="s">
        <v>51</v>
      </c>
      <c r="C60" s="165">
        <v>51100997</v>
      </c>
      <c r="D60" s="165" t="s">
        <v>21</v>
      </c>
      <c r="E60" s="165">
        <v>3600</v>
      </c>
      <c r="F60" s="21">
        <v>1216.4766999999999</v>
      </c>
      <c r="G60" s="21">
        <v>1222.3679</v>
      </c>
      <c r="H60" s="18">
        <f t="shared" si="2"/>
        <v>21208.320000000094</v>
      </c>
      <c r="I60" s="62"/>
      <c r="J60" s="59"/>
    </row>
    <row r="61" spans="1:10" ht="15.75" x14ac:dyDescent="0.25">
      <c r="A61" s="27" t="s">
        <v>79</v>
      </c>
      <c r="B61" s="165" t="s">
        <v>51</v>
      </c>
      <c r="C61" s="165">
        <v>51555218</v>
      </c>
      <c r="D61" s="165">
        <f>400/5</f>
        <v>80</v>
      </c>
      <c r="E61" s="165">
        <v>4800</v>
      </c>
      <c r="F61" s="21">
        <v>41.386899999999997</v>
      </c>
      <c r="G61" s="21">
        <v>41.852699999999999</v>
      </c>
      <c r="H61" s="18">
        <f t="shared" si="2"/>
        <v>2235.8400000000074</v>
      </c>
      <c r="I61" s="62"/>
      <c r="J61" s="59"/>
    </row>
    <row r="62" spans="1:10" ht="15.75" x14ac:dyDescent="0.25">
      <c r="A62" s="27" t="s">
        <v>80</v>
      </c>
      <c r="B62" s="165" t="s">
        <v>51</v>
      </c>
      <c r="C62" s="165">
        <v>51555151</v>
      </c>
      <c r="D62" s="165">
        <f>400/5</f>
        <v>80</v>
      </c>
      <c r="E62" s="165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65" t="s">
        <v>51</v>
      </c>
      <c r="C63" s="165">
        <v>51097599</v>
      </c>
      <c r="D63" s="165" t="s">
        <v>21</v>
      </c>
      <c r="E63" s="165">
        <v>3600</v>
      </c>
      <c r="F63" s="21">
        <v>853.35850000000005</v>
      </c>
      <c r="G63" s="21">
        <v>856.58619999999996</v>
      </c>
      <c r="H63" s="18">
        <f t="shared" si="2"/>
        <v>11619.719999999688</v>
      </c>
      <c r="I63" s="62"/>
      <c r="J63" s="59"/>
    </row>
    <row r="64" spans="1:10" ht="15.75" x14ac:dyDescent="0.25">
      <c r="A64" s="27" t="s">
        <v>82</v>
      </c>
      <c r="B64" s="165" t="s">
        <v>51</v>
      </c>
      <c r="C64" s="165">
        <v>51097620</v>
      </c>
      <c r="D64" s="165" t="s">
        <v>34</v>
      </c>
      <c r="E64" s="165">
        <v>4800</v>
      </c>
      <c r="F64" s="21">
        <v>396.21699999999998</v>
      </c>
      <c r="G64" s="21">
        <v>398.90280000000001</v>
      </c>
      <c r="H64" s="18">
        <f t="shared" si="2"/>
        <v>12891.840000000138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64250.759999999806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65" t="s">
        <v>51</v>
      </c>
      <c r="C67" s="9">
        <v>51259238</v>
      </c>
      <c r="D67" s="74" t="s">
        <v>52</v>
      </c>
      <c r="E67" s="74">
        <v>7000</v>
      </c>
      <c r="F67" s="75">
        <v>433.72370000000001</v>
      </c>
      <c r="G67" s="75">
        <v>436.61630000000002</v>
      </c>
      <c r="H67" s="76">
        <f>(G67-F67)*E67</f>
        <v>20248.20000000011</v>
      </c>
      <c r="I67" s="77"/>
      <c r="J67" s="78"/>
    </row>
    <row r="68" spans="1:10" ht="15.75" x14ac:dyDescent="0.25">
      <c r="A68" s="27" t="s">
        <v>85</v>
      </c>
      <c r="B68" s="165" t="s">
        <v>51</v>
      </c>
      <c r="C68" s="165">
        <v>51259324</v>
      </c>
      <c r="D68" s="166" t="s">
        <v>52</v>
      </c>
      <c r="E68" s="166">
        <v>7000</v>
      </c>
      <c r="F68" s="21">
        <v>333.51190000000003</v>
      </c>
      <c r="G68" s="21">
        <v>335.60599999999999</v>
      </c>
      <c r="H68" s="18">
        <f>(G68-F68)*E68</f>
        <v>14658.699999999782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65">
        <v>51491618</v>
      </c>
      <c r="D69" s="166" t="s">
        <v>62</v>
      </c>
      <c r="E69" s="165">
        <v>40</v>
      </c>
      <c r="F69" s="28">
        <v>775.76549999999997</v>
      </c>
      <c r="G69" s="28">
        <v>786.30949999999996</v>
      </c>
      <c r="H69" s="18">
        <f>(G69-F69)*E69</f>
        <v>421.75999999999931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65">
        <v>51491624</v>
      </c>
      <c r="D70" s="166" t="s">
        <v>62</v>
      </c>
      <c r="E70" s="165">
        <v>40</v>
      </c>
      <c r="F70" s="28">
        <v>108.50749999999999</v>
      </c>
      <c r="G70" s="28">
        <v>109.87649999999999</v>
      </c>
      <c r="H70" s="18">
        <f>(G70-F70)*E70</f>
        <v>54.759999999999991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34906.899999999892</v>
      </c>
      <c r="I71" s="85">
        <f>H71-H74-H69-H70</f>
        <v>-1036.820000000497</v>
      </c>
      <c r="J71" s="25">
        <f>I71/H71</f>
        <v>-2.970243705400652E-2</v>
      </c>
    </row>
    <row r="72" spans="1:10" ht="15.75" x14ac:dyDescent="0.25">
      <c r="A72" s="27" t="s">
        <v>90</v>
      </c>
      <c r="B72" s="165" t="s">
        <v>51</v>
      </c>
      <c r="C72" s="86">
        <v>51097588</v>
      </c>
      <c r="D72" s="166" t="s">
        <v>74</v>
      </c>
      <c r="E72" s="165">
        <v>12000</v>
      </c>
      <c r="F72" s="21">
        <v>262.791</v>
      </c>
      <c r="G72" s="21">
        <v>264.47750000000002</v>
      </c>
      <c r="H72" s="18">
        <f>(G72-F72)*E72</f>
        <v>20238.000000000284</v>
      </c>
      <c r="I72" s="51"/>
      <c r="J72" s="58"/>
    </row>
    <row r="73" spans="1:10" ht="15.75" x14ac:dyDescent="0.25">
      <c r="A73" s="27" t="s">
        <v>91</v>
      </c>
      <c r="B73" s="165" t="s">
        <v>51</v>
      </c>
      <c r="C73" s="86">
        <v>51431335</v>
      </c>
      <c r="D73" s="166" t="s">
        <v>74</v>
      </c>
      <c r="E73" s="165">
        <v>12000</v>
      </c>
      <c r="F73" s="21">
        <v>204.95599999999999</v>
      </c>
      <c r="G73" s="21">
        <v>206.2251</v>
      </c>
      <c r="H73" s="18">
        <f>(G73-F73)*E73</f>
        <v>15229.200000000106</v>
      </c>
      <c r="I73" s="51"/>
      <c r="J73" s="58"/>
    </row>
    <row r="74" spans="1:10" ht="15.75" x14ac:dyDescent="0.25">
      <c r="A74" s="87" t="s">
        <v>92</v>
      </c>
      <c r="B74" s="165" t="s">
        <v>27</v>
      </c>
      <c r="C74" s="165"/>
      <c r="D74" s="166"/>
      <c r="E74" s="165"/>
      <c r="F74" s="21"/>
      <c r="G74" s="21"/>
      <c r="H74" s="48">
        <f>H72+ H73</f>
        <v>35467.20000000039</v>
      </c>
      <c r="I74" s="85">
        <f>H74-H82</f>
        <v>-98.579999999506981</v>
      </c>
      <c r="J74" s="25">
        <f>I74/H74</f>
        <v>-2.7794694816479985E-3</v>
      </c>
    </row>
    <row r="75" spans="1:10" ht="15.75" x14ac:dyDescent="0.25">
      <c r="A75" s="27" t="s">
        <v>93</v>
      </c>
      <c r="B75" s="165" t="s">
        <v>51</v>
      </c>
      <c r="C75" s="86">
        <v>51097676</v>
      </c>
      <c r="D75" s="88" t="s">
        <v>62</v>
      </c>
      <c r="E75" s="165">
        <v>2400</v>
      </c>
      <c r="F75" s="21">
        <v>527.56029999999998</v>
      </c>
      <c r="G75" s="21">
        <v>531.66179999999997</v>
      </c>
      <c r="H75" s="18">
        <f>(G75-F75)*E75</f>
        <v>9843.5999999999694</v>
      </c>
      <c r="I75" s="51"/>
      <c r="J75" s="58"/>
    </row>
    <row r="76" spans="1:10" ht="15.75" x14ac:dyDescent="0.25">
      <c r="A76" s="27" t="s">
        <v>94</v>
      </c>
      <c r="B76" s="165" t="s">
        <v>51</v>
      </c>
      <c r="C76" s="86">
        <v>51431355</v>
      </c>
      <c r="D76" s="166" t="s">
        <v>21</v>
      </c>
      <c r="E76" s="166">
        <v>3600</v>
      </c>
      <c r="F76" s="21">
        <v>306.54309999999998</v>
      </c>
      <c r="G76" s="21">
        <v>307.70909999999998</v>
      </c>
      <c r="H76" s="18">
        <f>(G76-F76)*E76</f>
        <v>4197.5999999999885</v>
      </c>
      <c r="I76" s="51"/>
      <c r="J76" s="52"/>
    </row>
    <row r="77" spans="1:10" ht="15.75" x14ac:dyDescent="0.25">
      <c r="A77" s="27" t="s">
        <v>95</v>
      </c>
      <c r="B77" s="165" t="s">
        <v>51</v>
      </c>
      <c r="C77" s="86">
        <v>51259331</v>
      </c>
      <c r="D77" s="88" t="s">
        <v>37</v>
      </c>
      <c r="E77" s="165">
        <v>600</v>
      </c>
      <c r="F77" s="21">
        <v>121.4281</v>
      </c>
      <c r="G77" s="21">
        <v>122.43519999999999</v>
      </c>
      <c r="H77" s="18">
        <f>(G77-F77)*E77</f>
        <v>604.25999999999647</v>
      </c>
      <c r="I77" s="51"/>
      <c r="J77" s="52"/>
    </row>
    <row r="78" spans="1:10" ht="15.75" x14ac:dyDescent="0.25">
      <c r="A78" s="27" t="s">
        <v>96</v>
      </c>
      <c r="B78" s="165" t="s">
        <v>51</v>
      </c>
      <c r="C78" s="86">
        <v>51259326</v>
      </c>
      <c r="D78" s="88" t="s">
        <v>14</v>
      </c>
      <c r="E78" s="165">
        <v>7200</v>
      </c>
      <c r="F78" s="21">
        <v>266.46940000000001</v>
      </c>
      <c r="G78" s="21">
        <v>267.9271</v>
      </c>
      <c r="H78" s="18">
        <f>(G78-F78)*E78</f>
        <v>10495.439999999917</v>
      </c>
      <c r="I78" s="51"/>
      <c r="J78" s="52"/>
    </row>
    <row r="79" spans="1:10" ht="15.75" x14ac:dyDescent="0.25">
      <c r="A79" s="27" t="s">
        <v>97</v>
      </c>
      <c r="B79" s="165" t="s">
        <v>51</v>
      </c>
      <c r="C79" s="86">
        <v>51431351</v>
      </c>
      <c r="D79" s="88" t="s">
        <v>14</v>
      </c>
      <c r="E79" s="165">
        <v>7200</v>
      </c>
      <c r="F79" s="21">
        <v>175.2544</v>
      </c>
      <c r="G79" s="21">
        <v>176.70230000000001</v>
      </c>
      <c r="H79" s="18">
        <f>(G79-F79)*E79</f>
        <v>10424.88000000003</v>
      </c>
      <c r="I79" s="51"/>
      <c r="J79" s="52"/>
    </row>
    <row r="80" spans="1:10" ht="15.75" x14ac:dyDescent="0.25">
      <c r="A80" s="89" t="s">
        <v>98</v>
      </c>
      <c r="B80" s="165" t="s">
        <v>51</v>
      </c>
      <c r="C80" s="90">
        <v>51097666</v>
      </c>
      <c r="D80" s="88" t="s">
        <v>62</v>
      </c>
      <c r="E80" s="165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65" t="s">
        <v>51</v>
      </c>
      <c r="C81" s="90">
        <v>51259323</v>
      </c>
      <c r="D81" s="88" t="s">
        <v>62</v>
      </c>
      <c r="E81" s="165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35565.779999999897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65" t="s">
        <v>51</v>
      </c>
      <c r="C84" s="106">
        <v>51431297</v>
      </c>
      <c r="D84" s="166" t="s">
        <v>52</v>
      </c>
      <c r="E84" s="100">
        <v>7000</v>
      </c>
      <c r="F84" s="17">
        <v>213.93299999999999</v>
      </c>
      <c r="G84" s="17">
        <v>216.39519999999999</v>
      </c>
      <c r="H84" s="18">
        <f>(G84-F84)*E84</f>
        <v>17235.399999999969</v>
      </c>
      <c r="I84" s="107"/>
      <c r="J84" s="108"/>
    </row>
    <row r="85" spans="1:10" ht="15.75" x14ac:dyDescent="0.25">
      <c r="A85" s="105" t="s">
        <v>85</v>
      </c>
      <c r="B85" s="165" t="s">
        <v>51</v>
      </c>
      <c r="C85" s="106">
        <v>51431332</v>
      </c>
      <c r="D85" s="166" t="s">
        <v>52</v>
      </c>
      <c r="E85" s="100">
        <v>7000</v>
      </c>
      <c r="F85" s="21">
        <v>305.59460000000001</v>
      </c>
      <c r="G85" s="21">
        <v>305.7405</v>
      </c>
      <c r="H85" s="18">
        <f>(G85-F85)*E85</f>
        <v>1021.2999999998829</v>
      </c>
      <c r="I85" s="165"/>
      <c r="J85" s="58"/>
    </row>
    <row r="86" spans="1:10" ht="15.75" x14ac:dyDescent="0.25">
      <c r="A86" s="27" t="s">
        <v>86</v>
      </c>
      <c r="B86" s="165" t="s">
        <v>102</v>
      </c>
      <c r="C86" s="109">
        <v>150773</v>
      </c>
      <c r="D86" s="166" t="s">
        <v>52</v>
      </c>
      <c r="E86" s="109">
        <v>20</v>
      </c>
      <c r="F86" s="17">
        <v>15283.9</v>
      </c>
      <c r="G86" s="17">
        <v>15292.4</v>
      </c>
      <c r="H86" s="18">
        <f>(G86-F86)*E86</f>
        <v>170</v>
      </c>
      <c r="I86" s="51"/>
      <c r="J86" s="58"/>
    </row>
    <row r="87" spans="1:10" ht="15.75" x14ac:dyDescent="0.25">
      <c r="A87" s="27" t="s">
        <v>88</v>
      </c>
      <c r="B87" s="165" t="s">
        <v>102</v>
      </c>
      <c r="C87" s="109">
        <v>150791</v>
      </c>
      <c r="D87" s="166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67"/>
      <c r="C88" s="32"/>
      <c r="D88" s="82"/>
      <c r="E88" s="82"/>
      <c r="F88" s="21"/>
      <c r="G88" s="21"/>
      <c r="H88" s="48">
        <f>H84+H85</f>
        <v>18256.699999999852</v>
      </c>
      <c r="I88" s="85">
        <f>H88-H91-H86-H87</f>
        <v>445.73999999976513</v>
      </c>
      <c r="J88" s="25">
        <f>I88/H88</f>
        <v>2.4415146220279061E-2</v>
      </c>
    </row>
    <row r="89" spans="1:10" ht="15.75" x14ac:dyDescent="0.25">
      <c r="A89" s="27" t="s">
        <v>103</v>
      </c>
      <c r="B89" s="165" t="s">
        <v>51</v>
      </c>
      <c r="C89" s="106">
        <v>51431342</v>
      </c>
      <c r="D89" s="88" t="s">
        <v>34</v>
      </c>
      <c r="E89" s="165">
        <v>4800</v>
      </c>
      <c r="F89" s="21">
        <v>302.65960000000001</v>
      </c>
      <c r="G89" s="21">
        <v>306.20400000000001</v>
      </c>
      <c r="H89" s="18">
        <f>(G89-F89)*E89</f>
        <v>17013.119999999981</v>
      </c>
      <c r="I89" s="51"/>
      <c r="J89" s="52"/>
    </row>
    <row r="90" spans="1:10" ht="15.75" x14ac:dyDescent="0.25">
      <c r="A90" s="27" t="s">
        <v>104</v>
      </c>
      <c r="B90" s="165" t="s">
        <v>51</v>
      </c>
      <c r="C90" s="106">
        <v>51431343</v>
      </c>
      <c r="D90" s="88" t="s">
        <v>34</v>
      </c>
      <c r="E90" s="165">
        <v>4800</v>
      </c>
      <c r="F90" s="21">
        <v>433.34129999999999</v>
      </c>
      <c r="G90" s="21">
        <v>433.47210000000001</v>
      </c>
      <c r="H90" s="18">
        <f>(G90-F90)*E90</f>
        <v>627.84000000010565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17640.960000000086</v>
      </c>
      <c r="I91" s="85">
        <f>H91-H99</f>
        <v>-99.619999999937136</v>
      </c>
      <c r="J91" s="25">
        <f>I91/H91</f>
        <v>-5.6470849658939561E-3</v>
      </c>
    </row>
    <row r="92" spans="1:10" ht="15.75" x14ac:dyDescent="0.25">
      <c r="A92" s="27" t="s">
        <v>106</v>
      </c>
      <c r="B92" s="165" t="s">
        <v>51</v>
      </c>
      <c r="C92" s="106">
        <v>51431347</v>
      </c>
      <c r="D92" s="166" t="s">
        <v>52</v>
      </c>
      <c r="E92" s="165">
        <v>1200</v>
      </c>
      <c r="F92" s="21">
        <v>958.84389999999996</v>
      </c>
      <c r="G92" s="21">
        <v>958.84389999999996</v>
      </c>
      <c r="H92" s="18">
        <f t="shared" ref="H92:H100" si="4">(G92-F92)*E92</f>
        <v>0</v>
      </c>
      <c r="I92" s="51"/>
      <c r="J92" s="52"/>
    </row>
    <row r="93" spans="1:10" ht="15.75" x14ac:dyDescent="0.25">
      <c r="A93" s="27" t="s">
        <v>107</v>
      </c>
      <c r="B93" s="165" t="s">
        <v>51</v>
      </c>
      <c r="C93" s="106">
        <v>51431339</v>
      </c>
      <c r="D93" s="166" t="s">
        <v>52</v>
      </c>
      <c r="E93" s="165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65" t="s">
        <v>51</v>
      </c>
      <c r="C94" s="106">
        <v>51217244</v>
      </c>
      <c r="D94" s="165" t="s">
        <v>37</v>
      </c>
      <c r="E94" s="165">
        <v>600</v>
      </c>
      <c r="F94" s="30">
        <v>252.35599999999999</v>
      </c>
      <c r="G94" s="30">
        <v>253.2818</v>
      </c>
      <c r="H94" s="18">
        <f t="shared" si="4"/>
        <v>555.4800000000057</v>
      </c>
      <c r="I94" s="51"/>
      <c r="J94" s="52"/>
    </row>
    <row r="95" spans="1:10" ht="15.75" x14ac:dyDescent="0.25">
      <c r="A95" s="27" t="s">
        <v>109</v>
      </c>
      <c r="B95" s="165" t="s">
        <v>51</v>
      </c>
      <c r="C95" s="106">
        <v>51217267</v>
      </c>
      <c r="D95" s="88" t="s">
        <v>62</v>
      </c>
      <c r="E95" s="165">
        <v>2400</v>
      </c>
      <c r="F95" s="30">
        <v>18.883099999999999</v>
      </c>
      <c r="G95" s="30">
        <v>18.915299999999998</v>
      </c>
      <c r="H95" s="18">
        <f t="shared" si="4"/>
        <v>77.27999999999895</v>
      </c>
      <c r="I95" s="51"/>
      <c r="J95" s="52"/>
    </row>
    <row r="96" spans="1:10" ht="15.75" x14ac:dyDescent="0.25">
      <c r="A96" s="27" t="s">
        <v>110</v>
      </c>
      <c r="B96" s="165" t="s">
        <v>51</v>
      </c>
      <c r="C96" s="165">
        <v>51555165</v>
      </c>
      <c r="D96" s="166" t="s">
        <v>52</v>
      </c>
      <c r="E96" s="165">
        <v>1200</v>
      </c>
      <c r="F96" s="30">
        <v>708.69380000000001</v>
      </c>
      <c r="G96" s="30">
        <v>717.28129999999999</v>
      </c>
      <c r="H96" s="18">
        <f t="shared" si="4"/>
        <v>10304.999999999973</v>
      </c>
      <c r="I96" s="51" t="s">
        <v>27</v>
      </c>
      <c r="J96" s="52"/>
    </row>
    <row r="97" spans="1:10" ht="15.75" x14ac:dyDescent="0.25">
      <c r="A97" s="113" t="s">
        <v>111</v>
      </c>
      <c r="B97" s="165" t="s">
        <v>51</v>
      </c>
      <c r="C97" s="106">
        <v>51431346</v>
      </c>
      <c r="D97" s="114" t="s">
        <v>37</v>
      </c>
      <c r="E97" s="114">
        <v>600</v>
      </c>
      <c r="F97" s="30">
        <v>294.68430000000001</v>
      </c>
      <c r="G97" s="30">
        <v>296.92079999999999</v>
      </c>
      <c r="H97" s="115">
        <f t="shared" si="4"/>
        <v>1341.8999999999869</v>
      </c>
      <c r="I97" s="116"/>
      <c r="J97" s="117"/>
    </row>
    <row r="98" spans="1:10" ht="15.75" x14ac:dyDescent="0.25">
      <c r="A98" s="27" t="s">
        <v>112</v>
      </c>
      <c r="B98" s="165" t="s">
        <v>51</v>
      </c>
      <c r="C98" s="106">
        <v>51431352</v>
      </c>
      <c r="D98" s="88" t="s">
        <v>21</v>
      </c>
      <c r="E98" s="165">
        <v>3600</v>
      </c>
      <c r="F98" s="21">
        <v>158.74529999999999</v>
      </c>
      <c r="G98" s="21">
        <v>160.215</v>
      </c>
      <c r="H98" s="18">
        <f t="shared" si="4"/>
        <v>5290.9200000000619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17740.580000000024</v>
      </c>
      <c r="I99" s="51"/>
      <c r="J99" s="52"/>
    </row>
    <row r="100" spans="1:10" ht="15.75" x14ac:dyDescent="0.25">
      <c r="A100" s="45" t="s">
        <v>113</v>
      </c>
      <c r="B100" s="165" t="s">
        <v>51</v>
      </c>
      <c r="C100" s="120">
        <v>51431357</v>
      </c>
      <c r="D100" s="166" t="s">
        <v>62</v>
      </c>
      <c r="E100" s="166">
        <v>14000</v>
      </c>
      <c r="F100" s="28">
        <v>680.65250000000003</v>
      </c>
      <c r="G100" s="28">
        <v>683.37919999999997</v>
      </c>
      <c r="H100" s="121">
        <f t="shared" si="4"/>
        <v>38173.799999999115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activeCell="H7" sqref="H7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140</v>
      </c>
      <c r="G3" s="4" t="s">
        <v>141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68" t="s">
        <v>13</v>
      </c>
      <c r="C5" s="168">
        <v>51555166</v>
      </c>
      <c r="D5" s="168" t="s">
        <v>14</v>
      </c>
      <c r="E5" s="168">
        <v>132000</v>
      </c>
      <c r="F5" s="17">
        <v>2.3834</v>
      </c>
      <c r="G5" s="17">
        <v>2.3950999999999998</v>
      </c>
      <c r="H5" s="18">
        <f>(G5-F5)*E5</f>
        <v>1544.3999999999764</v>
      </c>
      <c r="I5" s="19"/>
      <c r="J5" s="20"/>
    </row>
    <row r="6" spans="1:10" ht="15.75" x14ac:dyDescent="0.25">
      <c r="A6" s="15" t="s">
        <v>15</v>
      </c>
      <c r="B6" s="168" t="s">
        <v>13</v>
      </c>
      <c r="C6" s="168">
        <v>51555191</v>
      </c>
      <c r="D6" s="168" t="s">
        <v>14</v>
      </c>
      <c r="E6" s="168">
        <v>132000</v>
      </c>
      <c r="F6" s="21">
        <v>284.22840000000002</v>
      </c>
      <c r="G6" s="21">
        <v>286.40910000000002</v>
      </c>
      <c r="H6" s="18">
        <f>(G6-F6)*E6</f>
        <v>287852.4000000002</v>
      </c>
      <c r="I6" s="19"/>
      <c r="J6" s="20"/>
    </row>
    <row r="7" spans="1:10" ht="15.75" x14ac:dyDescent="0.25">
      <c r="A7" s="219" t="s">
        <v>16</v>
      </c>
      <c r="B7" s="220"/>
      <c r="C7" s="168"/>
      <c r="D7" s="169"/>
      <c r="E7" s="168"/>
      <c r="H7" s="23">
        <f>H5+H6</f>
        <v>289396.80000000016</v>
      </c>
      <c r="I7" s="24">
        <f>H7-H10-H20</f>
        <v>2565.0000000008149</v>
      </c>
      <c r="J7" s="25">
        <f>I7/H7</f>
        <v>8.8632631736108129E-3</v>
      </c>
    </row>
    <row r="8" spans="1:10" ht="15.75" x14ac:dyDescent="0.25">
      <c r="A8" s="26" t="s">
        <v>17</v>
      </c>
      <c r="B8" s="168" t="s">
        <v>13</v>
      </c>
      <c r="C8" s="168">
        <v>51097629</v>
      </c>
      <c r="D8" s="169" t="s">
        <v>14</v>
      </c>
      <c r="E8" s="168">
        <v>42000</v>
      </c>
      <c r="F8" s="21">
        <v>907.99220000000003</v>
      </c>
      <c r="G8" s="21">
        <v>913.149</v>
      </c>
      <c r="H8" s="18">
        <f>(G8-F8)*E8</f>
        <v>216585.59999999899</v>
      </c>
      <c r="I8" s="19"/>
      <c r="J8" s="20"/>
    </row>
    <row r="9" spans="1:10" ht="15.75" x14ac:dyDescent="0.25">
      <c r="A9" s="26" t="s">
        <v>18</v>
      </c>
      <c r="B9" s="168" t="s">
        <v>13</v>
      </c>
      <c r="C9" s="168">
        <v>51616820</v>
      </c>
      <c r="D9" s="169" t="s">
        <v>14</v>
      </c>
      <c r="E9" s="168">
        <v>42000</v>
      </c>
      <c r="F9" s="21">
        <v>3.8847999999999998</v>
      </c>
      <c r="G9" s="21">
        <v>3.9081000000000001</v>
      </c>
      <c r="H9" s="18">
        <f>(G9-F9)*E9</f>
        <v>978.60000000001344</v>
      </c>
      <c r="I9" s="19"/>
      <c r="J9" s="20"/>
    </row>
    <row r="10" spans="1:10" ht="15.75" x14ac:dyDescent="0.25">
      <c r="A10" s="219" t="s">
        <v>19</v>
      </c>
      <c r="B10" s="220"/>
      <c r="C10" s="168"/>
      <c r="D10" s="169"/>
      <c r="E10" s="168"/>
      <c r="F10" s="21"/>
      <c r="G10" s="21"/>
      <c r="H10" s="23">
        <f>H8+H9</f>
        <v>217564.19999999899</v>
      </c>
      <c r="I10" s="24">
        <f>H10-H17</f>
        <v>-14.700000000157161</v>
      </c>
      <c r="J10" s="25">
        <f>I10/H10</f>
        <v>-6.7566263200274804E-5</v>
      </c>
    </row>
    <row r="11" spans="1:10" ht="15.75" x14ac:dyDescent="0.25">
      <c r="A11" s="27" t="s">
        <v>20</v>
      </c>
      <c r="B11" s="168" t="s">
        <v>13</v>
      </c>
      <c r="C11" s="168">
        <v>51217286</v>
      </c>
      <c r="D11" s="169" t="s">
        <v>21</v>
      </c>
      <c r="E11" s="168">
        <v>21000</v>
      </c>
      <c r="F11" s="21">
        <v>722.53449999999998</v>
      </c>
      <c r="G11" s="21">
        <v>726.49509999999998</v>
      </c>
      <c r="H11" s="18">
        <f t="shared" ref="H11:H16" si="0">(G11-F11)*E11</f>
        <v>83172.599999999991</v>
      </c>
      <c r="I11" s="19"/>
      <c r="J11" s="20"/>
    </row>
    <row r="12" spans="1:10" ht="15.75" x14ac:dyDescent="0.25">
      <c r="A12" s="27" t="s">
        <v>22</v>
      </c>
      <c r="B12" s="168" t="s">
        <v>13</v>
      </c>
      <c r="C12" s="168">
        <v>51217292</v>
      </c>
      <c r="D12" s="169" t="s">
        <v>21</v>
      </c>
      <c r="E12" s="168">
        <v>21000</v>
      </c>
      <c r="F12" s="28">
        <v>2.8285999999999998</v>
      </c>
      <c r="G12" s="28">
        <v>2.8546</v>
      </c>
      <c r="H12" s="18">
        <f>(G12-F12)*E12</f>
        <v>546.00000000000512</v>
      </c>
      <c r="I12" s="19"/>
      <c r="J12" s="20"/>
    </row>
    <row r="13" spans="1:10" ht="15.75" x14ac:dyDescent="0.25">
      <c r="A13" s="27" t="s">
        <v>23</v>
      </c>
      <c r="B13" s="168" t="s">
        <v>13</v>
      </c>
      <c r="C13" s="168">
        <v>51217271</v>
      </c>
      <c r="D13" s="169" t="s">
        <v>21</v>
      </c>
      <c r="E13" s="168">
        <v>21000</v>
      </c>
      <c r="F13" s="21">
        <v>522.14530000000002</v>
      </c>
      <c r="G13" s="21">
        <v>525.59389999999996</v>
      </c>
      <c r="H13" s="18">
        <f t="shared" si="0"/>
        <v>72420.599999998783</v>
      </c>
      <c r="I13" s="19"/>
      <c r="J13" s="20"/>
    </row>
    <row r="14" spans="1:10" ht="15.75" x14ac:dyDescent="0.25">
      <c r="A14" s="27" t="s">
        <v>24</v>
      </c>
      <c r="B14" s="168" t="s">
        <v>13</v>
      </c>
      <c r="C14" s="168">
        <v>51217276</v>
      </c>
      <c r="D14" s="169" t="s">
        <v>21</v>
      </c>
      <c r="E14" s="168">
        <v>21000</v>
      </c>
      <c r="F14" s="28">
        <v>0.40539999999999998</v>
      </c>
      <c r="G14" s="28">
        <v>0.40889999999999999</v>
      </c>
      <c r="H14" s="18">
        <f>(G14-F14)*E14</f>
        <v>73.500000000000071</v>
      </c>
      <c r="I14" s="19"/>
      <c r="J14" s="20"/>
    </row>
    <row r="15" spans="1:10" ht="15.75" x14ac:dyDescent="0.25">
      <c r="A15" s="27" t="s">
        <v>25</v>
      </c>
      <c r="B15" s="168" t="s">
        <v>13</v>
      </c>
      <c r="C15" s="168">
        <v>51100990</v>
      </c>
      <c r="D15" s="169" t="s">
        <v>21</v>
      </c>
      <c r="E15" s="168">
        <v>21000</v>
      </c>
      <c r="F15" s="29">
        <v>575.85159999999996</v>
      </c>
      <c r="G15" s="29">
        <v>578.76049999999998</v>
      </c>
      <c r="H15" s="18">
        <f t="shared" si="0"/>
        <v>61086.900000000358</v>
      </c>
      <c r="I15" s="19"/>
      <c r="J15" s="20"/>
    </row>
    <row r="16" spans="1:10" ht="15.75" x14ac:dyDescent="0.25">
      <c r="A16" s="27" t="s">
        <v>26</v>
      </c>
      <c r="B16" s="168" t="s">
        <v>13</v>
      </c>
      <c r="C16" s="168">
        <v>51097622</v>
      </c>
      <c r="D16" s="169" t="s">
        <v>21</v>
      </c>
      <c r="E16" s="168">
        <v>21000</v>
      </c>
      <c r="F16" s="21">
        <v>2.5198999999999998</v>
      </c>
      <c r="G16" s="21">
        <v>2.5331999999999999</v>
      </c>
      <c r="H16" s="18">
        <f t="shared" si="0"/>
        <v>279.30000000000189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68"/>
      <c r="D17" s="169"/>
      <c r="E17" s="168"/>
      <c r="F17" s="21"/>
      <c r="G17" s="21"/>
      <c r="H17" s="23">
        <f>H11+H12+H13+H14+H15+H16</f>
        <v>217578.89999999915</v>
      </c>
      <c r="I17" s="19"/>
      <c r="J17" s="20"/>
    </row>
    <row r="18" spans="1:10" ht="15.75" x14ac:dyDescent="0.25">
      <c r="A18" s="26" t="s">
        <v>29</v>
      </c>
      <c r="B18" s="168" t="s">
        <v>13</v>
      </c>
      <c r="C18" s="168">
        <v>51097617</v>
      </c>
      <c r="D18" s="169" t="s">
        <v>30</v>
      </c>
      <c r="E18" s="168">
        <v>18000</v>
      </c>
      <c r="F18" s="30">
        <v>673.1703</v>
      </c>
      <c r="G18" s="30">
        <v>677.01850000000002</v>
      </c>
      <c r="H18" s="18">
        <f>(G18-F18)*E18</f>
        <v>69267.600000000355</v>
      </c>
      <c r="I18" s="19"/>
      <c r="J18" s="20"/>
    </row>
    <row r="19" spans="1:10" ht="15.75" x14ac:dyDescent="0.25">
      <c r="A19" s="26" t="s">
        <v>31</v>
      </c>
      <c r="B19" s="168" t="s">
        <v>13</v>
      </c>
      <c r="C19" s="168">
        <v>51097655</v>
      </c>
      <c r="D19" s="169" t="s">
        <v>30</v>
      </c>
      <c r="E19" s="168">
        <v>18000</v>
      </c>
      <c r="F19" s="30">
        <v>6.1279000000000003</v>
      </c>
      <c r="G19" s="30">
        <v>6.1279000000000003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68"/>
      <c r="D20" s="169"/>
      <c r="E20" s="168"/>
      <c r="F20" s="30"/>
      <c r="G20" s="30"/>
      <c r="H20" s="23">
        <f>H18+H19</f>
        <v>69267.600000000355</v>
      </c>
      <c r="I20" s="24">
        <f>H20-H35</f>
        <v>2873.8200000000361</v>
      </c>
      <c r="J20" s="25">
        <f>I20/H20</f>
        <v>4.1488661365487206E-2</v>
      </c>
    </row>
    <row r="21" spans="1:10" ht="15.75" x14ac:dyDescent="0.25">
      <c r="A21" s="15" t="s">
        <v>33</v>
      </c>
      <c r="B21" s="168" t="s">
        <v>13</v>
      </c>
      <c r="C21" s="168">
        <v>51217282</v>
      </c>
      <c r="D21" s="169" t="s">
        <v>34</v>
      </c>
      <c r="E21" s="168">
        <v>4800</v>
      </c>
      <c r="F21" s="21">
        <v>378.3732</v>
      </c>
      <c r="G21" s="21">
        <v>378.3732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68" t="s">
        <v>13</v>
      </c>
      <c r="C22" s="168">
        <v>51217274</v>
      </c>
      <c r="D22" s="169" t="s">
        <v>34</v>
      </c>
      <c r="E22" s="168">
        <v>4800</v>
      </c>
      <c r="F22" s="21">
        <v>1070.3115</v>
      </c>
      <c r="G22" s="21">
        <v>1076.5105000000001</v>
      </c>
      <c r="H22" s="18">
        <f t="shared" si="1"/>
        <v>29755.200000000332</v>
      </c>
      <c r="I22" s="19"/>
      <c r="J22" s="20"/>
    </row>
    <row r="23" spans="1:10" ht="15.75" x14ac:dyDescent="0.25">
      <c r="A23" s="15" t="s">
        <v>36</v>
      </c>
      <c r="B23" s="168" t="s">
        <v>13</v>
      </c>
      <c r="C23" s="168">
        <v>51097664</v>
      </c>
      <c r="D23" s="169" t="s">
        <v>37</v>
      </c>
      <c r="E23" s="168">
        <v>600</v>
      </c>
      <c r="F23" s="21">
        <v>3.9257</v>
      </c>
      <c r="G23" s="21">
        <v>3.9478</v>
      </c>
      <c r="H23" s="18">
        <f t="shared" si="1"/>
        <v>13.260000000000005</v>
      </c>
      <c r="I23" s="19"/>
      <c r="J23" s="20"/>
    </row>
    <row r="24" spans="1:10" ht="15.75" x14ac:dyDescent="0.25">
      <c r="A24" s="15" t="s">
        <v>38</v>
      </c>
      <c r="B24" s="168" t="s">
        <v>13</v>
      </c>
      <c r="C24" s="168">
        <v>51097615</v>
      </c>
      <c r="D24" s="169" t="s">
        <v>37</v>
      </c>
      <c r="E24" s="168">
        <v>600</v>
      </c>
      <c r="F24" s="21">
        <v>27.336500000000001</v>
      </c>
      <c r="G24" s="21">
        <v>27.721</v>
      </c>
      <c r="H24" s="18">
        <f t="shared" si="1"/>
        <v>230.69999999999951</v>
      </c>
      <c r="I24" s="19"/>
      <c r="J24" s="20"/>
    </row>
    <row r="25" spans="1:10" ht="15.75" x14ac:dyDescent="0.25">
      <c r="A25" s="15" t="s">
        <v>39</v>
      </c>
      <c r="B25" s="168" t="s">
        <v>13</v>
      </c>
      <c r="C25" s="168">
        <v>51217264</v>
      </c>
      <c r="D25" s="169" t="s">
        <v>37</v>
      </c>
      <c r="E25" s="168">
        <v>600</v>
      </c>
      <c r="F25" s="21">
        <v>71.150499999999994</v>
      </c>
      <c r="G25" s="21">
        <v>71.884100000000004</v>
      </c>
      <c r="H25" s="18">
        <f t="shared" si="1"/>
        <v>440.16000000000588</v>
      </c>
      <c r="I25" s="19"/>
      <c r="J25" s="20"/>
    </row>
    <row r="26" spans="1:10" ht="15.75" x14ac:dyDescent="0.25">
      <c r="A26" s="15" t="s">
        <v>40</v>
      </c>
      <c r="B26" s="168" t="s">
        <v>13</v>
      </c>
      <c r="C26" s="168">
        <v>51217288</v>
      </c>
      <c r="D26" s="169" t="s">
        <v>37</v>
      </c>
      <c r="E26" s="168">
        <v>600</v>
      </c>
      <c r="F26" s="21">
        <v>19.0395</v>
      </c>
      <c r="G26" s="21">
        <v>19.069900000000001</v>
      </c>
      <c r="H26" s="18">
        <f t="shared" si="1"/>
        <v>18.240000000000123</v>
      </c>
      <c r="I26" s="19" t="s">
        <v>27</v>
      </c>
      <c r="J26" s="20"/>
    </row>
    <row r="27" spans="1:10" ht="15.75" x14ac:dyDescent="0.25">
      <c r="A27" s="15" t="s">
        <v>41</v>
      </c>
      <c r="B27" s="168" t="s">
        <v>13</v>
      </c>
      <c r="C27" s="168">
        <v>51217279</v>
      </c>
      <c r="D27" s="169" t="s">
        <v>37</v>
      </c>
      <c r="E27" s="168">
        <v>600</v>
      </c>
      <c r="F27" s="21">
        <v>12.787800000000001</v>
      </c>
      <c r="G27" s="21">
        <v>12.841100000000001</v>
      </c>
      <c r="H27" s="18">
        <f t="shared" si="1"/>
        <v>31.980000000000075</v>
      </c>
      <c r="I27" s="19" t="s">
        <v>27</v>
      </c>
      <c r="J27" s="20"/>
    </row>
    <row r="28" spans="1:10" ht="15.75" x14ac:dyDescent="0.25">
      <c r="A28" s="15" t="s">
        <v>42</v>
      </c>
      <c r="B28" s="168" t="s">
        <v>13</v>
      </c>
      <c r="C28" s="168">
        <v>51217272</v>
      </c>
      <c r="D28" s="169" t="s">
        <v>37</v>
      </c>
      <c r="E28" s="168">
        <v>600</v>
      </c>
      <c r="F28" s="31">
        <v>12.545400000000001</v>
      </c>
      <c r="G28" s="31">
        <v>12.5976</v>
      </c>
      <c r="H28" s="18">
        <f t="shared" si="1"/>
        <v>31.319999999999482</v>
      </c>
      <c r="I28" s="19"/>
      <c r="J28" s="20"/>
    </row>
    <row r="29" spans="1:10" ht="15.75" x14ac:dyDescent="0.25">
      <c r="A29" s="15" t="s">
        <v>43</v>
      </c>
      <c r="B29" s="168" t="s">
        <v>13</v>
      </c>
      <c r="C29" s="168">
        <v>51616744</v>
      </c>
      <c r="D29" s="169">
        <f>300/5</f>
        <v>60</v>
      </c>
      <c r="E29" s="168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68" t="s">
        <v>13</v>
      </c>
      <c r="C30" s="168">
        <v>51555226</v>
      </c>
      <c r="D30" s="169">
        <f>300/5</f>
        <v>60</v>
      </c>
      <c r="E30" s="168">
        <v>3600</v>
      </c>
      <c r="F30" s="31">
        <v>325.10599999999999</v>
      </c>
      <c r="G30" s="31">
        <v>329.71910000000003</v>
      </c>
      <c r="H30" s="18">
        <f>(G30-F30)*E30</f>
        <v>16607.160000000113</v>
      </c>
      <c r="I30" s="19"/>
      <c r="J30" s="20"/>
    </row>
    <row r="31" spans="1:10" ht="15.75" x14ac:dyDescent="0.25">
      <c r="A31" s="15" t="s">
        <v>45</v>
      </c>
      <c r="B31" s="168" t="s">
        <v>13</v>
      </c>
      <c r="C31" s="168">
        <v>51097658</v>
      </c>
      <c r="D31" s="169" t="s">
        <v>34</v>
      </c>
      <c r="E31" s="168">
        <v>4800</v>
      </c>
      <c r="F31" s="31">
        <v>506.9042</v>
      </c>
      <c r="G31" s="31">
        <v>510.86669999999998</v>
      </c>
      <c r="H31" s="18">
        <f t="shared" si="1"/>
        <v>19019.999999999891</v>
      </c>
      <c r="I31" s="19"/>
      <c r="J31" s="20"/>
    </row>
    <row r="32" spans="1:10" ht="15.75" x14ac:dyDescent="0.25">
      <c r="A32" s="15" t="s">
        <v>46</v>
      </c>
      <c r="B32" s="168" t="s">
        <v>13</v>
      </c>
      <c r="C32" s="168">
        <v>51097635</v>
      </c>
      <c r="D32" s="169" t="s">
        <v>34</v>
      </c>
      <c r="E32" s="168">
        <v>4800</v>
      </c>
      <c r="F32" s="31">
        <v>48.436500000000002</v>
      </c>
      <c r="G32" s="31">
        <v>48.436599999999999</v>
      </c>
      <c r="H32" s="18">
        <f t="shared" si="1"/>
        <v>0.4799999999818283</v>
      </c>
      <c r="I32" s="19"/>
      <c r="J32" s="20"/>
    </row>
    <row r="33" spans="1:10" ht="15.75" x14ac:dyDescent="0.25">
      <c r="A33" s="15" t="s">
        <v>47</v>
      </c>
      <c r="B33" s="168" t="s">
        <v>13</v>
      </c>
      <c r="C33" s="32">
        <v>51097633</v>
      </c>
      <c r="D33" s="169" t="s">
        <v>34</v>
      </c>
      <c r="E33" s="168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68" t="s">
        <v>13</v>
      </c>
      <c r="C34" s="32">
        <v>51097662</v>
      </c>
      <c r="D34" s="169" t="s">
        <v>34</v>
      </c>
      <c r="E34" s="168">
        <v>4800</v>
      </c>
      <c r="F34" s="31">
        <v>0.96589999999999998</v>
      </c>
      <c r="G34" s="31">
        <v>1.0169999999999999</v>
      </c>
      <c r="H34" s="33">
        <f t="shared" si="1"/>
        <v>245.27999999999963</v>
      </c>
      <c r="I34" s="34"/>
      <c r="J34" s="35"/>
    </row>
    <row r="35" spans="1:10" ht="15.75" x14ac:dyDescent="0.25">
      <c r="A35" s="219" t="s">
        <v>48</v>
      </c>
      <c r="B35" s="220"/>
      <c r="C35" s="168"/>
      <c r="D35" s="169"/>
      <c r="E35" s="168"/>
      <c r="F35" s="36"/>
      <c r="G35" s="36"/>
      <c r="H35" s="23">
        <f>H21+H22+H23+H24+H25+H26+H27+H28+H29+H30+H31+H32+H33+H34</f>
        <v>66393.780000000319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68" t="s">
        <v>51</v>
      </c>
      <c r="C37" s="168">
        <v>51555209</v>
      </c>
      <c r="D37" s="169" t="s">
        <v>52</v>
      </c>
      <c r="E37" s="168">
        <v>7000</v>
      </c>
      <c r="F37" s="17">
        <v>3.6753999999999998</v>
      </c>
      <c r="G37" s="17">
        <v>3.7290000000000001</v>
      </c>
      <c r="H37" s="41">
        <f>(G37-F37)*E37</f>
        <v>375.20000000000221</v>
      </c>
      <c r="I37" s="42"/>
      <c r="J37" s="14"/>
    </row>
    <row r="38" spans="1:10" ht="15.75" x14ac:dyDescent="0.25">
      <c r="A38" s="15" t="s">
        <v>53</v>
      </c>
      <c r="B38" s="168" t="s">
        <v>51</v>
      </c>
      <c r="C38" s="168">
        <v>51555209</v>
      </c>
      <c r="D38" s="169" t="s">
        <v>52</v>
      </c>
      <c r="E38" s="168">
        <v>7000</v>
      </c>
      <c r="F38" s="21">
        <v>8.4758999999999993</v>
      </c>
      <c r="G38" s="21">
        <v>8.5162999999999993</v>
      </c>
      <c r="H38" s="18">
        <f>(G38-F38)*E38</f>
        <v>282.79999999999995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68" t="s">
        <v>51</v>
      </c>
      <c r="C40" s="168">
        <v>51097674</v>
      </c>
      <c r="D40" s="168" t="s">
        <v>14</v>
      </c>
      <c r="E40" s="168">
        <v>7200</v>
      </c>
      <c r="F40" s="21">
        <v>488.07490000000001</v>
      </c>
      <c r="G40" s="21">
        <v>490.59539999999998</v>
      </c>
      <c r="H40" s="18">
        <f>(G40-F40)*E40</f>
        <v>18147.599999999784</v>
      </c>
      <c r="I40" s="47"/>
      <c r="J40" s="20"/>
    </row>
    <row r="41" spans="1:10" ht="15.75" x14ac:dyDescent="0.25">
      <c r="A41" s="27" t="s">
        <v>56</v>
      </c>
      <c r="B41" s="168" t="s">
        <v>51</v>
      </c>
      <c r="C41" s="168">
        <v>51259257</v>
      </c>
      <c r="D41" s="168" t="s">
        <v>14</v>
      </c>
      <c r="E41" s="168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68"/>
      <c r="C42" s="168"/>
      <c r="D42" s="168"/>
      <c r="E42" s="168"/>
      <c r="F42" s="21"/>
      <c r="G42" s="21"/>
      <c r="H42" s="48">
        <f>H40+H41</f>
        <v>18147.599999999784</v>
      </c>
      <c r="I42" s="24">
        <f>H42-H50</f>
        <v>-110.00000000026921</v>
      </c>
      <c r="J42" s="25">
        <f>I42/H42</f>
        <v>-6.0614075690598491E-3</v>
      </c>
    </row>
    <row r="43" spans="1:10" ht="15.75" x14ac:dyDescent="0.25">
      <c r="A43" s="15" t="s">
        <v>58</v>
      </c>
      <c r="B43" s="168"/>
      <c r="C43" s="168"/>
      <c r="D43" s="169"/>
      <c r="E43" s="168"/>
      <c r="H43" s="18"/>
      <c r="I43" s="43"/>
      <c r="J43" s="20"/>
    </row>
    <row r="44" spans="1:10" ht="15.75" x14ac:dyDescent="0.25">
      <c r="A44" s="27" t="s">
        <v>59</v>
      </c>
      <c r="B44" s="168" t="s">
        <v>51</v>
      </c>
      <c r="C44" s="32">
        <v>51097648</v>
      </c>
      <c r="D44" s="168" t="s">
        <v>52</v>
      </c>
      <c r="E44" s="168">
        <v>1200</v>
      </c>
      <c r="F44" s="21">
        <v>399.48349999999999</v>
      </c>
      <c r="G44" s="21">
        <v>401.55860000000001</v>
      </c>
      <c r="H44" s="33">
        <f>(G44-F44)*E44</f>
        <v>2490.1200000000244</v>
      </c>
      <c r="I44" s="43"/>
      <c r="J44" s="20"/>
    </row>
    <row r="45" spans="1:10" ht="15.75" x14ac:dyDescent="0.25">
      <c r="A45" s="27" t="s">
        <v>60</v>
      </c>
      <c r="B45" s="168" t="s">
        <v>51</v>
      </c>
      <c r="C45" s="32">
        <v>50555043</v>
      </c>
      <c r="D45" s="168" t="s">
        <v>52</v>
      </c>
      <c r="E45" s="168">
        <v>1200</v>
      </c>
      <c r="F45" s="21">
        <v>1673.8731</v>
      </c>
      <c r="G45" s="21">
        <v>1682.2561000000001</v>
      </c>
      <c r="H45" s="33">
        <f>(G45-F45)*E45</f>
        <v>10059.600000000046</v>
      </c>
      <c r="I45" s="43"/>
      <c r="J45" s="20"/>
    </row>
    <row r="46" spans="1:10" ht="15.75" x14ac:dyDescent="0.25">
      <c r="A46" s="27" t="s">
        <v>61</v>
      </c>
      <c r="B46" s="168" t="s">
        <v>51</v>
      </c>
      <c r="C46" s="32">
        <v>51259336</v>
      </c>
      <c r="D46" s="168" t="s">
        <v>62</v>
      </c>
      <c r="E46" s="168">
        <v>2400</v>
      </c>
      <c r="F46" s="21">
        <v>3.5352999999999999</v>
      </c>
      <c r="G46" s="21">
        <v>3.5487000000000002</v>
      </c>
      <c r="H46" s="33">
        <f>(G46-F46)*E46</f>
        <v>32.160000000000721</v>
      </c>
      <c r="I46" s="43"/>
      <c r="J46" s="20"/>
    </row>
    <row r="47" spans="1:10" ht="15.75" x14ac:dyDescent="0.25">
      <c r="A47" s="27" t="s">
        <v>63</v>
      </c>
      <c r="B47" s="168" t="s">
        <v>51</v>
      </c>
      <c r="C47" s="32">
        <v>51259266</v>
      </c>
      <c r="D47" s="168" t="s">
        <v>52</v>
      </c>
      <c r="E47" s="168">
        <v>1200</v>
      </c>
      <c r="F47" s="21">
        <v>812.50300000000004</v>
      </c>
      <c r="G47" s="21">
        <v>816.88440000000003</v>
      </c>
      <c r="H47" s="33">
        <f>(G47-F47)*E47</f>
        <v>5257.6799999999821</v>
      </c>
      <c r="I47" s="43"/>
      <c r="J47" s="20"/>
    </row>
    <row r="48" spans="1:10" ht="15.75" x14ac:dyDescent="0.25">
      <c r="A48" s="27" t="s">
        <v>64</v>
      </c>
      <c r="B48" s="168" t="s">
        <v>51</v>
      </c>
      <c r="C48" s="32">
        <v>51431336</v>
      </c>
      <c r="D48" s="168" t="s">
        <v>52</v>
      </c>
      <c r="E48" s="168">
        <v>1200</v>
      </c>
      <c r="F48" s="21">
        <v>43.374400000000001</v>
      </c>
      <c r="G48" s="21">
        <v>43.681100000000001</v>
      </c>
      <c r="H48" s="33">
        <f>(G48-F48)*E48</f>
        <v>368.03999999999917</v>
      </c>
      <c r="I48" s="43"/>
      <c r="J48" s="20"/>
    </row>
    <row r="49" spans="1:10" ht="15.75" x14ac:dyDescent="0.25">
      <c r="A49" s="15" t="s">
        <v>65</v>
      </c>
      <c r="B49" s="168" t="s">
        <v>66</v>
      </c>
      <c r="C49" s="168">
        <v>49174</v>
      </c>
      <c r="D49" s="169" t="s">
        <v>52</v>
      </c>
      <c r="E49" s="168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18257.600000000053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68" t="s">
        <v>51</v>
      </c>
      <c r="C52" s="168">
        <v>51097603</v>
      </c>
      <c r="D52" s="169" t="s">
        <v>52</v>
      </c>
      <c r="E52" s="168">
        <v>7000</v>
      </c>
      <c r="F52" s="17">
        <v>1620.5482999999999</v>
      </c>
      <c r="G52" s="17">
        <v>1629.5974000000001</v>
      </c>
      <c r="H52" s="18">
        <f>(G52-F52)*E52</f>
        <v>63343.700000001263</v>
      </c>
      <c r="I52" s="43"/>
      <c r="J52" s="20"/>
    </row>
    <row r="53" spans="1:10" ht="15.75" x14ac:dyDescent="0.25">
      <c r="A53" s="27" t="s">
        <v>71</v>
      </c>
      <c r="B53" s="168" t="s">
        <v>51</v>
      </c>
      <c r="C53" s="168">
        <v>51097590</v>
      </c>
      <c r="D53" s="169" t="s">
        <v>52</v>
      </c>
      <c r="E53" s="168">
        <v>7000</v>
      </c>
      <c r="F53" s="21">
        <v>9.4512</v>
      </c>
      <c r="G53" s="21">
        <v>9.5286000000000008</v>
      </c>
      <c r="H53" s="18">
        <f>(G53-F53)*E53</f>
        <v>541.80000000000564</v>
      </c>
      <c r="I53" s="43"/>
      <c r="J53" s="20"/>
    </row>
    <row r="54" spans="1:10" ht="15.75" x14ac:dyDescent="0.25">
      <c r="A54" s="15" t="s">
        <v>65</v>
      </c>
      <c r="B54" s="168" t="s">
        <v>66</v>
      </c>
      <c r="C54" s="168">
        <v>49174</v>
      </c>
      <c r="D54" s="169" t="s">
        <v>52</v>
      </c>
      <c r="E54" s="168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68"/>
      <c r="D55" s="169"/>
      <c r="E55" s="168"/>
      <c r="F55" s="21"/>
      <c r="G55" s="21"/>
      <c r="H55" s="48">
        <f>H52+H53+H54</f>
        <v>63985.500000001266</v>
      </c>
      <c r="I55" s="47"/>
      <c r="J55" s="59"/>
    </row>
    <row r="56" spans="1:10" ht="15.75" x14ac:dyDescent="0.25">
      <c r="A56" s="27" t="s">
        <v>73</v>
      </c>
      <c r="B56" s="168" t="s">
        <v>51</v>
      </c>
      <c r="C56" s="168">
        <v>51100980</v>
      </c>
      <c r="D56" s="168" t="s">
        <v>74</v>
      </c>
      <c r="E56" s="168">
        <v>12000</v>
      </c>
      <c r="F56" s="21">
        <v>953.08860000000004</v>
      </c>
      <c r="G56" s="21">
        <v>958.42960000000005</v>
      </c>
      <c r="H56" s="18">
        <f>(G56-F56)*E56</f>
        <v>64092.000000000102</v>
      </c>
      <c r="I56" s="47"/>
      <c r="J56" s="58"/>
    </row>
    <row r="57" spans="1:10" ht="15.75" x14ac:dyDescent="0.25">
      <c r="A57" s="27" t="s">
        <v>75</v>
      </c>
      <c r="B57" s="168" t="s">
        <v>51</v>
      </c>
      <c r="C57" s="168">
        <v>51097623</v>
      </c>
      <c r="D57" s="168" t="s">
        <v>74</v>
      </c>
      <c r="E57" s="168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68"/>
      <c r="C58" s="168"/>
      <c r="D58" s="168"/>
      <c r="E58" s="168"/>
      <c r="F58" s="21"/>
      <c r="G58" s="21"/>
      <c r="H58" s="48">
        <f>H56+H57</f>
        <v>64092.000000000102</v>
      </c>
      <c r="I58" s="61">
        <f>H55-H65-H54</f>
        <v>-313.89999999881547</v>
      </c>
      <c r="J58" s="25">
        <f>I58/H58</f>
        <v>-4.8976471322289047E-3</v>
      </c>
    </row>
    <row r="59" spans="1:10" ht="15.75" x14ac:dyDescent="0.25">
      <c r="A59" s="27" t="s">
        <v>77</v>
      </c>
      <c r="B59" s="168" t="s">
        <v>51</v>
      </c>
      <c r="C59" s="168">
        <v>51097675</v>
      </c>
      <c r="D59" s="168" t="s">
        <v>34</v>
      </c>
      <c r="E59" s="168">
        <v>4800</v>
      </c>
      <c r="F59" s="21">
        <v>371.47359999999998</v>
      </c>
      <c r="G59" s="21">
        <v>375.017</v>
      </c>
      <c r="H59" s="18">
        <f t="shared" ref="H59:H64" si="2">(G59-F59)*E59</f>
        <v>17008.320000000094</v>
      </c>
      <c r="I59" s="62"/>
      <c r="J59" s="59"/>
    </row>
    <row r="60" spans="1:10" ht="15.75" x14ac:dyDescent="0.25">
      <c r="A60" s="27" t="s">
        <v>78</v>
      </c>
      <c r="B60" s="168" t="s">
        <v>51</v>
      </c>
      <c r="C60" s="168">
        <v>51100997</v>
      </c>
      <c r="D60" s="168" t="s">
        <v>21</v>
      </c>
      <c r="E60" s="168">
        <v>3600</v>
      </c>
      <c r="F60" s="21">
        <v>1222.3679</v>
      </c>
      <c r="G60" s="21">
        <v>1228.1279</v>
      </c>
      <c r="H60" s="18">
        <f t="shared" si="2"/>
        <v>20735.999999999967</v>
      </c>
      <c r="I60" s="62"/>
      <c r="J60" s="59"/>
    </row>
    <row r="61" spans="1:10" ht="15.75" x14ac:dyDescent="0.25">
      <c r="A61" s="27" t="s">
        <v>79</v>
      </c>
      <c r="B61" s="168" t="s">
        <v>51</v>
      </c>
      <c r="C61" s="168">
        <v>51555218</v>
      </c>
      <c r="D61" s="168">
        <f>400/5</f>
        <v>80</v>
      </c>
      <c r="E61" s="168">
        <v>4800</v>
      </c>
      <c r="F61" s="21">
        <v>41.852699999999999</v>
      </c>
      <c r="G61" s="21">
        <v>42.313699999999997</v>
      </c>
      <c r="H61" s="18">
        <f t="shared" si="2"/>
        <v>2212.7999999999929</v>
      </c>
      <c r="I61" s="62"/>
      <c r="J61" s="59"/>
    </row>
    <row r="62" spans="1:10" ht="15.75" x14ac:dyDescent="0.25">
      <c r="A62" s="27" t="s">
        <v>80</v>
      </c>
      <c r="B62" s="168" t="s">
        <v>51</v>
      </c>
      <c r="C62" s="168">
        <v>51555151</v>
      </c>
      <c r="D62" s="168">
        <f>400/5</f>
        <v>80</v>
      </c>
      <c r="E62" s="168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68" t="s">
        <v>51</v>
      </c>
      <c r="C63" s="168">
        <v>51097599</v>
      </c>
      <c r="D63" s="168" t="s">
        <v>21</v>
      </c>
      <c r="E63" s="168">
        <v>3600</v>
      </c>
      <c r="F63" s="21">
        <v>856.58619999999996</v>
      </c>
      <c r="G63" s="21">
        <v>859.79070000000002</v>
      </c>
      <c r="H63" s="18">
        <f t="shared" si="2"/>
        <v>11536.20000000019</v>
      </c>
      <c r="I63" s="62"/>
      <c r="J63" s="59"/>
    </row>
    <row r="64" spans="1:10" ht="15.75" x14ac:dyDescent="0.25">
      <c r="A64" s="27" t="s">
        <v>82</v>
      </c>
      <c r="B64" s="168" t="s">
        <v>51</v>
      </c>
      <c r="C64" s="168">
        <v>51097620</v>
      </c>
      <c r="D64" s="168" t="s">
        <v>34</v>
      </c>
      <c r="E64" s="168">
        <v>4800</v>
      </c>
      <c r="F64" s="21">
        <v>398.90280000000001</v>
      </c>
      <c r="G64" s="21">
        <v>401.54989999999998</v>
      </c>
      <c r="H64" s="18">
        <f t="shared" si="2"/>
        <v>12706.079999999838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64199.400000000081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68" t="s">
        <v>51</v>
      </c>
      <c r="C67" s="9">
        <v>51259238</v>
      </c>
      <c r="D67" s="74" t="s">
        <v>52</v>
      </c>
      <c r="E67" s="74">
        <v>7000</v>
      </c>
      <c r="F67" s="75">
        <v>436.61630000000002</v>
      </c>
      <c r="G67" s="75">
        <v>439.46469999999999</v>
      </c>
      <c r="H67" s="76">
        <f>(G67-F67)*E67</f>
        <v>19938.799999999788</v>
      </c>
      <c r="I67" s="77"/>
      <c r="J67" s="78"/>
    </row>
    <row r="68" spans="1:10" ht="15.75" x14ac:dyDescent="0.25">
      <c r="A68" s="27" t="s">
        <v>85</v>
      </c>
      <c r="B68" s="168" t="s">
        <v>51</v>
      </c>
      <c r="C68" s="168">
        <v>51259324</v>
      </c>
      <c r="D68" s="169" t="s">
        <v>52</v>
      </c>
      <c r="E68" s="169">
        <v>7000</v>
      </c>
      <c r="F68" s="21">
        <v>335.60599999999999</v>
      </c>
      <c r="G68" s="21">
        <v>337.71780000000001</v>
      </c>
      <c r="H68" s="18">
        <f>(G68-F68)*E68</f>
        <v>14782.600000000115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68">
        <v>51491618</v>
      </c>
      <c r="D69" s="169" t="s">
        <v>62</v>
      </c>
      <c r="E69" s="168">
        <v>40</v>
      </c>
      <c r="F69" s="28">
        <v>786.30949999999996</v>
      </c>
      <c r="G69" s="28">
        <v>796.84500000000003</v>
      </c>
      <c r="H69" s="18">
        <f>(G69-F69)*E69</f>
        <v>421.4200000000028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68">
        <v>51491624</v>
      </c>
      <c r="D70" s="169" t="s">
        <v>62</v>
      </c>
      <c r="E70" s="168">
        <v>40</v>
      </c>
      <c r="F70" s="28">
        <v>109.87649999999999</v>
      </c>
      <c r="G70" s="28">
        <v>111.15300000000001</v>
      </c>
      <c r="H70" s="18">
        <f>(G70-F70)*E70</f>
        <v>51.060000000000514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34721.399999999907</v>
      </c>
      <c r="I71" s="85">
        <f>H71-H74-H69-H70</f>
        <v>-1152.2799999996569</v>
      </c>
      <c r="J71" s="25">
        <f>I71/H71</f>
        <v>-3.3186449855122778E-2</v>
      </c>
    </row>
    <row r="72" spans="1:10" ht="15.75" x14ac:dyDescent="0.25">
      <c r="A72" s="27" t="s">
        <v>90</v>
      </c>
      <c r="B72" s="168" t="s">
        <v>51</v>
      </c>
      <c r="C72" s="86">
        <v>51097588</v>
      </c>
      <c r="D72" s="169" t="s">
        <v>74</v>
      </c>
      <c r="E72" s="168">
        <v>12000</v>
      </c>
      <c r="F72" s="21">
        <v>264.47750000000002</v>
      </c>
      <c r="G72" s="21">
        <v>266.14729999999997</v>
      </c>
      <c r="H72" s="18">
        <f>(G72-F72)*E72</f>
        <v>20037.599999999431</v>
      </c>
      <c r="I72" s="51"/>
      <c r="J72" s="58"/>
    </row>
    <row r="73" spans="1:10" ht="15.75" x14ac:dyDescent="0.25">
      <c r="A73" s="27" t="s">
        <v>91</v>
      </c>
      <c r="B73" s="168" t="s">
        <v>51</v>
      </c>
      <c r="C73" s="86">
        <v>51431335</v>
      </c>
      <c r="D73" s="169" t="s">
        <v>74</v>
      </c>
      <c r="E73" s="168">
        <v>12000</v>
      </c>
      <c r="F73" s="21">
        <v>206.2251</v>
      </c>
      <c r="G73" s="21">
        <v>207.50540000000001</v>
      </c>
      <c r="H73" s="18">
        <f>(G73-F73)*E73</f>
        <v>15363.600000000133</v>
      </c>
      <c r="I73" s="51"/>
      <c r="J73" s="58"/>
    </row>
    <row r="74" spans="1:10" ht="15.75" x14ac:dyDescent="0.25">
      <c r="A74" s="87" t="s">
        <v>92</v>
      </c>
      <c r="B74" s="168" t="s">
        <v>27</v>
      </c>
      <c r="C74" s="168"/>
      <c r="D74" s="169"/>
      <c r="E74" s="168"/>
      <c r="F74" s="21"/>
      <c r="G74" s="21"/>
      <c r="H74" s="48">
        <f>H72+ H73</f>
        <v>35401.199999999561</v>
      </c>
      <c r="I74" s="85">
        <f>H74-H82</f>
        <v>-99.96000000044296</v>
      </c>
      <c r="J74" s="25">
        <f>I74/H74</f>
        <v>-2.8236330971956941E-3</v>
      </c>
    </row>
    <row r="75" spans="1:10" ht="15.75" x14ac:dyDescent="0.25">
      <c r="A75" s="27" t="s">
        <v>93</v>
      </c>
      <c r="B75" s="168" t="s">
        <v>51</v>
      </c>
      <c r="C75" s="86">
        <v>51097676</v>
      </c>
      <c r="D75" s="88" t="s">
        <v>62</v>
      </c>
      <c r="E75" s="168">
        <v>2400</v>
      </c>
      <c r="F75" s="21">
        <v>531.66179999999997</v>
      </c>
      <c r="G75" s="21">
        <v>535.79449999999997</v>
      </c>
      <c r="H75" s="18">
        <f>(G75-F75)*E75</f>
        <v>9918.48</v>
      </c>
      <c r="I75" s="51"/>
      <c r="J75" s="58"/>
    </row>
    <row r="76" spans="1:10" ht="15.75" x14ac:dyDescent="0.25">
      <c r="A76" s="27" t="s">
        <v>94</v>
      </c>
      <c r="B76" s="168" t="s">
        <v>51</v>
      </c>
      <c r="C76" s="86">
        <v>51431355</v>
      </c>
      <c r="D76" s="169" t="s">
        <v>21</v>
      </c>
      <c r="E76" s="169">
        <v>3600</v>
      </c>
      <c r="F76" s="21">
        <v>307.70909999999998</v>
      </c>
      <c r="G76" s="21">
        <v>308.87880000000001</v>
      </c>
      <c r="H76" s="18">
        <f>(G76-F76)*E76</f>
        <v>4210.9200000001238</v>
      </c>
      <c r="I76" s="51"/>
      <c r="J76" s="52"/>
    </row>
    <row r="77" spans="1:10" ht="15.75" x14ac:dyDescent="0.25">
      <c r="A77" s="27" t="s">
        <v>95</v>
      </c>
      <c r="B77" s="168" t="s">
        <v>51</v>
      </c>
      <c r="C77" s="86">
        <v>51259331</v>
      </c>
      <c r="D77" s="88" t="s">
        <v>37</v>
      </c>
      <c r="E77" s="168">
        <v>600</v>
      </c>
      <c r="F77" s="21">
        <v>122.43519999999999</v>
      </c>
      <c r="G77" s="21">
        <v>123.5716</v>
      </c>
      <c r="H77" s="18">
        <f>(G77-F77)*E77</f>
        <v>681.84000000000538</v>
      </c>
      <c r="I77" s="51"/>
      <c r="J77" s="52"/>
    </row>
    <row r="78" spans="1:10" ht="15.75" x14ac:dyDescent="0.25">
      <c r="A78" s="27" t="s">
        <v>96</v>
      </c>
      <c r="B78" s="168" t="s">
        <v>51</v>
      </c>
      <c r="C78" s="86">
        <v>51259326</v>
      </c>
      <c r="D78" s="88" t="s">
        <v>14</v>
      </c>
      <c r="E78" s="168">
        <v>7200</v>
      </c>
      <c r="F78" s="21">
        <v>267.9271</v>
      </c>
      <c r="G78" s="21">
        <v>269.34719999999999</v>
      </c>
      <c r="H78" s="18">
        <f>(G78-F78)*E78</f>
        <v>10224.719999999934</v>
      </c>
      <c r="I78" s="51"/>
      <c r="J78" s="52"/>
    </row>
    <row r="79" spans="1:10" ht="15.75" x14ac:dyDescent="0.25">
      <c r="A79" s="27" t="s">
        <v>97</v>
      </c>
      <c r="B79" s="168" t="s">
        <v>51</v>
      </c>
      <c r="C79" s="86">
        <v>51431351</v>
      </c>
      <c r="D79" s="88" t="s">
        <v>14</v>
      </c>
      <c r="E79" s="168">
        <v>7200</v>
      </c>
      <c r="F79" s="21">
        <v>176.70230000000001</v>
      </c>
      <c r="G79" s="21">
        <v>178.1558</v>
      </c>
      <c r="H79" s="18">
        <f>(G79-F79)*E79</f>
        <v>10465.199999999935</v>
      </c>
      <c r="I79" s="51"/>
      <c r="J79" s="52"/>
    </row>
    <row r="80" spans="1:10" ht="15.75" x14ac:dyDescent="0.25">
      <c r="A80" s="89" t="s">
        <v>98</v>
      </c>
      <c r="B80" s="168" t="s">
        <v>51</v>
      </c>
      <c r="C80" s="90">
        <v>51097666</v>
      </c>
      <c r="D80" s="88" t="s">
        <v>62</v>
      </c>
      <c r="E80" s="168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68" t="s">
        <v>51</v>
      </c>
      <c r="C81" s="90">
        <v>51259323</v>
      </c>
      <c r="D81" s="88" t="s">
        <v>62</v>
      </c>
      <c r="E81" s="168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35501.160000000003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68" t="s">
        <v>51</v>
      </c>
      <c r="C84" s="106">
        <v>51431297</v>
      </c>
      <c r="D84" s="169" t="s">
        <v>52</v>
      </c>
      <c r="E84" s="100">
        <v>7000</v>
      </c>
      <c r="F84" s="17">
        <v>216.39519999999999</v>
      </c>
      <c r="G84" s="17">
        <v>218.8921</v>
      </c>
      <c r="H84" s="18">
        <f>(G84-F84)*E84</f>
        <v>17478.300000000076</v>
      </c>
      <c r="I84" s="107"/>
      <c r="J84" s="108"/>
    </row>
    <row r="85" spans="1:10" ht="15.75" x14ac:dyDescent="0.25">
      <c r="A85" s="105" t="s">
        <v>85</v>
      </c>
      <c r="B85" s="168" t="s">
        <v>51</v>
      </c>
      <c r="C85" s="106">
        <v>51431332</v>
      </c>
      <c r="D85" s="169" t="s">
        <v>52</v>
      </c>
      <c r="E85" s="100">
        <v>7000</v>
      </c>
      <c r="F85" s="21">
        <v>305.7405</v>
      </c>
      <c r="G85" s="21">
        <v>305.88799999999998</v>
      </c>
      <c r="H85" s="18">
        <f>(G85-F85)*E85</f>
        <v>1032.4999999998568</v>
      </c>
      <c r="I85" s="168"/>
      <c r="J85" s="58"/>
    </row>
    <row r="86" spans="1:10" ht="15.75" x14ac:dyDescent="0.25">
      <c r="A86" s="27" t="s">
        <v>86</v>
      </c>
      <c r="B86" s="168" t="s">
        <v>102</v>
      </c>
      <c r="C86" s="109">
        <v>150773</v>
      </c>
      <c r="D86" s="169" t="s">
        <v>52</v>
      </c>
      <c r="E86" s="109">
        <v>20</v>
      </c>
      <c r="F86" s="17">
        <v>15292.4</v>
      </c>
      <c r="G86" s="17">
        <v>15301.1</v>
      </c>
      <c r="H86" s="18">
        <f>(G86-F86)*E86</f>
        <v>174.00000000001455</v>
      </c>
      <c r="I86" s="51"/>
      <c r="J86" s="58"/>
    </row>
    <row r="87" spans="1:10" ht="15.75" x14ac:dyDescent="0.25">
      <c r="A87" s="27" t="s">
        <v>88</v>
      </c>
      <c r="B87" s="168" t="s">
        <v>102</v>
      </c>
      <c r="C87" s="109">
        <v>150791</v>
      </c>
      <c r="D87" s="169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70"/>
      <c r="C88" s="32"/>
      <c r="D88" s="82"/>
      <c r="E88" s="82"/>
      <c r="F88" s="21"/>
      <c r="G88" s="21"/>
      <c r="H88" s="48">
        <f>H84+H85</f>
        <v>18510.799999999934</v>
      </c>
      <c r="I88" s="85">
        <f>H88-H91-H86-H87</f>
        <v>449.59999999998035</v>
      </c>
      <c r="J88" s="25">
        <f>I88/H88</f>
        <v>2.4288523456575728E-2</v>
      </c>
    </row>
    <row r="89" spans="1:10" ht="15.75" x14ac:dyDescent="0.25">
      <c r="A89" s="27" t="s">
        <v>103</v>
      </c>
      <c r="B89" s="168" t="s">
        <v>51</v>
      </c>
      <c r="C89" s="106">
        <v>51431342</v>
      </c>
      <c r="D89" s="88" t="s">
        <v>34</v>
      </c>
      <c r="E89" s="168">
        <v>4800</v>
      </c>
      <c r="F89" s="21">
        <v>306.20400000000001</v>
      </c>
      <c r="G89" s="21">
        <v>309.79860000000002</v>
      </c>
      <c r="H89" s="18">
        <f>(G89-F89)*E89</f>
        <v>17254.080000000067</v>
      </c>
      <c r="I89" s="51"/>
      <c r="J89" s="52"/>
    </row>
    <row r="90" spans="1:10" ht="15.75" x14ac:dyDescent="0.25">
      <c r="A90" s="27" t="s">
        <v>104</v>
      </c>
      <c r="B90" s="168" t="s">
        <v>51</v>
      </c>
      <c r="C90" s="106">
        <v>51431343</v>
      </c>
      <c r="D90" s="88" t="s">
        <v>34</v>
      </c>
      <c r="E90" s="168">
        <v>4800</v>
      </c>
      <c r="F90" s="21">
        <v>433.47210000000001</v>
      </c>
      <c r="G90" s="21">
        <v>433.60399999999998</v>
      </c>
      <c r="H90" s="18">
        <f>(G90-F90)*E90</f>
        <v>633.11999999987165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17887.199999999939</v>
      </c>
      <c r="I91" s="85">
        <f>H91-H99</f>
        <v>-104.10000000003856</v>
      </c>
      <c r="J91" s="25">
        <f>I91/H91</f>
        <v>-5.8198041057314119E-3</v>
      </c>
    </row>
    <row r="92" spans="1:10" ht="15.75" x14ac:dyDescent="0.25">
      <c r="A92" s="27" t="s">
        <v>106</v>
      </c>
      <c r="B92" s="168" t="s">
        <v>51</v>
      </c>
      <c r="C92" s="106">
        <v>51431347</v>
      </c>
      <c r="D92" s="169" t="s">
        <v>52</v>
      </c>
      <c r="E92" s="168">
        <v>1200</v>
      </c>
      <c r="F92" s="21">
        <v>958.84389999999996</v>
      </c>
      <c r="G92" s="21">
        <v>958.84389999999996</v>
      </c>
      <c r="H92" s="18">
        <f t="shared" ref="H92:H100" si="4">(G92-F92)*E92</f>
        <v>0</v>
      </c>
      <c r="I92" s="51"/>
      <c r="J92" s="52"/>
    </row>
    <row r="93" spans="1:10" ht="15.75" x14ac:dyDescent="0.25">
      <c r="A93" s="27" t="s">
        <v>107</v>
      </c>
      <c r="B93" s="168" t="s">
        <v>51</v>
      </c>
      <c r="C93" s="106">
        <v>51431339</v>
      </c>
      <c r="D93" s="169" t="s">
        <v>52</v>
      </c>
      <c r="E93" s="168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68" t="s">
        <v>51</v>
      </c>
      <c r="C94" s="106">
        <v>51217244</v>
      </c>
      <c r="D94" s="168" t="s">
        <v>37</v>
      </c>
      <c r="E94" s="168">
        <v>600</v>
      </c>
      <c r="F94" s="30">
        <v>253.2818</v>
      </c>
      <c r="G94" s="30">
        <v>254.2158</v>
      </c>
      <c r="H94" s="18">
        <f t="shared" si="4"/>
        <v>560.3999999999985</v>
      </c>
      <c r="I94" s="51"/>
      <c r="J94" s="52"/>
    </row>
    <row r="95" spans="1:10" ht="15.75" x14ac:dyDescent="0.25">
      <c r="A95" s="27" t="s">
        <v>109</v>
      </c>
      <c r="B95" s="168" t="s">
        <v>51</v>
      </c>
      <c r="C95" s="106">
        <v>51217267</v>
      </c>
      <c r="D95" s="88" t="s">
        <v>62</v>
      </c>
      <c r="E95" s="168">
        <v>2400</v>
      </c>
      <c r="F95" s="30">
        <v>18.915299999999998</v>
      </c>
      <c r="G95" s="30">
        <v>18.947600000000001</v>
      </c>
      <c r="H95" s="18">
        <f t="shared" si="4"/>
        <v>77.520000000006917</v>
      </c>
      <c r="I95" s="51"/>
      <c r="J95" s="52"/>
    </row>
    <row r="96" spans="1:10" ht="15.75" x14ac:dyDescent="0.25">
      <c r="A96" s="27" t="s">
        <v>110</v>
      </c>
      <c r="B96" s="168" t="s">
        <v>51</v>
      </c>
      <c r="C96" s="168">
        <v>51555165</v>
      </c>
      <c r="D96" s="169" t="s">
        <v>52</v>
      </c>
      <c r="E96" s="168">
        <v>1200</v>
      </c>
      <c r="F96" s="30">
        <v>717.28129999999999</v>
      </c>
      <c r="G96" s="30">
        <v>725.87189999999998</v>
      </c>
      <c r="H96" s="18">
        <f t="shared" si="4"/>
        <v>10308.719999999994</v>
      </c>
      <c r="I96" s="51" t="s">
        <v>27</v>
      </c>
      <c r="J96" s="52"/>
    </row>
    <row r="97" spans="1:10" ht="15.75" x14ac:dyDescent="0.25">
      <c r="A97" s="113" t="s">
        <v>111</v>
      </c>
      <c r="B97" s="168" t="s">
        <v>51</v>
      </c>
      <c r="C97" s="106">
        <v>51431346</v>
      </c>
      <c r="D97" s="114" t="s">
        <v>37</v>
      </c>
      <c r="E97" s="114">
        <v>600</v>
      </c>
      <c r="F97" s="30">
        <v>296.92079999999999</v>
      </c>
      <c r="G97" s="30">
        <v>299.16430000000003</v>
      </c>
      <c r="H97" s="115">
        <f t="shared" si="4"/>
        <v>1346.100000000024</v>
      </c>
      <c r="I97" s="116"/>
      <c r="J97" s="117"/>
    </row>
    <row r="98" spans="1:10" ht="15.75" x14ac:dyDescent="0.25">
      <c r="A98" s="27" t="s">
        <v>112</v>
      </c>
      <c r="B98" s="168" t="s">
        <v>51</v>
      </c>
      <c r="C98" s="106">
        <v>51431352</v>
      </c>
      <c r="D98" s="88" t="s">
        <v>21</v>
      </c>
      <c r="E98" s="168">
        <v>3600</v>
      </c>
      <c r="F98" s="21">
        <v>160.215</v>
      </c>
      <c r="G98" s="21">
        <v>161.74959999999999</v>
      </c>
      <c r="H98" s="18">
        <f t="shared" si="4"/>
        <v>5524.5599999999395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17991.299999999977</v>
      </c>
      <c r="I99" s="51"/>
      <c r="J99" s="52"/>
    </row>
    <row r="100" spans="1:10" ht="15.75" x14ac:dyDescent="0.25">
      <c r="A100" s="45" t="s">
        <v>113</v>
      </c>
      <c r="B100" s="168" t="s">
        <v>51</v>
      </c>
      <c r="C100" s="120">
        <v>51431357</v>
      </c>
      <c r="D100" s="169" t="s">
        <v>62</v>
      </c>
      <c r="E100" s="169">
        <v>14000</v>
      </c>
      <c r="F100" s="28">
        <v>683.37919999999997</v>
      </c>
      <c r="G100" s="28">
        <v>685.93399999999997</v>
      </c>
      <c r="H100" s="121">
        <f t="shared" si="4"/>
        <v>35767.200000000004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C1" workbookViewId="0">
      <selection activeCell="E27" sqref="E27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141</v>
      </c>
      <c r="G3" s="4" t="s">
        <v>142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71" t="s">
        <v>13</v>
      </c>
      <c r="C5" s="171">
        <v>51555166</v>
      </c>
      <c r="D5" s="171" t="s">
        <v>14</v>
      </c>
      <c r="E5" s="171">
        <v>132000</v>
      </c>
      <c r="F5" s="17">
        <v>2.3950999999999998</v>
      </c>
      <c r="G5" s="17">
        <v>2.4062000000000001</v>
      </c>
      <c r="H5" s="18">
        <f>(G5-F5)*E5</f>
        <v>1465.2000000000437</v>
      </c>
      <c r="I5" s="19"/>
      <c r="J5" s="20"/>
    </row>
    <row r="6" spans="1:10" ht="15.75" x14ac:dyDescent="0.25">
      <c r="A6" s="15" t="s">
        <v>15</v>
      </c>
      <c r="B6" s="171" t="s">
        <v>13</v>
      </c>
      <c r="C6" s="171">
        <v>51555191</v>
      </c>
      <c r="D6" s="171" t="s">
        <v>14</v>
      </c>
      <c r="E6" s="171">
        <v>132000</v>
      </c>
      <c r="F6" s="21">
        <v>286.40910000000002</v>
      </c>
      <c r="G6" s="21">
        <v>288.5453</v>
      </c>
      <c r="H6" s="18">
        <f>(G6-F6)*E6</f>
        <v>281978.39999999653</v>
      </c>
      <c r="I6" s="19"/>
      <c r="J6" s="20"/>
    </row>
    <row r="7" spans="1:10" ht="15.75" x14ac:dyDescent="0.25">
      <c r="A7" s="219" t="s">
        <v>16</v>
      </c>
      <c r="B7" s="220"/>
      <c r="C7" s="171"/>
      <c r="D7" s="172"/>
      <c r="E7" s="171"/>
      <c r="H7" s="23">
        <f>H5+H6</f>
        <v>283443.5999999966</v>
      </c>
      <c r="I7" s="24">
        <f>H7-H10-H20</f>
        <v>2609.3999999960797</v>
      </c>
      <c r="J7" s="25">
        <f>I7/H7</f>
        <v>9.2060642752071695E-3</v>
      </c>
    </row>
    <row r="8" spans="1:10" ht="15.75" x14ac:dyDescent="0.25">
      <c r="A8" s="26" t="s">
        <v>17</v>
      </c>
      <c r="B8" s="171" t="s">
        <v>13</v>
      </c>
      <c r="C8" s="171">
        <v>51097629</v>
      </c>
      <c r="D8" s="172" t="s">
        <v>14</v>
      </c>
      <c r="E8" s="171">
        <v>42000</v>
      </c>
      <c r="F8" s="21">
        <v>913.149</v>
      </c>
      <c r="G8" s="21">
        <v>918.13940000000002</v>
      </c>
      <c r="H8" s="18">
        <f>(G8-F8)*E8</f>
        <v>209596.80000000095</v>
      </c>
      <c r="I8" s="19"/>
      <c r="J8" s="20"/>
    </row>
    <row r="9" spans="1:10" ht="15.75" x14ac:dyDescent="0.25">
      <c r="A9" s="26" t="s">
        <v>18</v>
      </c>
      <c r="B9" s="171" t="s">
        <v>13</v>
      </c>
      <c r="C9" s="171">
        <v>51616820</v>
      </c>
      <c r="D9" s="172" t="s">
        <v>14</v>
      </c>
      <c r="E9" s="171">
        <v>42000</v>
      </c>
      <c r="F9" s="21">
        <v>3.9081000000000001</v>
      </c>
      <c r="G9" s="21">
        <v>3.9295</v>
      </c>
      <c r="H9" s="18">
        <f>(G9-F9)*E9</f>
        <v>898.79999999999427</v>
      </c>
      <c r="I9" s="19"/>
      <c r="J9" s="20"/>
    </row>
    <row r="10" spans="1:10" ht="15.75" x14ac:dyDescent="0.25">
      <c r="A10" s="219" t="s">
        <v>19</v>
      </c>
      <c r="B10" s="220"/>
      <c r="C10" s="171"/>
      <c r="D10" s="172"/>
      <c r="E10" s="171"/>
      <c r="F10" s="21"/>
      <c r="G10" s="21"/>
      <c r="H10" s="23">
        <f>H8+H9</f>
        <v>210495.60000000094</v>
      </c>
      <c r="I10" s="24">
        <f>H10-H17</f>
        <v>-8.3999999996449333</v>
      </c>
      <c r="J10" s="25">
        <f>I10/H10</f>
        <v>-3.9905822257780668E-5</v>
      </c>
    </row>
    <row r="11" spans="1:10" ht="15.75" x14ac:dyDescent="0.25">
      <c r="A11" s="27" t="s">
        <v>20</v>
      </c>
      <c r="B11" s="171" t="s">
        <v>13</v>
      </c>
      <c r="C11" s="171">
        <v>51217286</v>
      </c>
      <c r="D11" s="172" t="s">
        <v>21</v>
      </c>
      <c r="E11" s="171">
        <v>21000</v>
      </c>
      <c r="F11" s="21">
        <v>726.49509999999998</v>
      </c>
      <c r="G11" s="21">
        <v>730.40449999999998</v>
      </c>
      <c r="H11" s="18">
        <f t="shared" ref="H11:H16" si="0">(G11-F11)*E11</f>
        <v>82097.400000000111</v>
      </c>
      <c r="I11" s="19"/>
      <c r="J11" s="20"/>
    </row>
    <row r="12" spans="1:10" ht="15.75" x14ac:dyDescent="0.25">
      <c r="A12" s="27" t="s">
        <v>22</v>
      </c>
      <c r="B12" s="171" t="s">
        <v>13</v>
      </c>
      <c r="C12" s="171">
        <v>51217292</v>
      </c>
      <c r="D12" s="172" t="s">
        <v>21</v>
      </c>
      <c r="E12" s="171">
        <v>21000</v>
      </c>
      <c r="F12" s="28">
        <v>2.8546</v>
      </c>
      <c r="G12" s="28">
        <v>2.8803000000000001</v>
      </c>
      <c r="H12" s="18">
        <f>(G12-F12)*E12</f>
        <v>539.70000000000118</v>
      </c>
      <c r="I12" s="19"/>
      <c r="J12" s="20"/>
    </row>
    <row r="13" spans="1:10" ht="15.75" x14ac:dyDescent="0.25">
      <c r="A13" s="27" t="s">
        <v>23</v>
      </c>
      <c r="B13" s="171" t="s">
        <v>13</v>
      </c>
      <c r="C13" s="171">
        <v>51217271</v>
      </c>
      <c r="D13" s="172" t="s">
        <v>21</v>
      </c>
      <c r="E13" s="171">
        <v>21000</v>
      </c>
      <c r="F13" s="21">
        <v>525.59389999999996</v>
      </c>
      <c r="G13" s="21">
        <v>529.01400000000001</v>
      </c>
      <c r="H13" s="18">
        <f t="shared" si="0"/>
        <v>71822.100000000995</v>
      </c>
      <c r="I13" s="19"/>
      <c r="J13" s="20"/>
    </row>
    <row r="14" spans="1:10" ht="15.75" x14ac:dyDescent="0.25">
      <c r="A14" s="27" t="s">
        <v>24</v>
      </c>
      <c r="B14" s="171" t="s">
        <v>13</v>
      </c>
      <c r="C14" s="171">
        <v>51217276</v>
      </c>
      <c r="D14" s="172" t="s">
        <v>21</v>
      </c>
      <c r="E14" s="171">
        <v>21000</v>
      </c>
      <c r="F14" s="28">
        <v>0.40889999999999999</v>
      </c>
      <c r="G14" s="28">
        <v>0.40910000000000002</v>
      </c>
      <c r="H14" s="18">
        <f>(G14-F14)*E14</f>
        <v>4.2000000000007027</v>
      </c>
      <c r="I14" s="19"/>
      <c r="J14" s="20"/>
    </row>
    <row r="15" spans="1:10" ht="15.75" x14ac:dyDescent="0.25">
      <c r="A15" s="27" t="s">
        <v>25</v>
      </c>
      <c r="B15" s="171" t="s">
        <v>13</v>
      </c>
      <c r="C15" s="171">
        <v>51100990</v>
      </c>
      <c r="D15" s="172" t="s">
        <v>21</v>
      </c>
      <c r="E15" s="171">
        <v>21000</v>
      </c>
      <c r="F15" s="29">
        <v>578.76049999999998</v>
      </c>
      <c r="G15" s="29">
        <v>581.41639999999995</v>
      </c>
      <c r="H15" s="18">
        <f t="shared" si="0"/>
        <v>55773.899999999456</v>
      </c>
      <c r="I15" s="19"/>
      <c r="J15" s="20"/>
    </row>
    <row r="16" spans="1:10" ht="15.75" x14ac:dyDescent="0.25">
      <c r="A16" s="27" t="s">
        <v>26</v>
      </c>
      <c r="B16" s="171" t="s">
        <v>13</v>
      </c>
      <c r="C16" s="171">
        <v>51097622</v>
      </c>
      <c r="D16" s="172" t="s">
        <v>21</v>
      </c>
      <c r="E16" s="171">
        <v>21000</v>
      </c>
      <c r="F16" s="21">
        <v>2.5331999999999999</v>
      </c>
      <c r="G16" s="21">
        <v>2.5459000000000001</v>
      </c>
      <c r="H16" s="18">
        <f t="shared" si="0"/>
        <v>266.70000000000329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71"/>
      <c r="D17" s="172"/>
      <c r="E17" s="171"/>
      <c r="F17" s="21"/>
      <c r="G17" s="21"/>
      <c r="H17" s="23">
        <f>H11+H12+H13+H14+H15+H16</f>
        <v>210504.00000000058</v>
      </c>
      <c r="I17" s="19"/>
      <c r="J17" s="20"/>
    </row>
    <row r="18" spans="1:10" ht="15.75" x14ac:dyDescent="0.25">
      <c r="A18" s="26" t="s">
        <v>29</v>
      </c>
      <c r="B18" s="171" t="s">
        <v>13</v>
      </c>
      <c r="C18" s="171">
        <v>51097617</v>
      </c>
      <c r="D18" s="172" t="s">
        <v>30</v>
      </c>
      <c r="E18" s="171">
        <v>18000</v>
      </c>
      <c r="F18" s="30">
        <v>677.01850000000002</v>
      </c>
      <c r="G18" s="30">
        <v>680.92619999999999</v>
      </c>
      <c r="H18" s="18">
        <f>(G18-F18)*E18</f>
        <v>70338.599999999584</v>
      </c>
      <c r="I18" s="19"/>
      <c r="J18" s="20"/>
    </row>
    <row r="19" spans="1:10" ht="15.75" x14ac:dyDescent="0.25">
      <c r="A19" s="26" t="s">
        <v>31</v>
      </c>
      <c r="B19" s="171" t="s">
        <v>13</v>
      </c>
      <c r="C19" s="171">
        <v>51097655</v>
      </c>
      <c r="D19" s="172" t="s">
        <v>30</v>
      </c>
      <c r="E19" s="171">
        <v>18000</v>
      </c>
      <c r="F19" s="30">
        <v>6.1279000000000003</v>
      </c>
      <c r="G19" s="30">
        <v>6.1279000000000003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71"/>
      <c r="D20" s="172"/>
      <c r="E20" s="171"/>
      <c r="F20" s="30"/>
      <c r="G20" s="30"/>
      <c r="H20" s="23">
        <f>H18+H19</f>
        <v>70338.599999999584</v>
      </c>
      <c r="I20" s="24">
        <f>H20-H35</f>
        <v>4654.9799999998068</v>
      </c>
      <c r="J20" s="25">
        <f>I20/H20</f>
        <v>6.6179594134654865E-2</v>
      </c>
    </row>
    <row r="21" spans="1:10" ht="15.75" x14ac:dyDescent="0.25">
      <c r="A21" s="15" t="s">
        <v>33</v>
      </c>
      <c r="B21" s="171" t="s">
        <v>13</v>
      </c>
      <c r="C21" s="171">
        <v>51217282</v>
      </c>
      <c r="D21" s="172" t="s">
        <v>34</v>
      </c>
      <c r="E21" s="171">
        <v>4800</v>
      </c>
      <c r="F21" s="21">
        <v>378.3732</v>
      </c>
      <c r="G21" s="21">
        <v>378.3732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71" t="s">
        <v>13</v>
      </c>
      <c r="C22" s="171">
        <v>51217274</v>
      </c>
      <c r="D22" s="172" t="s">
        <v>34</v>
      </c>
      <c r="E22" s="171">
        <v>4800</v>
      </c>
      <c r="F22" s="21">
        <v>1076.5105000000001</v>
      </c>
      <c r="G22" s="21">
        <v>1082.7090000000001</v>
      </c>
      <c r="H22" s="18">
        <f t="shared" si="1"/>
        <v>29752.799999999843</v>
      </c>
      <c r="I22" s="19"/>
      <c r="J22" s="20"/>
    </row>
    <row r="23" spans="1:10" ht="15.75" x14ac:dyDescent="0.25">
      <c r="A23" s="15" t="s">
        <v>36</v>
      </c>
      <c r="B23" s="171" t="s">
        <v>13</v>
      </c>
      <c r="C23" s="171">
        <v>51097664</v>
      </c>
      <c r="D23" s="172" t="s">
        <v>37</v>
      </c>
      <c r="E23" s="171">
        <v>600</v>
      </c>
      <c r="F23" s="21">
        <v>3.9478</v>
      </c>
      <c r="G23" s="21">
        <v>3.9689999999999999</v>
      </c>
      <c r="H23" s="18">
        <f t="shared" si="1"/>
        <v>12.719999999999931</v>
      </c>
      <c r="I23" s="19"/>
      <c r="J23" s="20"/>
    </row>
    <row r="24" spans="1:10" ht="15.75" x14ac:dyDescent="0.25">
      <c r="A24" s="15" t="s">
        <v>38</v>
      </c>
      <c r="B24" s="171" t="s">
        <v>13</v>
      </c>
      <c r="C24" s="171">
        <v>51097615</v>
      </c>
      <c r="D24" s="172" t="s">
        <v>37</v>
      </c>
      <c r="E24" s="171">
        <v>600</v>
      </c>
      <c r="F24" s="21">
        <v>27.721</v>
      </c>
      <c r="G24" s="21">
        <v>28.113399999999999</v>
      </c>
      <c r="H24" s="18">
        <f t="shared" si="1"/>
        <v>235.43999999999912</v>
      </c>
      <c r="I24" s="19"/>
      <c r="J24" s="20"/>
    </row>
    <row r="25" spans="1:10" ht="15.75" x14ac:dyDescent="0.25">
      <c r="A25" s="15" t="s">
        <v>39</v>
      </c>
      <c r="B25" s="171" t="s">
        <v>13</v>
      </c>
      <c r="C25" s="171">
        <v>51217264</v>
      </c>
      <c r="D25" s="172" t="s">
        <v>37</v>
      </c>
      <c r="E25" s="171">
        <v>600</v>
      </c>
      <c r="F25" s="21">
        <v>71.884100000000004</v>
      </c>
      <c r="G25" s="21">
        <v>72.635400000000004</v>
      </c>
      <c r="H25" s="18">
        <f t="shared" si="1"/>
        <v>450.78000000000031</v>
      </c>
      <c r="I25" s="19"/>
      <c r="J25" s="20"/>
    </row>
    <row r="26" spans="1:10" ht="15.75" x14ac:dyDescent="0.25">
      <c r="A26" s="15" t="s">
        <v>40</v>
      </c>
      <c r="B26" s="171" t="s">
        <v>13</v>
      </c>
      <c r="C26" s="171">
        <v>51217288</v>
      </c>
      <c r="D26" s="172" t="s">
        <v>37</v>
      </c>
      <c r="E26" s="171">
        <v>600</v>
      </c>
      <c r="F26" s="21">
        <v>19.069900000000001</v>
      </c>
      <c r="G26" s="21">
        <v>19.100200000000001</v>
      </c>
      <c r="H26" s="18">
        <f t="shared" si="1"/>
        <v>18.180000000000263</v>
      </c>
      <c r="I26" s="19" t="s">
        <v>27</v>
      </c>
      <c r="J26" s="20"/>
    </row>
    <row r="27" spans="1:10" ht="15.75" x14ac:dyDescent="0.25">
      <c r="A27" s="15" t="s">
        <v>41</v>
      </c>
      <c r="B27" s="171" t="s">
        <v>13</v>
      </c>
      <c r="C27" s="171">
        <v>51217279</v>
      </c>
      <c r="D27" s="172" t="s">
        <v>37</v>
      </c>
      <c r="E27" s="171">
        <v>600</v>
      </c>
      <c r="F27" s="21">
        <v>12.841100000000001</v>
      </c>
      <c r="G27" s="21">
        <v>12.894399999999999</v>
      </c>
      <c r="H27" s="18">
        <f t="shared" si="1"/>
        <v>31.979999999999009</v>
      </c>
      <c r="I27" s="19" t="s">
        <v>27</v>
      </c>
      <c r="J27" s="20"/>
    </row>
    <row r="28" spans="1:10" ht="15.75" x14ac:dyDescent="0.25">
      <c r="A28" s="15" t="s">
        <v>42</v>
      </c>
      <c r="B28" s="171" t="s">
        <v>13</v>
      </c>
      <c r="C28" s="171">
        <v>51217272</v>
      </c>
      <c r="D28" s="172" t="s">
        <v>37</v>
      </c>
      <c r="E28" s="171">
        <v>600</v>
      </c>
      <c r="F28" s="31">
        <v>12.5976</v>
      </c>
      <c r="G28" s="31">
        <v>12.649800000000001</v>
      </c>
      <c r="H28" s="18">
        <f t="shared" si="1"/>
        <v>31.320000000000547</v>
      </c>
      <c r="I28" s="19"/>
      <c r="J28" s="20"/>
    </row>
    <row r="29" spans="1:10" ht="15.75" x14ac:dyDescent="0.25">
      <c r="A29" s="15" t="s">
        <v>43</v>
      </c>
      <c r="B29" s="171" t="s">
        <v>13</v>
      </c>
      <c r="C29" s="171">
        <v>51616744</v>
      </c>
      <c r="D29" s="172">
        <f>300/5</f>
        <v>60</v>
      </c>
      <c r="E29" s="171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71" t="s">
        <v>13</v>
      </c>
      <c r="C30" s="171">
        <v>51555226</v>
      </c>
      <c r="D30" s="172">
        <f>300/5</f>
        <v>60</v>
      </c>
      <c r="E30" s="171">
        <v>3600</v>
      </c>
      <c r="F30" s="31">
        <v>329.71910000000003</v>
      </c>
      <c r="G30" s="31">
        <v>334.19830000000002</v>
      </c>
      <c r="H30" s="18">
        <f>(G30-F30)*E30</f>
        <v>16125.11999999997</v>
      </c>
      <c r="I30" s="19"/>
      <c r="J30" s="20"/>
    </row>
    <row r="31" spans="1:10" ht="15.75" x14ac:dyDescent="0.25">
      <c r="A31" s="15" t="s">
        <v>45</v>
      </c>
      <c r="B31" s="171" t="s">
        <v>13</v>
      </c>
      <c r="C31" s="171">
        <v>51097658</v>
      </c>
      <c r="D31" s="172" t="s">
        <v>34</v>
      </c>
      <c r="E31" s="171">
        <v>4800</v>
      </c>
      <c r="F31" s="31">
        <v>510.86669999999998</v>
      </c>
      <c r="G31" s="31">
        <v>514.75779999999997</v>
      </c>
      <c r="H31" s="18">
        <f t="shared" si="1"/>
        <v>18677.279999999973</v>
      </c>
      <c r="I31" s="19"/>
      <c r="J31" s="20"/>
    </row>
    <row r="32" spans="1:10" ht="15.75" x14ac:dyDescent="0.25">
      <c r="A32" s="15" t="s">
        <v>46</v>
      </c>
      <c r="B32" s="171" t="s">
        <v>13</v>
      </c>
      <c r="C32" s="171">
        <v>51097635</v>
      </c>
      <c r="D32" s="172" t="s">
        <v>34</v>
      </c>
      <c r="E32" s="171">
        <v>4800</v>
      </c>
      <c r="F32" s="31">
        <v>48.436599999999999</v>
      </c>
      <c r="G32" s="31">
        <v>48.436599999999999</v>
      </c>
      <c r="H32" s="18">
        <f t="shared" si="1"/>
        <v>0</v>
      </c>
      <c r="I32" s="19"/>
      <c r="J32" s="20"/>
    </row>
    <row r="33" spans="1:10" ht="15.75" x14ac:dyDescent="0.25">
      <c r="A33" s="15" t="s">
        <v>47</v>
      </c>
      <c r="B33" s="171" t="s">
        <v>13</v>
      </c>
      <c r="C33" s="32">
        <v>51097633</v>
      </c>
      <c r="D33" s="172" t="s">
        <v>34</v>
      </c>
      <c r="E33" s="171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71" t="s">
        <v>13</v>
      </c>
      <c r="C34" s="32">
        <v>51097662</v>
      </c>
      <c r="D34" s="172" t="s">
        <v>34</v>
      </c>
      <c r="E34" s="171">
        <v>4800</v>
      </c>
      <c r="F34" s="31">
        <v>1.0169999999999999</v>
      </c>
      <c r="G34" s="31">
        <v>1.0894999999999999</v>
      </c>
      <c r="H34" s="33">
        <f t="shared" si="1"/>
        <v>348.00000000000006</v>
      </c>
      <c r="I34" s="34"/>
      <c r="J34" s="35"/>
    </row>
    <row r="35" spans="1:10" ht="15.75" x14ac:dyDescent="0.25">
      <c r="A35" s="219" t="s">
        <v>48</v>
      </c>
      <c r="B35" s="220"/>
      <c r="C35" s="171"/>
      <c r="D35" s="172"/>
      <c r="E35" s="171"/>
      <c r="F35" s="36"/>
      <c r="G35" s="36"/>
      <c r="H35" s="23">
        <f>H21+H22+H23+H24+H25+H26+H27+H28+H29+H30+H31+H32+H33+H34</f>
        <v>65683.619999999777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71" t="s">
        <v>51</v>
      </c>
      <c r="C37" s="171">
        <v>51555209</v>
      </c>
      <c r="D37" s="172" t="s">
        <v>52</v>
      </c>
      <c r="E37" s="171">
        <v>7000</v>
      </c>
      <c r="F37" s="17">
        <v>3.7290000000000001</v>
      </c>
      <c r="G37" s="17">
        <v>3.7831000000000001</v>
      </c>
      <c r="H37" s="41">
        <f>(G37-F37)*E37</f>
        <v>378.70000000000027</v>
      </c>
      <c r="I37" s="42"/>
      <c r="J37" s="14"/>
    </row>
    <row r="38" spans="1:10" ht="15.75" x14ac:dyDescent="0.25">
      <c r="A38" s="15" t="s">
        <v>53</v>
      </c>
      <c r="B38" s="171" t="s">
        <v>51</v>
      </c>
      <c r="C38" s="171">
        <v>51555209</v>
      </c>
      <c r="D38" s="172" t="s">
        <v>52</v>
      </c>
      <c r="E38" s="171">
        <v>7000</v>
      </c>
      <c r="F38" s="21">
        <v>8.5162999999999993</v>
      </c>
      <c r="G38" s="21">
        <v>8.5645000000000007</v>
      </c>
      <c r="H38" s="18">
        <f>(G38-F38)*E38</f>
        <v>337.40000000000947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71" t="s">
        <v>51</v>
      </c>
      <c r="C40" s="171">
        <v>51097674</v>
      </c>
      <c r="D40" s="171" t="s">
        <v>14</v>
      </c>
      <c r="E40" s="171">
        <v>7200</v>
      </c>
      <c r="F40" s="21">
        <v>490.59539999999998</v>
      </c>
      <c r="G40" s="21">
        <v>493.0582</v>
      </c>
      <c r="H40" s="18">
        <f>(G40-F40)*E40</f>
        <v>17732.160000000113</v>
      </c>
      <c r="I40" s="47"/>
      <c r="J40" s="20"/>
    </row>
    <row r="41" spans="1:10" ht="15.75" x14ac:dyDescent="0.25">
      <c r="A41" s="27" t="s">
        <v>56</v>
      </c>
      <c r="B41" s="171" t="s">
        <v>51</v>
      </c>
      <c r="C41" s="171">
        <v>51259257</v>
      </c>
      <c r="D41" s="171" t="s">
        <v>14</v>
      </c>
      <c r="E41" s="171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71"/>
      <c r="C42" s="171"/>
      <c r="D42" s="171"/>
      <c r="E42" s="171"/>
      <c r="F42" s="21"/>
      <c r="G42" s="21"/>
      <c r="H42" s="48">
        <f>H40+H41</f>
        <v>17732.160000000113</v>
      </c>
      <c r="I42" s="24">
        <f>H42-H50</f>
        <v>-110.23999999962689</v>
      </c>
      <c r="J42" s="25">
        <f>I42/H42</f>
        <v>-6.2169527006087355E-3</v>
      </c>
    </row>
    <row r="43" spans="1:10" ht="15.75" x14ac:dyDescent="0.25">
      <c r="A43" s="15" t="s">
        <v>58</v>
      </c>
      <c r="B43" s="171"/>
      <c r="C43" s="171"/>
      <c r="D43" s="172"/>
      <c r="E43" s="171"/>
      <c r="H43" s="18"/>
      <c r="I43" s="43"/>
      <c r="J43" s="20"/>
    </row>
    <row r="44" spans="1:10" ht="15.75" x14ac:dyDescent="0.25">
      <c r="A44" s="27" t="s">
        <v>59</v>
      </c>
      <c r="B44" s="171" t="s">
        <v>51</v>
      </c>
      <c r="C44" s="32">
        <v>51097648</v>
      </c>
      <c r="D44" s="171" t="s">
        <v>52</v>
      </c>
      <c r="E44" s="171">
        <v>1200</v>
      </c>
      <c r="F44" s="21">
        <v>401.55860000000001</v>
      </c>
      <c r="G44" s="21">
        <v>403.56270000000001</v>
      </c>
      <c r="H44" s="33">
        <f>(G44-F44)*E44</f>
        <v>2404.9199999999928</v>
      </c>
      <c r="I44" s="43"/>
      <c r="J44" s="20"/>
    </row>
    <row r="45" spans="1:10" ht="15.75" x14ac:dyDescent="0.25">
      <c r="A45" s="27" t="s">
        <v>60</v>
      </c>
      <c r="B45" s="171" t="s">
        <v>51</v>
      </c>
      <c r="C45" s="32">
        <v>50555043</v>
      </c>
      <c r="D45" s="171" t="s">
        <v>52</v>
      </c>
      <c r="E45" s="171">
        <v>1200</v>
      </c>
      <c r="F45" s="21">
        <v>1682.2561000000001</v>
      </c>
      <c r="G45" s="21">
        <v>1690.5437999999999</v>
      </c>
      <c r="H45" s="33">
        <f>(G45-F45)*E45</f>
        <v>9945.2399999998306</v>
      </c>
      <c r="I45" s="43"/>
      <c r="J45" s="20"/>
    </row>
    <row r="46" spans="1:10" ht="15.75" x14ac:dyDescent="0.25">
      <c r="A46" s="27" t="s">
        <v>61</v>
      </c>
      <c r="B46" s="171" t="s">
        <v>51</v>
      </c>
      <c r="C46" s="32">
        <v>51259336</v>
      </c>
      <c r="D46" s="171" t="s">
        <v>62</v>
      </c>
      <c r="E46" s="171">
        <v>2400</v>
      </c>
      <c r="F46" s="21">
        <v>3.5487000000000002</v>
      </c>
      <c r="G46" s="21">
        <v>3.5621</v>
      </c>
      <c r="H46" s="33">
        <f>(G46-F46)*E46</f>
        <v>32.159999999999656</v>
      </c>
      <c r="I46" s="43"/>
      <c r="J46" s="20"/>
    </row>
    <row r="47" spans="1:10" ht="15.75" x14ac:dyDescent="0.25">
      <c r="A47" s="27" t="s">
        <v>63</v>
      </c>
      <c r="B47" s="171" t="s">
        <v>51</v>
      </c>
      <c r="C47" s="32">
        <v>51259266</v>
      </c>
      <c r="D47" s="171" t="s">
        <v>52</v>
      </c>
      <c r="E47" s="171">
        <v>1200</v>
      </c>
      <c r="F47" s="21">
        <v>816.88440000000003</v>
      </c>
      <c r="G47" s="21">
        <v>821.08529999999996</v>
      </c>
      <c r="H47" s="33">
        <f>(G47-F47)*E47</f>
        <v>5041.0799999999199</v>
      </c>
      <c r="I47" s="43"/>
      <c r="J47" s="20"/>
    </row>
    <row r="48" spans="1:10" ht="15.75" x14ac:dyDescent="0.25">
      <c r="A48" s="27" t="s">
        <v>64</v>
      </c>
      <c r="B48" s="171" t="s">
        <v>51</v>
      </c>
      <c r="C48" s="32">
        <v>51431336</v>
      </c>
      <c r="D48" s="171" t="s">
        <v>52</v>
      </c>
      <c r="E48" s="171">
        <v>1200</v>
      </c>
      <c r="F48" s="21">
        <v>43.681100000000001</v>
      </c>
      <c r="G48" s="21">
        <v>43.988599999999998</v>
      </c>
      <c r="H48" s="33">
        <f>(G48-F48)*E48</f>
        <v>368.99999999999693</v>
      </c>
      <c r="I48" s="43"/>
      <c r="J48" s="20"/>
    </row>
    <row r="49" spans="1:10" ht="15.75" x14ac:dyDescent="0.25">
      <c r="A49" s="15" t="s">
        <v>65</v>
      </c>
      <c r="B49" s="171" t="s">
        <v>66</v>
      </c>
      <c r="C49" s="171">
        <v>49174</v>
      </c>
      <c r="D49" s="172" t="s">
        <v>52</v>
      </c>
      <c r="E49" s="171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17842.39999999974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71" t="s">
        <v>51</v>
      </c>
      <c r="C52" s="171">
        <v>51097603</v>
      </c>
      <c r="D52" s="172" t="s">
        <v>52</v>
      </c>
      <c r="E52" s="171">
        <v>7000</v>
      </c>
      <c r="F52" s="17">
        <v>1629.5974000000001</v>
      </c>
      <c r="G52" s="17">
        <v>1638.5577000000001</v>
      </c>
      <c r="H52" s="18">
        <f>(G52-F52)*E52</f>
        <v>62722.099999999729</v>
      </c>
      <c r="I52" s="43"/>
      <c r="J52" s="20"/>
    </row>
    <row r="53" spans="1:10" ht="15.75" x14ac:dyDescent="0.25">
      <c r="A53" s="27" t="s">
        <v>71</v>
      </c>
      <c r="B53" s="171" t="s">
        <v>51</v>
      </c>
      <c r="C53" s="171">
        <v>51097590</v>
      </c>
      <c r="D53" s="172" t="s">
        <v>52</v>
      </c>
      <c r="E53" s="171">
        <v>7000</v>
      </c>
      <c r="F53" s="21">
        <v>9.5286000000000008</v>
      </c>
      <c r="G53" s="21">
        <v>9.6059999999999999</v>
      </c>
      <c r="H53" s="18">
        <f>(G53-F53)*E53</f>
        <v>541.79999999999313</v>
      </c>
      <c r="I53" s="43"/>
      <c r="J53" s="20"/>
    </row>
    <row r="54" spans="1:10" ht="15.75" x14ac:dyDescent="0.25">
      <c r="A54" s="15" t="s">
        <v>65</v>
      </c>
      <c r="B54" s="171" t="s">
        <v>66</v>
      </c>
      <c r="C54" s="171">
        <v>49174</v>
      </c>
      <c r="D54" s="172" t="s">
        <v>52</v>
      </c>
      <c r="E54" s="171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71"/>
      <c r="D55" s="172"/>
      <c r="E55" s="171"/>
      <c r="F55" s="21"/>
      <c r="G55" s="21"/>
      <c r="H55" s="48">
        <f>H52+H53+H54</f>
        <v>63363.899999999725</v>
      </c>
      <c r="I55" s="47"/>
      <c r="J55" s="59"/>
    </row>
    <row r="56" spans="1:10" ht="15.75" x14ac:dyDescent="0.25">
      <c r="A56" s="27" t="s">
        <v>73</v>
      </c>
      <c r="B56" s="171" t="s">
        <v>51</v>
      </c>
      <c r="C56" s="171">
        <v>51100980</v>
      </c>
      <c r="D56" s="171" t="s">
        <v>74</v>
      </c>
      <c r="E56" s="171">
        <v>12000</v>
      </c>
      <c r="F56" s="21">
        <v>958.42960000000005</v>
      </c>
      <c r="G56" s="21">
        <v>963.7183</v>
      </c>
      <c r="H56" s="18">
        <f>(G56-F56)*E56</f>
        <v>63464.399999999383</v>
      </c>
      <c r="I56" s="47"/>
      <c r="J56" s="58"/>
    </row>
    <row r="57" spans="1:10" ht="15.75" x14ac:dyDescent="0.25">
      <c r="A57" s="27" t="s">
        <v>75</v>
      </c>
      <c r="B57" s="171" t="s">
        <v>51</v>
      </c>
      <c r="C57" s="171">
        <v>51097623</v>
      </c>
      <c r="D57" s="171" t="s">
        <v>74</v>
      </c>
      <c r="E57" s="171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71"/>
      <c r="C58" s="171"/>
      <c r="D58" s="171"/>
      <c r="E58" s="171"/>
      <c r="F58" s="21"/>
      <c r="G58" s="21"/>
      <c r="H58" s="48">
        <f>H56+H57</f>
        <v>63464.399999999383</v>
      </c>
      <c r="I58" s="61">
        <f>H55-H65-H54</f>
        <v>-309.9399999999514</v>
      </c>
      <c r="J58" s="25">
        <f>I58/H58</f>
        <v>-4.8836828206042194E-3</v>
      </c>
    </row>
    <row r="59" spans="1:10" ht="15.75" x14ac:dyDescent="0.25">
      <c r="A59" s="27" t="s">
        <v>77</v>
      </c>
      <c r="B59" s="171" t="s">
        <v>51</v>
      </c>
      <c r="C59" s="171">
        <v>51097675</v>
      </c>
      <c r="D59" s="171" t="s">
        <v>34</v>
      </c>
      <c r="E59" s="171">
        <v>4800</v>
      </c>
      <c r="F59" s="21">
        <v>375.017</v>
      </c>
      <c r="G59" s="21">
        <v>378.58249999999998</v>
      </c>
      <c r="H59" s="18">
        <f t="shared" ref="H59:H64" si="2">(G59-F59)*E59</f>
        <v>17114.399999999932</v>
      </c>
      <c r="I59" s="62"/>
      <c r="J59" s="59"/>
    </row>
    <row r="60" spans="1:10" ht="15.75" x14ac:dyDescent="0.25">
      <c r="A60" s="27" t="s">
        <v>78</v>
      </c>
      <c r="B60" s="171" t="s">
        <v>51</v>
      </c>
      <c r="C60" s="171">
        <v>51100997</v>
      </c>
      <c r="D60" s="171" t="s">
        <v>21</v>
      </c>
      <c r="E60" s="171">
        <v>3600</v>
      </c>
      <c r="F60" s="21">
        <v>1228.1279</v>
      </c>
      <c r="G60" s="21">
        <v>1233.8444999999999</v>
      </c>
      <c r="H60" s="18">
        <f t="shared" si="2"/>
        <v>20579.759999999897</v>
      </c>
      <c r="I60" s="62"/>
      <c r="J60" s="59"/>
    </row>
    <row r="61" spans="1:10" ht="15.75" x14ac:dyDescent="0.25">
      <c r="A61" s="27" t="s">
        <v>79</v>
      </c>
      <c r="B61" s="171" t="s">
        <v>51</v>
      </c>
      <c r="C61" s="171">
        <v>51555218</v>
      </c>
      <c r="D61" s="171">
        <f>400/5</f>
        <v>80</v>
      </c>
      <c r="E61" s="171">
        <v>4800</v>
      </c>
      <c r="F61" s="21">
        <v>42.313699999999997</v>
      </c>
      <c r="G61" s="21">
        <v>42.749899999999997</v>
      </c>
      <c r="H61" s="18">
        <f t="shared" si="2"/>
        <v>2093.7599999999975</v>
      </c>
      <c r="I61" s="62"/>
      <c r="J61" s="59"/>
    </row>
    <row r="62" spans="1:10" ht="15.75" x14ac:dyDescent="0.25">
      <c r="A62" s="27" t="s">
        <v>80</v>
      </c>
      <c r="B62" s="171" t="s">
        <v>51</v>
      </c>
      <c r="C62" s="171">
        <v>51555151</v>
      </c>
      <c r="D62" s="171">
        <f>400/5</f>
        <v>80</v>
      </c>
      <c r="E62" s="171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71" t="s">
        <v>51</v>
      </c>
      <c r="C63" s="171">
        <v>51097599</v>
      </c>
      <c r="D63" s="171" t="s">
        <v>21</v>
      </c>
      <c r="E63" s="171">
        <v>3600</v>
      </c>
      <c r="F63" s="21">
        <v>859.79070000000002</v>
      </c>
      <c r="G63" s="21">
        <v>863.00149999999996</v>
      </c>
      <c r="H63" s="18">
        <f t="shared" si="2"/>
        <v>11558.879999999817</v>
      </c>
      <c r="I63" s="62"/>
      <c r="J63" s="59"/>
    </row>
    <row r="64" spans="1:10" ht="15.75" x14ac:dyDescent="0.25">
      <c r="A64" s="27" t="s">
        <v>82</v>
      </c>
      <c r="B64" s="171" t="s">
        <v>51</v>
      </c>
      <c r="C64" s="171">
        <v>51097620</v>
      </c>
      <c r="D64" s="171" t="s">
        <v>34</v>
      </c>
      <c r="E64" s="171">
        <v>4800</v>
      </c>
      <c r="F64" s="21">
        <v>401.54989999999998</v>
      </c>
      <c r="G64" s="21">
        <v>404.09719999999999</v>
      </c>
      <c r="H64" s="18">
        <f t="shared" si="2"/>
        <v>12227.040000000034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63573.839999999676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71" t="s">
        <v>51</v>
      </c>
      <c r="C67" s="9">
        <v>51259238</v>
      </c>
      <c r="D67" s="74" t="s">
        <v>52</v>
      </c>
      <c r="E67" s="74">
        <v>7000</v>
      </c>
      <c r="F67" s="75">
        <v>439.46469999999999</v>
      </c>
      <c r="G67" s="75">
        <v>442.26620000000003</v>
      </c>
      <c r="H67" s="76">
        <f>(G67-F67)*E67</f>
        <v>19610.500000000229</v>
      </c>
      <c r="I67" s="77"/>
      <c r="J67" s="78"/>
    </row>
    <row r="68" spans="1:10" ht="15.75" x14ac:dyDescent="0.25">
      <c r="A68" s="27" t="s">
        <v>85</v>
      </c>
      <c r="B68" s="171" t="s">
        <v>51</v>
      </c>
      <c r="C68" s="171">
        <v>51259324</v>
      </c>
      <c r="D68" s="172" t="s">
        <v>52</v>
      </c>
      <c r="E68" s="172">
        <v>7000</v>
      </c>
      <c r="F68" s="21">
        <v>337.71780000000001</v>
      </c>
      <c r="G68" s="21">
        <v>339.84100000000001</v>
      </c>
      <c r="H68" s="18">
        <f>(G68-F68)*E68</f>
        <v>14862.39999999998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71">
        <v>51491618</v>
      </c>
      <c r="D69" s="172" t="s">
        <v>62</v>
      </c>
      <c r="E69" s="171">
        <v>40</v>
      </c>
      <c r="F69" s="28">
        <v>796.84500000000003</v>
      </c>
      <c r="G69" s="28">
        <v>807.274</v>
      </c>
      <c r="H69" s="18">
        <f>(G69-F69)*E69</f>
        <v>417.15999999999894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71">
        <v>51491624</v>
      </c>
      <c r="D70" s="172" t="s">
        <v>62</v>
      </c>
      <c r="E70" s="171">
        <v>40</v>
      </c>
      <c r="F70" s="28">
        <v>111.15300000000001</v>
      </c>
      <c r="G70" s="28">
        <v>112.5915</v>
      </c>
      <c r="H70" s="18">
        <f>(G70-F70)*E70</f>
        <v>57.539999999999623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34472.900000000212</v>
      </c>
      <c r="I71" s="85">
        <f>H71-H74-H69-H70</f>
        <v>-1297.3999999995954</v>
      </c>
      <c r="J71" s="25">
        <f>I71/H71</f>
        <v>-3.7635359949397568E-2</v>
      </c>
    </row>
    <row r="72" spans="1:10" ht="15.75" x14ac:dyDescent="0.25">
      <c r="A72" s="27" t="s">
        <v>90</v>
      </c>
      <c r="B72" s="171" t="s">
        <v>51</v>
      </c>
      <c r="C72" s="86">
        <v>51097588</v>
      </c>
      <c r="D72" s="172" t="s">
        <v>74</v>
      </c>
      <c r="E72" s="171">
        <v>12000</v>
      </c>
      <c r="F72" s="21">
        <v>266.14729999999997</v>
      </c>
      <c r="G72" s="21">
        <v>267.79989999999998</v>
      </c>
      <c r="H72" s="18">
        <f>(G72-F72)*E72</f>
        <v>19831.200000000081</v>
      </c>
      <c r="I72" s="51"/>
      <c r="J72" s="58"/>
    </row>
    <row r="73" spans="1:10" ht="15.75" x14ac:dyDescent="0.25">
      <c r="A73" s="27" t="s">
        <v>91</v>
      </c>
      <c r="B73" s="171" t="s">
        <v>51</v>
      </c>
      <c r="C73" s="86">
        <v>51431335</v>
      </c>
      <c r="D73" s="172" t="s">
        <v>74</v>
      </c>
      <c r="E73" s="171">
        <v>12000</v>
      </c>
      <c r="F73" s="21">
        <v>207.50540000000001</v>
      </c>
      <c r="G73" s="21">
        <v>208.79409999999999</v>
      </c>
      <c r="H73" s="18">
        <f>(G73-F73)*E73</f>
        <v>15464.399999999729</v>
      </c>
      <c r="I73" s="51"/>
      <c r="J73" s="58"/>
    </row>
    <row r="74" spans="1:10" ht="15.75" x14ac:dyDescent="0.25">
      <c r="A74" s="87" t="s">
        <v>92</v>
      </c>
      <c r="B74" s="171" t="s">
        <v>27</v>
      </c>
      <c r="C74" s="171"/>
      <c r="D74" s="172"/>
      <c r="E74" s="171"/>
      <c r="F74" s="21"/>
      <c r="G74" s="21"/>
      <c r="H74" s="48">
        <f>H72+ H73</f>
        <v>35295.599999999809</v>
      </c>
      <c r="I74" s="85">
        <f>H74-H82</f>
        <v>-104.33999999996013</v>
      </c>
      <c r="J74" s="25">
        <f>I74/H74</f>
        <v>-2.9561758406135806E-3</v>
      </c>
    </row>
    <row r="75" spans="1:10" ht="15.75" x14ac:dyDescent="0.25">
      <c r="A75" s="27" t="s">
        <v>93</v>
      </c>
      <c r="B75" s="171" t="s">
        <v>51</v>
      </c>
      <c r="C75" s="86">
        <v>51097676</v>
      </c>
      <c r="D75" s="88" t="s">
        <v>62</v>
      </c>
      <c r="E75" s="171">
        <v>2400</v>
      </c>
      <c r="F75" s="21">
        <v>535.79449999999997</v>
      </c>
      <c r="G75" s="21">
        <v>539.95809999999994</v>
      </c>
      <c r="H75" s="18">
        <f>(G75-F75)*E75</f>
        <v>9992.6399999999376</v>
      </c>
      <c r="I75" s="51"/>
      <c r="J75" s="58"/>
    </row>
    <row r="76" spans="1:10" ht="15.75" x14ac:dyDescent="0.25">
      <c r="A76" s="27" t="s">
        <v>94</v>
      </c>
      <c r="B76" s="171" t="s">
        <v>51</v>
      </c>
      <c r="C76" s="86">
        <v>51431355</v>
      </c>
      <c r="D76" s="172" t="s">
        <v>21</v>
      </c>
      <c r="E76" s="172">
        <v>3600</v>
      </c>
      <c r="F76" s="21">
        <v>308.87880000000001</v>
      </c>
      <c r="G76" s="21">
        <v>310.09379999999999</v>
      </c>
      <c r="H76" s="18">
        <f>(G76-F76)*E76</f>
        <v>4373.99999999991</v>
      </c>
      <c r="I76" s="51"/>
      <c r="J76" s="52"/>
    </row>
    <row r="77" spans="1:10" ht="15.75" x14ac:dyDescent="0.25">
      <c r="A77" s="27" t="s">
        <v>95</v>
      </c>
      <c r="B77" s="171" t="s">
        <v>51</v>
      </c>
      <c r="C77" s="86">
        <v>51259331</v>
      </c>
      <c r="D77" s="88" t="s">
        <v>37</v>
      </c>
      <c r="E77" s="171">
        <v>600</v>
      </c>
      <c r="F77" s="21">
        <v>123.5716</v>
      </c>
      <c r="G77" s="21">
        <v>124.6755</v>
      </c>
      <c r="H77" s="18">
        <f>(G77-F77)*E77</f>
        <v>662.33999999999753</v>
      </c>
      <c r="I77" s="51"/>
      <c r="J77" s="52"/>
    </row>
    <row r="78" spans="1:10" ht="15.75" x14ac:dyDescent="0.25">
      <c r="A78" s="27" t="s">
        <v>96</v>
      </c>
      <c r="B78" s="171" t="s">
        <v>51</v>
      </c>
      <c r="C78" s="86">
        <v>51259326</v>
      </c>
      <c r="D78" s="88" t="s">
        <v>14</v>
      </c>
      <c r="E78" s="171">
        <v>7200</v>
      </c>
      <c r="F78" s="21">
        <v>269.34719999999999</v>
      </c>
      <c r="G78" s="21">
        <v>270.72879999999998</v>
      </c>
      <c r="H78" s="18">
        <f>(G78-F78)*E78</f>
        <v>9947.5199999999404</v>
      </c>
      <c r="I78" s="51"/>
      <c r="J78" s="52"/>
    </row>
    <row r="79" spans="1:10" ht="15.75" x14ac:dyDescent="0.25">
      <c r="A79" s="27" t="s">
        <v>97</v>
      </c>
      <c r="B79" s="171" t="s">
        <v>51</v>
      </c>
      <c r="C79" s="86">
        <v>51431351</v>
      </c>
      <c r="D79" s="88" t="s">
        <v>14</v>
      </c>
      <c r="E79" s="171">
        <v>7200</v>
      </c>
      <c r="F79" s="21">
        <v>178.1558</v>
      </c>
      <c r="G79" s="21">
        <v>179.6035</v>
      </c>
      <c r="H79" s="18">
        <f>(G79-F79)*E79</f>
        <v>10423.439999999982</v>
      </c>
      <c r="I79" s="51"/>
      <c r="J79" s="52"/>
    </row>
    <row r="80" spans="1:10" ht="15.75" x14ac:dyDescent="0.25">
      <c r="A80" s="89" t="s">
        <v>98</v>
      </c>
      <c r="B80" s="171" t="s">
        <v>51</v>
      </c>
      <c r="C80" s="90">
        <v>51097666</v>
      </c>
      <c r="D80" s="88" t="s">
        <v>62</v>
      </c>
      <c r="E80" s="171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71" t="s">
        <v>51</v>
      </c>
      <c r="C81" s="90">
        <v>51259323</v>
      </c>
      <c r="D81" s="88" t="s">
        <v>62</v>
      </c>
      <c r="E81" s="171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35399.939999999769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71" t="s">
        <v>51</v>
      </c>
      <c r="C84" s="106">
        <v>51431297</v>
      </c>
      <c r="D84" s="172" t="s">
        <v>52</v>
      </c>
      <c r="E84" s="100">
        <v>7000</v>
      </c>
      <c r="F84" s="17">
        <v>218.8921</v>
      </c>
      <c r="G84" s="17">
        <v>221.3759</v>
      </c>
      <c r="H84" s="18">
        <f>(G84-F84)*E84</f>
        <v>17386.600000000017</v>
      </c>
      <c r="I84" s="107"/>
      <c r="J84" s="108"/>
    </row>
    <row r="85" spans="1:10" ht="15.75" x14ac:dyDescent="0.25">
      <c r="A85" s="105" t="s">
        <v>85</v>
      </c>
      <c r="B85" s="171" t="s">
        <v>51</v>
      </c>
      <c r="C85" s="106">
        <v>51431332</v>
      </c>
      <c r="D85" s="172" t="s">
        <v>52</v>
      </c>
      <c r="E85" s="100">
        <v>7000</v>
      </c>
      <c r="F85" s="21">
        <v>305.88799999999998</v>
      </c>
      <c r="G85" s="21">
        <v>306.04349999999999</v>
      </c>
      <c r="H85" s="18">
        <f>(G85-F85)*E85</f>
        <v>1088.5000000001241</v>
      </c>
      <c r="I85" s="171"/>
      <c r="J85" s="58"/>
    </row>
    <row r="86" spans="1:10" ht="15.75" x14ac:dyDescent="0.25">
      <c r="A86" s="27" t="s">
        <v>86</v>
      </c>
      <c r="B86" s="171" t="s">
        <v>102</v>
      </c>
      <c r="C86" s="109">
        <v>150773</v>
      </c>
      <c r="D86" s="172" t="s">
        <v>52</v>
      </c>
      <c r="E86" s="109">
        <v>20</v>
      </c>
      <c r="F86" s="17">
        <v>15301.1</v>
      </c>
      <c r="G86" s="17">
        <v>15309.8</v>
      </c>
      <c r="H86" s="18">
        <f>(G86-F86)*E86</f>
        <v>173.99999999997817</v>
      </c>
      <c r="I86" s="51"/>
      <c r="J86" s="58"/>
    </row>
    <row r="87" spans="1:10" ht="15.75" x14ac:dyDescent="0.25">
      <c r="A87" s="27" t="s">
        <v>88</v>
      </c>
      <c r="B87" s="171" t="s">
        <v>102</v>
      </c>
      <c r="C87" s="109">
        <v>150791</v>
      </c>
      <c r="D87" s="172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73"/>
      <c r="C88" s="32"/>
      <c r="D88" s="82"/>
      <c r="E88" s="82"/>
      <c r="F88" s="21"/>
      <c r="G88" s="21"/>
      <c r="H88" s="48">
        <f>H84+H85</f>
        <v>18475.10000000014</v>
      </c>
      <c r="I88" s="85">
        <f>H88-H91-H86-H87</f>
        <v>455.66000000038184</v>
      </c>
      <c r="J88" s="25">
        <f>I88/H88</f>
        <v>2.4663465962315678E-2</v>
      </c>
    </row>
    <row r="89" spans="1:10" ht="15.75" x14ac:dyDescent="0.25">
      <c r="A89" s="27" t="s">
        <v>103</v>
      </c>
      <c r="B89" s="171" t="s">
        <v>51</v>
      </c>
      <c r="C89" s="106">
        <v>51431342</v>
      </c>
      <c r="D89" s="88" t="s">
        <v>34</v>
      </c>
      <c r="E89" s="171">
        <v>4800</v>
      </c>
      <c r="F89" s="21">
        <v>309.79860000000002</v>
      </c>
      <c r="G89" s="21">
        <v>313.37439999999998</v>
      </c>
      <c r="H89" s="18">
        <f>(G89-F89)*E89</f>
        <v>17163.8399999998</v>
      </c>
      <c r="I89" s="51"/>
      <c r="J89" s="52"/>
    </row>
    <row r="90" spans="1:10" ht="15.75" x14ac:dyDescent="0.25">
      <c r="A90" s="27" t="s">
        <v>104</v>
      </c>
      <c r="B90" s="171" t="s">
        <v>51</v>
      </c>
      <c r="C90" s="106">
        <v>51431343</v>
      </c>
      <c r="D90" s="88" t="s">
        <v>34</v>
      </c>
      <c r="E90" s="171">
        <v>4800</v>
      </c>
      <c r="F90" s="21">
        <v>433.60399999999998</v>
      </c>
      <c r="G90" s="21">
        <v>433.74599999999998</v>
      </c>
      <c r="H90" s="18">
        <f>(G90-F90)*E90</f>
        <v>681.59999999998035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17845.43999999978</v>
      </c>
      <c r="I91" s="85">
        <f>H91-H99</f>
        <v>-101.52000000026601</v>
      </c>
      <c r="J91" s="25">
        <f>I91/H91</f>
        <v>-5.6888482435998918E-3</v>
      </c>
    </row>
    <row r="92" spans="1:10" ht="15.75" x14ac:dyDescent="0.25">
      <c r="A92" s="27" t="s">
        <v>106</v>
      </c>
      <c r="B92" s="171" t="s">
        <v>51</v>
      </c>
      <c r="C92" s="106">
        <v>51431347</v>
      </c>
      <c r="D92" s="172" t="s">
        <v>52</v>
      </c>
      <c r="E92" s="171">
        <v>1200</v>
      </c>
      <c r="F92" s="21">
        <v>958.84389999999996</v>
      </c>
      <c r="G92" s="21">
        <v>958.84389999999996</v>
      </c>
      <c r="H92" s="18">
        <f t="shared" ref="H92:H100" si="4">(G92-F92)*E92</f>
        <v>0</v>
      </c>
      <c r="I92" s="51"/>
      <c r="J92" s="52"/>
    </row>
    <row r="93" spans="1:10" ht="15.75" x14ac:dyDescent="0.25">
      <c r="A93" s="27" t="s">
        <v>107</v>
      </c>
      <c r="B93" s="171" t="s">
        <v>51</v>
      </c>
      <c r="C93" s="106">
        <v>51431339</v>
      </c>
      <c r="D93" s="172" t="s">
        <v>52</v>
      </c>
      <c r="E93" s="171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71" t="s">
        <v>51</v>
      </c>
      <c r="C94" s="106">
        <v>51217244</v>
      </c>
      <c r="D94" s="171" t="s">
        <v>37</v>
      </c>
      <c r="E94" s="171">
        <v>600</v>
      </c>
      <c r="F94" s="30">
        <v>254.2158</v>
      </c>
      <c r="G94" s="30">
        <v>255.23580000000001</v>
      </c>
      <c r="H94" s="18">
        <f t="shared" si="4"/>
        <v>612.00000000000614</v>
      </c>
      <c r="I94" s="51"/>
      <c r="J94" s="52"/>
    </row>
    <row r="95" spans="1:10" ht="15.75" x14ac:dyDescent="0.25">
      <c r="A95" s="27" t="s">
        <v>109</v>
      </c>
      <c r="B95" s="171" t="s">
        <v>51</v>
      </c>
      <c r="C95" s="106">
        <v>51217267</v>
      </c>
      <c r="D95" s="88" t="s">
        <v>62</v>
      </c>
      <c r="E95" s="171">
        <v>2400</v>
      </c>
      <c r="F95" s="30">
        <v>18.947600000000001</v>
      </c>
      <c r="G95" s="30">
        <v>18.978999999999999</v>
      </c>
      <c r="H95" s="18">
        <f t="shared" si="4"/>
        <v>75.359999999994898</v>
      </c>
      <c r="I95" s="51"/>
      <c r="J95" s="52"/>
    </row>
    <row r="96" spans="1:10" ht="15.75" x14ac:dyDescent="0.25">
      <c r="A96" s="27" t="s">
        <v>110</v>
      </c>
      <c r="B96" s="171" t="s">
        <v>51</v>
      </c>
      <c r="C96" s="171">
        <v>51555165</v>
      </c>
      <c r="D96" s="172" t="s">
        <v>52</v>
      </c>
      <c r="E96" s="171">
        <v>1200</v>
      </c>
      <c r="F96" s="30">
        <v>725.87189999999998</v>
      </c>
      <c r="G96" s="30">
        <v>734.4633</v>
      </c>
      <c r="H96" s="18">
        <f t="shared" si="4"/>
        <v>10309.680000000026</v>
      </c>
      <c r="I96" s="51" t="s">
        <v>27</v>
      </c>
      <c r="J96" s="52"/>
    </row>
    <row r="97" spans="1:10" ht="15.75" x14ac:dyDescent="0.25">
      <c r="A97" s="113" t="s">
        <v>111</v>
      </c>
      <c r="B97" s="171" t="s">
        <v>51</v>
      </c>
      <c r="C97" s="106">
        <v>51431346</v>
      </c>
      <c r="D97" s="114" t="s">
        <v>37</v>
      </c>
      <c r="E97" s="114">
        <v>600</v>
      </c>
      <c r="F97" s="30">
        <v>299.16430000000003</v>
      </c>
      <c r="G97" s="30">
        <v>301.42450000000002</v>
      </c>
      <c r="H97" s="115">
        <f t="shared" si="4"/>
        <v>1356.1199999999985</v>
      </c>
      <c r="I97" s="116"/>
      <c r="J97" s="117"/>
    </row>
    <row r="98" spans="1:10" ht="15.75" x14ac:dyDescent="0.25">
      <c r="A98" s="27" t="s">
        <v>112</v>
      </c>
      <c r="B98" s="171" t="s">
        <v>51</v>
      </c>
      <c r="C98" s="106">
        <v>51431352</v>
      </c>
      <c r="D98" s="88" t="s">
        <v>21</v>
      </c>
      <c r="E98" s="171">
        <v>3600</v>
      </c>
      <c r="F98" s="21">
        <v>161.74959999999999</v>
      </c>
      <c r="G98" s="21">
        <v>163.2551</v>
      </c>
      <c r="H98" s="18">
        <f t="shared" si="4"/>
        <v>5419.8000000000429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17946.960000000046</v>
      </c>
      <c r="I99" s="51"/>
      <c r="J99" s="52"/>
    </row>
    <row r="100" spans="1:10" ht="15.75" x14ac:dyDescent="0.25">
      <c r="A100" s="45" t="s">
        <v>113</v>
      </c>
      <c r="B100" s="171" t="s">
        <v>51</v>
      </c>
      <c r="C100" s="120">
        <v>51431357</v>
      </c>
      <c r="D100" s="172" t="s">
        <v>62</v>
      </c>
      <c r="E100" s="172">
        <v>14000</v>
      </c>
      <c r="F100" s="28">
        <v>685.93399999999997</v>
      </c>
      <c r="G100" s="28">
        <v>688.51030000000003</v>
      </c>
      <c r="H100" s="121">
        <f t="shared" si="4"/>
        <v>36068.200000000841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0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142</v>
      </c>
      <c r="G3" s="4" t="s">
        <v>143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74" t="s">
        <v>13</v>
      </c>
      <c r="C5" s="174">
        <v>51555166</v>
      </c>
      <c r="D5" s="174" t="s">
        <v>14</v>
      </c>
      <c r="E5" s="174">
        <v>132000</v>
      </c>
      <c r="F5" s="17">
        <v>2.4062000000000001</v>
      </c>
      <c r="G5" s="17">
        <v>2.4169999999999998</v>
      </c>
      <c r="H5" s="18">
        <f>(G5-F5)*E5</f>
        <v>1425.5999999999603</v>
      </c>
      <c r="I5" s="19"/>
      <c r="J5" s="20"/>
    </row>
    <row r="6" spans="1:10" ht="15.75" x14ac:dyDescent="0.25">
      <c r="A6" s="15" t="s">
        <v>15</v>
      </c>
      <c r="B6" s="174" t="s">
        <v>13</v>
      </c>
      <c r="C6" s="174">
        <v>51555191</v>
      </c>
      <c r="D6" s="174" t="s">
        <v>14</v>
      </c>
      <c r="E6" s="174">
        <v>132000</v>
      </c>
      <c r="F6" s="21">
        <v>288.5453</v>
      </c>
      <c r="G6" s="21">
        <v>290.60550000000001</v>
      </c>
      <c r="H6" s="18">
        <f>(G6-F6)*E6</f>
        <v>271946.40000000119</v>
      </c>
      <c r="I6" s="19"/>
      <c r="J6" s="20"/>
    </row>
    <row r="7" spans="1:10" ht="15.75" x14ac:dyDescent="0.25">
      <c r="A7" s="219" t="s">
        <v>16</v>
      </c>
      <c r="B7" s="220"/>
      <c r="C7" s="174"/>
      <c r="D7" s="175"/>
      <c r="E7" s="174"/>
      <c r="H7" s="23">
        <f>H5+H6</f>
        <v>273372.00000000116</v>
      </c>
      <c r="I7" s="24">
        <f>H7-H10-H20</f>
        <v>2487.6000000039348</v>
      </c>
      <c r="J7" s="25">
        <f>I7/H7</f>
        <v>9.0996883367862255E-3</v>
      </c>
    </row>
    <row r="8" spans="1:10" ht="15.75" x14ac:dyDescent="0.25">
      <c r="A8" s="26" t="s">
        <v>17</v>
      </c>
      <c r="B8" s="174" t="s">
        <v>13</v>
      </c>
      <c r="C8" s="174">
        <v>51097629</v>
      </c>
      <c r="D8" s="175" t="s">
        <v>14</v>
      </c>
      <c r="E8" s="174">
        <v>42000</v>
      </c>
      <c r="F8" s="21">
        <v>918.13940000000002</v>
      </c>
      <c r="G8" s="21">
        <v>922.93449999999996</v>
      </c>
      <c r="H8" s="18">
        <f>(G8-F8)*E8</f>
        <v>201394.19999999722</v>
      </c>
      <c r="I8" s="19"/>
      <c r="J8" s="20"/>
    </row>
    <row r="9" spans="1:10" ht="15.75" x14ac:dyDescent="0.25">
      <c r="A9" s="26" t="s">
        <v>18</v>
      </c>
      <c r="B9" s="174" t="s">
        <v>13</v>
      </c>
      <c r="C9" s="174">
        <v>51616820</v>
      </c>
      <c r="D9" s="175" t="s">
        <v>14</v>
      </c>
      <c r="E9" s="174">
        <v>42000</v>
      </c>
      <c r="F9" s="21">
        <v>3.9295</v>
      </c>
      <c r="G9" s="21">
        <v>3.9500999999999999</v>
      </c>
      <c r="H9" s="18">
        <f>(G9-F9)*E9</f>
        <v>865.199999999998</v>
      </c>
      <c r="I9" s="19"/>
      <c r="J9" s="20"/>
    </row>
    <row r="10" spans="1:10" ht="15.75" x14ac:dyDescent="0.25">
      <c r="A10" s="219" t="s">
        <v>19</v>
      </c>
      <c r="B10" s="220"/>
      <c r="C10" s="174"/>
      <c r="D10" s="175"/>
      <c r="E10" s="174"/>
      <c r="F10" s="21"/>
      <c r="G10" s="21"/>
      <c r="H10" s="23">
        <f>H8+H9</f>
        <v>202259.39999999723</v>
      </c>
      <c r="I10" s="24">
        <f>H10-H17</f>
        <v>-12.600000002770685</v>
      </c>
      <c r="J10" s="25">
        <f>I10/H10</f>
        <v>-6.229623939738206E-5</v>
      </c>
    </row>
    <row r="11" spans="1:10" ht="15.75" x14ac:dyDescent="0.25">
      <c r="A11" s="27" t="s">
        <v>20</v>
      </c>
      <c r="B11" s="174" t="s">
        <v>13</v>
      </c>
      <c r="C11" s="174">
        <v>51217286</v>
      </c>
      <c r="D11" s="175" t="s">
        <v>21</v>
      </c>
      <c r="E11" s="174">
        <v>21000</v>
      </c>
      <c r="F11" s="21">
        <v>730.40449999999998</v>
      </c>
      <c r="G11" s="21">
        <v>734.30960000000005</v>
      </c>
      <c r="H11" s="18">
        <f t="shared" ref="H11:H16" si="0">(G11-F11)*E11</f>
        <v>82007.100000001286</v>
      </c>
      <c r="I11" s="19"/>
      <c r="J11" s="20"/>
    </row>
    <row r="12" spans="1:10" ht="15.75" x14ac:dyDescent="0.25">
      <c r="A12" s="27" t="s">
        <v>22</v>
      </c>
      <c r="B12" s="174" t="s">
        <v>13</v>
      </c>
      <c r="C12" s="174">
        <v>51217292</v>
      </c>
      <c r="D12" s="175" t="s">
        <v>21</v>
      </c>
      <c r="E12" s="174">
        <v>21000</v>
      </c>
      <c r="F12" s="28">
        <v>2.8803000000000001</v>
      </c>
      <c r="G12" s="28">
        <v>2.9039999999999999</v>
      </c>
      <c r="H12" s="18">
        <f>(G12-F12)*E12</f>
        <v>497.69999999999646</v>
      </c>
      <c r="I12" s="19"/>
      <c r="J12" s="20"/>
    </row>
    <row r="13" spans="1:10" ht="15.75" x14ac:dyDescent="0.25">
      <c r="A13" s="27" t="s">
        <v>23</v>
      </c>
      <c r="B13" s="174" t="s">
        <v>13</v>
      </c>
      <c r="C13" s="174">
        <v>51217271</v>
      </c>
      <c r="D13" s="175" t="s">
        <v>21</v>
      </c>
      <c r="E13" s="174">
        <v>21000</v>
      </c>
      <c r="F13" s="21">
        <v>529.01400000000001</v>
      </c>
      <c r="G13" s="21">
        <v>532.26199999999994</v>
      </c>
      <c r="H13" s="18">
        <f t="shared" si="0"/>
        <v>68207.999999998603</v>
      </c>
      <c r="I13" s="19"/>
      <c r="J13" s="20"/>
    </row>
    <row r="14" spans="1:10" ht="15.75" x14ac:dyDescent="0.25">
      <c r="A14" s="27" t="s">
        <v>24</v>
      </c>
      <c r="B14" s="174" t="s">
        <v>13</v>
      </c>
      <c r="C14" s="174">
        <v>51217276</v>
      </c>
      <c r="D14" s="175" t="s">
        <v>21</v>
      </c>
      <c r="E14" s="174">
        <v>21000</v>
      </c>
      <c r="F14" s="28">
        <v>0.40910000000000002</v>
      </c>
      <c r="G14" s="28">
        <v>0.40949999999999998</v>
      </c>
      <c r="H14" s="18">
        <f>(G14-F14)*E14</f>
        <v>8.3999999999990749</v>
      </c>
      <c r="I14" s="19"/>
      <c r="J14" s="20"/>
    </row>
    <row r="15" spans="1:10" ht="15.75" x14ac:dyDescent="0.25">
      <c r="A15" s="27" t="s">
        <v>25</v>
      </c>
      <c r="B15" s="174" t="s">
        <v>13</v>
      </c>
      <c r="C15" s="174">
        <v>51100990</v>
      </c>
      <c r="D15" s="175" t="s">
        <v>21</v>
      </c>
      <c r="E15" s="174">
        <v>21000</v>
      </c>
      <c r="F15" s="29">
        <v>581.41639999999995</v>
      </c>
      <c r="G15" s="29">
        <v>583.85839999999996</v>
      </c>
      <c r="H15" s="18">
        <f t="shared" si="0"/>
        <v>51282.000000000153</v>
      </c>
      <c r="I15" s="19"/>
      <c r="J15" s="20"/>
    </row>
    <row r="16" spans="1:10" ht="15.75" x14ac:dyDescent="0.25">
      <c r="A16" s="27" t="s">
        <v>26</v>
      </c>
      <c r="B16" s="174" t="s">
        <v>13</v>
      </c>
      <c r="C16" s="174">
        <v>51097622</v>
      </c>
      <c r="D16" s="175" t="s">
        <v>21</v>
      </c>
      <c r="E16" s="174">
        <v>21000</v>
      </c>
      <c r="F16" s="21">
        <v>2.5459000000000001</v>
      </c>
      <c r="G16" s="21">
        <v>2.5587</v>
      </c>
      <c r="H16" s="18">
        <f t="shared" si="0"/>
        <v>268.79999999999836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74"/>
      <c r="D17" s="175"/>
      <c r="E17" s="174"/>
      <c r="F17" s="21"/>
      <c r="G17" s="21"/>
      <c r="H17" s="23">
        <f>H11+H12+H13+H14+H15+H16</f>
        <v>202272</v>
      </c>
      <c r="I17" s="19"/>
      <c r="J17" s="20"/>
    </row>
    <row r="18" spans="1:10" ht="15.75" x14ac:dyDescent="0.25">
      <c r="A18" s="26" t="s">
        <v>29</v>
      </c>
      <c r="B18" s="174" t="s">
        <v>13</v>
      </c>
      <c r="C18" s="174">
        <v>51097617</v>
      </c>
      <c r="D18" s="175" t="s">
        <v>30</v>
      </c>
      <c r="E18" s="174">
        <v>18000</v>
      </c>
      <c r="F18" s="30">
        <v>680.92619999999999</v>
      </c>
      <c r="G18" s="30">
        <v>684.73869999999999</v>
      </c>
      <c r="H18" s="18">
        <f>(G18-F18)*E18</f>
        <v>68625</v>
      </c>
      <c r="I18" s="19"/>
      <c r="J18" s="20"/>
    </row>
    <row r="19" spans="1:10" ht="15.75" x14ac:dyDescent="0.25">
      <c r="A19" s="26" t="s">
        <v>31</v>
      </c>
      <c r="B19" s="174" t="s">
        <v>13</v>
      </c>
      <c r="C19" s="174">
        <v>51097655</v>
      </c>
      <c r="D19" s="175" t="s">
        <v>30</v>
      </c>
      <c r="E19" s="174">
        <v>18000</v>
      </c>
      <c r="F19" s="30">
        <v>6.1279000000000003</v>
      </c>
      <c r="G19" s="30">
        <v>6.1279000000000003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74"/>
      <c r="D20" s="175"/>
      <c r="E20" s="174"/>
      <c r="F20" s="30"/>
      <c r="G20" s="30"/>
      <c r="H20" s="23">
        <f>H18+H19</f>
        <v>68625</v>
      </c>
      <c r="I20" s="24">
        <f>H20-H35</f>
        <v>4670.6999999997861</v>
      </c>
      <c r="J20" s="25">
        <f>I20/H20</f>
        <v>6.8061202185789232E-2</v>
      </c>
    </row>
    <row r="21" spans="1:10" ht="15.75" x14ac:dyDescent="0.25">
      <c r="A21" s="15" t="s">
        <v>33</v>
      </c>
      <c r="B21" s="174" t="s">
        <v>13</v>
      </c>
      <c r="C21" s="174">
        <v>51217282</v>
      </c>
      <c r="D21" s="175" t="s">
        <v>34</v>
      </c>
      <c r="E21" s="174">
        <v>4800</v>
      </c>
      <c r="F21" s="21">
        <v>378.3732</v>
      </c>
      <c r="G21" s="21">
        <v>378.3732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74" t="s">
        <v>13</v>
      </c>
      <c r="C22" s="174">
        <v>51217274</v>
      </c>
      <c r="D22" s="175" t="s">
        <v>34</v>
      </c>
      <c r="E22" s="174">
        <v>4800</v>
      </c>
      <c r="F22" s="21">
        <v>1082.7090000000001</v>
      </c>
      <c r="G22" s="21">
        <v>1088.8538000000001</v>
      </c>
      <c r="H22" s="18">
        <f t="shared" si="1"/>
        <v>29495.040000000154</v>
      </c>
      <c r="I22" s="19"/>
      <c r="J22" s="20"/>
    </row>
    <row r="23" spans="1:10" ht="15.75" x14ac:dyDescent="0.25">
      <c r="A23" s="15" t="s">
        <v>36</v>
      </c>
      <c r="B23" s="174" t="s">
        <v>13</v>
      </c>
      <c r="C23" s="174">
        <v>51097664</v>
      </c>
      <c r="D23" s="175" t="s">
        <v>37</v>
      </c>
      <c r="E23" s="174">
        <v>600</v>
      </c>
      <c r="F23" s="21">
        <v>3.9689999999999999</v>
      </c>
      <c r="G23" s="21">
        <v>3.9906999999999999</v>
      </c>
      <c r="H23" s="18">
        <f t="shared" si="1"/>
        <v>13.020000000000032</v>
      </c>
      <c r="I23" s="19"/>
      <c r="J23" s="20"/>
    </row>
    <row r="24" spans="1:10" ht="15.75" x14ac:dyDescent="0.25">
      <c r="A24" s="15" t="s">
        <v>38</v>
      </c>
      <c r="B24" s="174" t="s">
        <v>13</v>
      </c>
      <c r="C24" s="174">
        <v>51097615</v>
      </c>
      <c r="D24" s="175" t="s">
        <v>37</v>
      </c>
      <c r="E24" s="174">
        <v>600</v>
      </c>
      <c r="F24" s="21">
        <v>28.113399999999999</v>
      </c>
      <c r="G24" s="21">
        <v>28.497199999999999</v>
      </c>
      <c r="H24" s="18">
        <f t="shared" si="1"/>
        <v>230.28000000000048</v>
      </c>
      <c r="I24" s="19"/>
      <c r="J24" s="20"/>
    </row>
    <row r="25" spans="1:10" ht="15.75" x14ac:dyDescent="0.25">
      <c r="A25" s="15" t="s">
        <v>39</v>
      </c>
      <c r="B25" s="174" t="s">
        <v>13</v>
      </c>
      <c r="C25" s="174">
        <v>51217264</v>
      </c>
      <c r="D25" s="175" t="s">
        <v>37</v>
      </c>
      <c r="E25" s="174">
        <v>600</v>
      </c>
      <c r="F25" s="21">
        <v>72.635400000000004</v>
      </c>
      <c r="G25" s="21">
        <v>73.386499999999998</v>
      </c>
      <c r="H25" s="18">
        <f t="shared" si="1"/>
        <v>450.65999999999633</v>
      </c>
      <c r="I25" s="19"/>
      <c r="J25" s="20"/>
    </row>
    <row r="26" spans="1:10" ht="15.75" x14ac:dyDescent="0.25">
      <c r="A26" s="15" t="s">
        <v>40</v>
      </c>
      <c r="B26" s="174" t="s">
        <v>13</v>
      </c>
      <c r="C26" s="174">
        <v>51217288</v>
      </c>
      <c r="D26" s="175" t="s">
        <v>37</v>
      </c>
      <c r="E26" s="174">
        <v>600</v>
      </c>
      <c r="F26" s="21">
        <v>19.100200000000001</v>
      </c>
      <c r="G26" s="21">
        <v>19.130400000000002</v>
      </c>
      <c r="H26" s="18">
        <f t="shared" si="1"/>
        <v>18.120000000000402</v>
      </c>
      <c r="I26" s="19" t="s">
        <v>27</v>
      </c>
      <c r="J26" s="20"/>
    </row>
    <row r="27" spans="1:10" ht="15.75" x14ac:dyDescent="0.25">
      <c r="A27" s="15" t="s">
        <v>41</v>
      </c>
      <c r="B27" s="174" t="s">
        <v>13</v>
      </c>
      <c r="C27" s="174">
        <v>51217279</v>
      </c>
      <c r="D27" s="175" t="s">
        <v>37</v>
      </c>
      <c r="E27" s="174">
        <v>600</v>
      </c>
      <c r="F27" s="21">
        <v>12.894399999999999</v>
      </c>
      <c r="G27" s="21">
        <v>12.9474</v>
      </c>
      <c r="H27" s="18">
        <f t="shared" si="1"/>
        <v>31.800000000000495</v>
      </c>
      <c r="I27" s="19" t="s">
        <v>27</v>
      </c>
      <c r="J27" s="20"/>
    </row>
    <row r="28" spans="1:10" ht="15.75" x14ac:dyDescent="0.25">
      <c r="A28" s="15" t="s">
        <v>42</v>
      </c>
      <c r="B28" s="174" t="s">
        <v>13</v>
      </c>
      <c r="C28" s="174">
        <v>51217272</v>
      </c>
      <c r="D28" s="175" t="s">
        <v>37</v>
      </c>
      <c r="E28" s="174">
        <v>600</v>
      </c>
      <c r="F28" s="31">
        <v>12.649800000000001</v>
      </c>
      <c r="G28" s="31">
        <v>12.701700000000001</v>
      </c>
      <c r="H28" s="18">
        <f t="shared" si="1"/>
        <v>31.139999999999901</v>
      </c>
      <c r="I28" s="19"/>
      <c r="J28" s="20"/>
    </row>
    <row r="29" spans="1:10" ht="15.75" x14ac:dyDescent="0.25">
      <c r="A29" s="15" t="s">
        <v>43</v>
      </c>
      <c r="B29" s="174" t="s">
        <v>13</v>
      </c>
      <c r="C29" s="174">
        <v>51616744</v>
      </c>
      <c r="D29" s="175">
        <f>300/5</f>
        <v>60</v>
      </c>
      <c r="E29" s="174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74" t="s">
        <v>13</v>
      </c>
      <c r="C30" s="174">
        <v>51555226</v>
      </c>
      <c r="D30" s="175">
        <f>300/5</f>
        <v>60</v>
      </c>
      <c r="E30" s="174">
        <v>3600</v>
      </c>
      <c r="F30" s="31">
        <v>334.19830000000002</v>
      </c>
      <c r="G30" s="31">
        <v>338.50450000000001</v>
      </c>
      <c r="H30" s="18">
        <f>(G30-F30)*E30</f>
        <v>15502.319999999963</v>
      </c>
      <c r="I30" s="19"/>
      <c r="J30" s="20"/>
    </row>
    <row r="31" spans="1:10" ht="15.75" x14ac:dyDescent="0.25">
      <c r="A31" s="15" t="s">
        <v>45</v>
      </c>
      <c r="B31" s="174" t="s">
        <v>13</v>
      </c>
      <c r="C31" s="174">
        <v>51097658</v>
      </c>
      <c r="D31" s="175" t="s">
        <v>34</v>
      </c>
      <c r="E31" s="174">
        <v>4800</v>
      </c>
      <c r="F31" s="31">
        <v>514.75779999999997</v>
      </c>
      <c r="G31" s="31">
        <v>518.47239999999999</v>
      </c>
      <c r="H31" s="18">
        <f t="shared" si="1"/>
        <v>17830.080000000089</v>
      </c>
      <c r="I31" s="19"/>
      <c r="J31" s="20"/>
    </row>
    <row r="32" spans="1:10" ht="15.75" x14ac:dyDescent="0.25">
      <c r="A32" s="15" t="s">
        <v>46</v>
      </c>
      <c r="B32" s="174" t="s">
        <v>13</v>
      </c>
      <c r="C32" s="174">
        <v>51097635</v>
      </c>
      <c r="D32" s="175" t="s">
        <v>34</v>
      </c>
      <c r="E32" s="174">
        <v>4800</v>
      </c>
      <c r="F32" s="31">
        <v>48.436599999999999</v>
      </c>
      <c r="G32" s="31">
        <v>48.436700000000002</v>
      </c>
      <c r="H32" s="18">
        <f t="shared" si="1"/>
        <v>0.48000000001593435</v>
      </c>
      <c r="I32" s="19"/>
      <c r="J32" s="20"/>
    </row>
    <row r="33" spans="1:10" ht="15.75" x14ac:dyDescent="0.25">
      <c r="A33" s="15" t="s">
        <v>47</v>
      </c>
      <c r="B33" s="174" t="s">
        <v>13</v>
      </c>
      <c r="C33" s="32">
        <v>51097633</v>
      </c>
      <c r="D33" s="175" t="s">
        <v>34</v>
      </c>
      <c r="E33" s="174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74" t="s">
        <v>13</v>
      </c>
      <c r="C34" s="32">
        <v>51097662</v>
      </c>
      <c r="D34" s="175" t="s">
        <v>34</v>
      </c>
      <c r="E34" s="174">
        <v>4800</v>
      </c>
      <c r="F34" s="31">
        <v>1.0894999999999999</v>
      </c>
      <c r="G34" s="31">
        <v>1.1627000000000001</v>
      </c>
      <c r="H34" s="33">
        <f t="shared" si="1"/>
        <v>351.36000000000075</v>
      </c>
      <c r="I34" s="34"/>
      <c r="J34" s="35"/>
    </row>
    <row r="35" spans="1:10" ht="15.75" x14ac:dyDescent="0.25">
      <c r="A35" s="219" t="s">
        <v>48</v>
      </c>
      <c r="B35" s="220"/>
      <c r="C35" s="174"/>
      <c r="D35" s="175"/>
      <c r="E35" s="174"/>
      <c r="F35" s="36"/>
      <c r="G35" s="36"/>
      <c r="H35" s="23">
        <f>H21+H22+H23+H24+H25+H26+H27+H28+H29+H30+H31+H32+H33+H34</f>
        <v>63954.300000000214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74" t="s">
        <v>51</v>
      </c>
      <c r="C37" s="174">
        <v>51555209</v>
      </c>
      <c r="D37" s="175" t="s">
        <v>52</v>
      </c>
      <c r="E37" s="174">
        <v>7000</v>
      </c>
      <c r="F37" s="17">
        <v>3.7831000000000001</v>
      </c>
      <c r="G37" s="17">
        <v>3.8371</v>
      </c>
      <c r="H37" s="41">
        <f>(G37-F37)*E37</f>
        <v>377.99999999999881</v>
      </c>
      <c r="I37" s="42"/>
      <c r="J37" s="14"/>
    </row>
    <row r="38" spans="1:10" ht="15.75" x14ac:dyDescent="0.25">
      <c r="A38" s="15" t="s">
        <v>53</v>
      </c>
      <c r="B38" s="174" t="s">
        <v>51</v>
      </c>
      <c r="C38" s="174">
        <v>51555209</v>
      </c>
      <c r="D38" s="175" t="s">
        <v>52</v>
      </c>
      <c r="E38" s="174">
        <v>7000</v>
      </c>
      <c r="F38" s="21">
        <v>8.5645000000000007</v>
      </c>
      <c r="G38" s="21">
        <v>8.6091999999999995</v>
      </c>
      <c r="H38" s="18">
        <f>(G38-F38)*E38</f>
        <v>312.89999999999196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74" t="s">
        <v>51</v>
      </c>
      <c r="C40" s="174">
        <v>51097674</v>
      </c>
      <c r="D40" s="174" t="s">
        <v>14</v>
      </c>
      <c r="E40" s="174">
        <v>7200</v>
      </c>
      <c r="F40" s="21">
        <v>493.0582</v>
      </c>
      <c r="G40" s="21">
        <v>495.60149999999999</v>
      </c>
      <c r="H40" s="18">
        <f>(G40-F40)*E40</f>
        <v>18311.759999999915</v>
      </c>
      <c r="I40" s="47"/>
      <c r="J40" s="20"/>
    </row>
    <row r="41" spans="1:10" ht="15.75" x14ac:dyDescent="0.25">
      <c r="A41" s="27" t="s">
        <v>56</v>
      </c>
      <c r="B41" s="174" t="s">
        <v>51</v>
      </c>
      <c r="C41" s="174">
        <v>51259257</v>
      </c>
      <c r="D41" s="174" t="s">
        <v>14</v>
      </c>
      <c r="E41" s="174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74"/>
      <c r="C42" s="174"/>
      <c r="D42" s="174"/>
      <c r="E42" s="174"/>
      <c r="F42" s="21"/>
      <c r="G42" s="21"/>
      <c r="H42" s="48">
        <f>H40+H41</f>
        <v>18311.759999999915</v>
      </c>
      <c r="I42" s="24">
        <f>H42-H50</f>
        <v>-118.40000000027067</v>
      </c>
      <c r="J42" s="25">
        <f>I42/H42</f>
        <v>-6.4657902899705553E-3</v>
      </c>
    </row>
    <row r="43" spans="1:10" ht="15.75" x14ac:dyDescent="0.25">
      <c r="A43" s="15" t="s">
        <v>58</v>
      </c>
      <c r="B43" s="174"/>
      <c r="C43" s="174"/>
      <c r="D43" s="175"/>
      <c r="E43" s="174"/>
      <c r="H43" s="18"/>
      <c r="I43" s="43"/>
      <c r="J43" s="20"/>
    </row>
    <row r="44" spans="1:10" ht="15.75" x14ac:dyDescent="0.25">
      <c r="A44" s="27" t="s">
        <v>59</v>
      </c>
      <c r="B44" s="174" t="s">
        <v>51</v>
      </c>
      <c r="C44" s="32">
        <v>51097648</v>
      </c>
      <c r="D44" s="174" t="s">
        <v>52</v>
      </c>
      <c r="E44" s="174">
        <v>1200</v>
      </c>
      <c r="F44" s="21">
        <v>403.56270000000001</v>
      </c>
      <c r="G44" s="21">
        <v>405.5684</v>
      </c>
      <c r="H44" s="33">
        <f>(G44-F44)*E44</f>
        <v>2406.8399999999883</v>
      </c>
      <c r="I44" s="43"/>
      <c r="J44" s="20"/>
    </row>
    <row r="45" spans="1:10" ht="15.75" x14ac:dyDescent="0.25">
      <c r="A45" s="27" t="s">
        <v>60</v>
      </c>
      <c r="B45" s="174" t="s">
        <v>51</v>
      </c>
      <c r="C45" s="32">
        <v>50555043</v>
      </c>
      <c r="D45" s="174" t="s">
        <v>52</v>
      </c>
      <c r="E45" s="174">
        <v>1200</v>
      </c>
      <c r="F45" s="21">
        <v>1690.5437999999999</v>
      </c>
      <c r="G45" s="21">
        <v>1699.0769</v>
      </c>
      <c r="H45" s="33">
        <f>(G45-F45)*E45</f>
        <v>10239.720000000125</v>
      </c>
      <c r="I45" s="43"/>
      <c r="J45" s="20"/>
    </row>
    <row r="46" spans="1:10" ht="15.75" x14ac:dyDescent="0.25">
      <c r="A46" s="27" t="s">
        <v>61</v>
      </c>
      <c r="B46" s="174" t="s">
        <v>51</v>
      </c>
      <c r="C46" s="32">
        <v>51259336</v>
      </c>
      <c r="D46" s="174" t="s">
        <v>62</v>
      </c>
      <c r="E46" s="174">
        <v>2400</v>
      </c>
      <c r="F46" s="21">
        <v>3.5621</v>
      </c>
      <c r="G46" s="21">
        <v>3.5754000000000001</v>
      </c>
      <c r="H46" s="33">
        <f>(G46-F46)*E46</f>
        <v>31.920000000000215</v>
      </c>
      <c r="I46" s="43"/>
      <c r="J46" s="20"/>
    </row>
    <row r="47" spans="1:10" ht="15.75" x14ac:dyDescent="0.25">
      <c r="A47" s="27" t="s">
        <v>63</v>
      </c>
      <c r="B47" s="174" t="s">
        <v>51</v>
      </c>
      <c r="C47" s="32">
        <v>51259266</v>
      </c>
      <c r="D47" s="174" t="s">
        <v>52</v>
      </c>
      <c r="E47" s="174">
        <v>1200</v>
      </c>
      <c r="F47" s="21">
        <v>821.08529999999996</v>
      </c>
      <c r="G47" s="21">
        <v>825.52980000000002</v>
      </c>
      <c r="H47" s="33">
        <f>(G47-F47)*E47</f>
        <v>5333.4000000000742</v>
      </c>
      <c r="I47" s="43"/>
      <c r="J47" s="20"/>
    </row>
    <row r="48" spans="1:10" ht="15.75" x14ac:dyDescent="0.25">
      <c r="A48" s="27" t="s">
        <v>64</v>
      </c>
      <c r="B48" s="174" t="s">
        <v>51</v>
      </c>
      <c r="C48" s="32">
        <v>51431336</v>
      </c>
      <c r="D48" s="174" t="s">
        <v>52</v>
      </c>
      <c r="E48" s="174">
        <v>1200</v>
      </c>
      <c r="F48" s="21">
        <v>43.988599999999998</v>
      </c>
      <c r="G48" s="21">
        <v>44.295499999999997</v>
      </c>
      <c r="H48" s="33">
        <f>(G48-F48)*E48</f>
        <v>368.27999999999861</v>
      </c>
      <c r="I48" s="43"/>
      <c r="J48" s="20"/>
    </row>
    <row r="49" spans="1:10" ht="15.75" x14ac:dyDescent="0.25">
      <c r="A49" s="15" t="s">
        <v>65</v>
      </c>
      <c r="B49" s="174" t="s">
        <v>66</v>
      </c>
      <c r="C49" s="174">
        <v>49174</v>
      </c>
      <c r="D49" s="175" t="s">
        <v>52</v>
      </c>
      <c r="E49" s="174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18430.160000000185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74" t="s">
        <v>51</v>
      </c>
      <c r="C52" s="174">
        <v>51097603</v>
      </c>
      <c r="D52" s="175" t="s">
        <v>52</v>
      </c>
      <c r="E52" s="174">
        <v>7000</v>
      </c>
      <c r="F52" s="17">
        <v>1638.5577000000001</v>
      </c>
      <c r="G52" s="17">
        <v>1647.421</v>
      </c>
      <c r="H52" s="18">
        <f>(G52-F52)*E52</f>
        <v>62043.099999999868</v>
      </c>
      <c r="I52" s="43"/>
      <c r="J52" s="20"/>
    </row>
    <row r="53" spans="1:10" ht="15.75" x14ac:dyDescent="0.25">
      <c r="A53" s="27" t="s">
        <v>71</v>
      </c>
      <c r="B53" s="174" t="s">
        <v>51</v>
      </c>
      <c r="C53" s="174">
        <v>51097590</v>
      </c>
      <c r="D53" s="175" t="s">
        <v>52</v>
      </c>
      <c r="E53" s="174">
        <v>7000</v>
      </c>
      <c r="F53" s="21">
        <v>9.6059999999999999</v>
      </c>
      <c r="G53" s="21">
        <v>9.6813000000000002</v>
      </c>
      <c r="H53" s="18">
        <f>(G53-F53)*E53</f>
        <v>527.10000000000252</v>
      </c>
      <c r="I53" s="43"/>
      <c r="J53" s="20"/>
    </row>
    <row r="54" spans="1:10" ht="15.75" x14ac:dyDescent="0.25">
      <c r="A54" s="15" t="s">
        <v>65</v>
      </c>
      <c r="B54" s="174" t="s">
        <v>66</v>
      </c>
      <c r="C54" s="174">
        <v>49174</v>
      </c>
      <c r="D54" s="175" t="s">
        <v>52</v>
      </c>
      <c r="E54" s="174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74"/>
      <c r="D55" s="175"/>
      <c r="E55" s="174"/>
      <c r="F55" s="21"/>
      <c r="G55" s="21"/>
      <c r="H55" s="48">
        <f>H52+H53+H54</f>
        <v>62670.199999999873</v>
      </c>
      <c r="I55" s="47"/>
      <c r="J55" s="59"/>
    </row>
    <row r="56" spans="1:10" ht="15.75" x14ac:dyDescent="0.25">
      <c r="A56" s="27" t="s">
        <v>73</v>
      </c>
      <c r="B56" s="174" t="s">
        <v>51</v>
      </c>
      <c r="C56" s="174">
        <v>51100980</v>
      </c>
      <c r="D56" s="174" t="s">
        <v>74</v>
      </c>
      <c r="E56" s="174">
        <v>12000</v>
      </c>
      <c r="F56" s="21">
        <v>963.7183</v>
      </c>
      <c r="G56" s="21">
        <v>968.94669999999996</v>
      </c>
      <c r="H56" s="18">
        <f>(G56-F56)*E56</f>
        <v>62740.799999999581</v>
      </c>
      <c r="I56" s="47"/>
      <c r="J56" s="58"/>
    </row>
    <row r="57" spans="1:10" ht="15.75" x14ac:dyDescent="0.25">
      <c r="A57" s="27" t="s">
        <v>75</v>
      </c>
      <c r="B57" s="174" t="s">
        <v>51</v>
      </c>
      <c r="C57" s="174">
        <v>51097623</v>
      </c>
      <c r="D57" s="174" t="s">
        <v>74</v>
      </c>
      <c r="E57" s="174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74"/>
      <c r="C58" s="174"/>
      <c r="D58" s="174"/>
      <c r="E58" s="174"/>
      <c r="F58" s="21"/>
      <c r="G58" s="21"/>
      <c r="H58" s="48">
        <f>H56+H57</f>
        <v>62740.799999999581</v>
      </c>
      <c r="I58" s="61">
        <f>H55-H65-H54</f>
        <v>-294.08000000087486</v>
      </c>
      <c r="J58" s="25">
        <f>I58/H58</f>
        <v>-4.6872210746575884E-3</v>
      </c>
    </row>
    <row r="59" spans="1:10" ht="15.75" x14ac:dyDescent="0.25">
      <c r="A59" s="27" t="s">
        <v>77</v>
      </c>
      <c r="B59" s="174" t="s">
        <v>51</v>
      </c>
      <c r="C59" s="174">
        <v>51097675</v>
      </c>
      <c r="D59" s="174" t="s">
        <v>34</v>
      </c>
      <c r="E59" s="174">
        <v>4800</v>
      </c>
      <c r="F59" s="21">
        <v>378.58249999999998</v>
      </c>
      <c r="G59" s="21">
        <v>382.06560000000002</v>
      </c>
      <c r="H59" s="18">
        <f t="shared" ref="H59:H64" si="2">(G59-F59)*E59</f>
        <v>16718.880000000172</v>
      </c>
      <c r="I59" s="62"/>
      <c r="J59" s="59"/>
    </row>
    <row r="60" spans="1:10" ht="15.75" x14ac:dyDescent="0.25">
      <c r="A60" s="27" t="s">
        <v>78</v>
      </c>
      <c r="B60" s="174" t="s">
        <v>51</v>
      </c>
      <c r="C60" s="174">
        <v>51100997</v>
      </c>
      <c r="D60" s="174" t="s">
        <v>21</v>
      </c>
      <c r="E60" s="174">
        <v>3600</v>
      </c>
      <c r="F60" s="21">
        <v>1233.8444999999999</v>
      </c>
      <c r="G60" s="21">
        <v>1239.5544</v>
      </c>
      <c r="H60" s="18">
        <f t="shared" si="2"/>
        <v>20555.640000000221</v>
      </c>
      <c r="I60" s="62"/>
      <c r="J60" s="59"/>
    </row>
    <row r="61" spans="1:10" ht="15.75" x14ac:dyDescent="0.25">
      <c r="A61" s="27" t="s">
        <v>79</v>
      </c>
      <c r="B61" s="174" t="s">
        <v>51</v>
      </c>
      <c r="C61" s="174">
        <v>51555218</v>
      </c>
      <c r="D61" s="174">
        <f>400/5</f>
        <v>80</v>
      </c>
      <c r="E61" s="174">
        <v>4800</v>
      </c>
      <c r="F61" s="21">
        <v>42.749899999999997</v>
      </c>
      <c r="G61" s="21">
        <v>43.180900000000001</v>
      </c>
      <c r="H61" s="18">
        <f t="shared" si="2"/>
        <v>2068.8000000000216</v>
      </c>
      <c r="I61" s="62"/>
      <c r="J61" s="59"/>
    </row>
    <row r="62" spans="1:10" ht="15.75" x14ac:dyDescent="0.25">
      <c r="A62" s="27" t="s">
        <v>80</v>
      </c>
      <c r="B62" s="174" t="s">
        <v>51</v>
      </c>
      <c r="C62" s="174">
        <v>51555151</v>
      </c>
      <c r="D62" s="174">
        <f>400/5</f>
        <v>80</v>
      </c>
      <c r="E62" s="174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74" t="s">
        <v>51</v>
      </c>
      <c r="C63" s="174">
        <v>51097599</v>
      </c>
      <c r="D63" s="174" t="s">
        <v>21</v>
      </c>
      <c r="E63" s="174">
        <v>3600</v>
      </c>
      <c r="F63" s="21">
        <v>863.00149999999996</v>
      </c>
      <c r="G63" s="21">
        <v>866.22190000000001</v>
      </c>
      <c r="H63" s="18">
        <f t="shared" si="2"/>
        <v>11593.440000000146</v>
      </c>
      <c r="I63" s="62"/>
      <c r="J63" s="59"/>
    </row>
    <row r="64" spans="1:10" ht="15.75" x14ac:dyDescent="0.25">
      <c r="A64" s="27" t="s">
        <v>82</v>
      </c>
      <c r="B64" s="174" t="s">
        <v>51</v>
      </c>
      <c r="C64" s="174">
        <v>51097620</v>
      </c>
      <c r="D64" s="174" t="s">
        <v>34</v>
      </c>
      <c r="E64" s="174">
        <v>4800</v>
      </c>
      <c r="F64" s="21">
        <v>404.09719999999999</v>
      </c>
      <c r="G64" s="21">
        <v>406.58210000000003</v>
      </c>
      <c r="H64" s="18">
        <f t="shared" si="2"/>
        <v>11927.520000000186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62864.280000000748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74" t="s">
        <v>51</v>
      </c>
      <c r="C67" s="9">
        <v>51259238</v>
      </c>
      <c r="D67" s="74" t="s">
        <v>52</v>
      </c>
      <c r="E67" s="74">
        <v>7000</v>
      </c>
      <c r="F67" s="75">
        <v>442.26620000000003</v>
      </c>
      <c r="G67" s="75">
        <v>445.11669999999998</v>
      </c>
      <c r="H67" s="76">
        <f>(G67-F67)*E67</f>
        <v>19953.49999999968</v>
      </c>
      <c r="I67" s="77"/>
      <c r="J67" s="78"/>
    </row>
    <row r="68" spans="1:10" ht="15.75" x14ac:dyDescent="0.25">
      <c r="A68" s="27" t="s">
        <v>85</v>
      </c>
      <c r="B68" s="174" t="s">
        <v>51</v>
      </c>
      <c r="C68" s="174">
        <v>51259324</v>
      </c>
      <c r="D68" s="175" t="s">
        <v>52</v>
      </c>
      <c r="E68" s="175">
        <v>7000</v>
      </c>
      <c r="F68" s="21">
        <v>339.84100000000001</v>
      </c>
      <c r="G68" s="21">
        <v>342.0702</v>
      </c>
      <c r="H68" s="18">
        <f>(G68-F68)*E68</f>
        <v>15604.399999999941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74">
        <v>51491618</v>
      </c>
      <c r="D69" s="175" t="s">
        <v>62</v>
      </c>
      <c r="E69" s="174">
        <v>40</v>
      </c>
      <c r="F69" s="28">
        <v>807.274</v>
      </c>
      <c r="G69" s="28">
        <v>817.64949999999999</v>
      </c>
      <c r="H69" s="18">
        <f>(G69-F69)*E69</f>
        <v>415.01999999999953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74">
        <v>51491624</v>
      </c>
      <c r="D70" s="175" t="s">
        <v>62</v>
      </c>
      <c r="E70" s="174">
        <v>40</v>
      </c>
      <c r="F70" s="28">
        <v>112.5915</v>
      </c>
      <c r="G70" s="28">
        <v>113.6515</v>
      </c>
      <c r="H70" s="18">
        <f>(G70-F70)*E70</f>
        <v>42.400000000000091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35557.899999999623</v>
      </c>
      <c r="I71" s="85">
        <f>H71-H74-H69-H70</f>
        <v>-1235.5200000006166</v>
      </c>
      <c r="J71" s="25">
        <f>I71/H71</f>
        <v>-3.474670888890035E-2</v>
      </c>
    </row>
    <row r="72" spans="1:10" ht="15.75" x14ac:dyDescent="0.25">
      <c r="A72" s="27" t="s">
        <v>90</v>
      </c>
      <c r="B72" s="174" t="s">
        <v>51</v>
      </c>
      <c r="C72" s="86">
        <v>51097588</v>
      </c>
      <c r="D72" s="175" t="s">
        <v>74</v>
      </c>
      <c r="E72" s="174">
        <v>12000</v>
      </c>
      <c r="F72" s="21">
        <v>267.79989999999998</v>
      </c>
      <c r="G72" s="21">
        <v>269.47329999999999</v>
      </c>
      <c r="H72" s="18">
        <f>(G72-F72)*E72</f>
        <v>20080.800000000181</v>
      </c>
      <c r="I72" s="51"/>
      <c r="J72" s="58"/>
    </row>
    <row r="73" spans="1:10" ht="15.75" x14ac:dyDescent="0.25">
      <c r="A73" s="27" t="s">
        <v>91</v>
      </c>
      <c r="B73" s="174" t="s">
        <v>51</v>
      </c>
      <c r="C73" s="86">
        <v>51431335</v>
      </c>
      <c r="D73" s="175" t="s">
        <v>74</v>
      </c>
      <c r="E73" s="174">
        <v>12000</v>
      </c>
      <c r="F73" s="21">
        <v>208.79409999999999</v>
      </c>
      <c r="G73" s="21">
        <v>210.14869999999999</v>
      </c>
      <c r="H73" s="18">
        <f>(G73-F73)*E73</f>
        <v>16255.200000000059</v>
      </c>
      <c r="I73" s="51"/>
      <c r="J73" s="58"/>
    </row>
    <row r="74" spans="1:10" ht="15.75" x14ac:dyDescent="0.25">
      <c r="A74" s="87" t="s">
        <v>92</v>
      </c>
      <c r="B74" s="174" t="s">
        <v>27</v>
      </c>
      <c r="C74" s="174"/>
      <c r="D74" s="175"/>
      <c r="E74" s="174"/>
      <c r="F74" s="21"/>
      <c r="G74" s="21"/>
      <c r="H74" s="48">
        <f>H72+ H73</f>
        <v>36336.00000000024</v>
      </c>
      <c r="I74" s="85">
        <f>H74-H82</f>
        <v>-101.76000000008935</v>
      </c>
      <c r="J74" s="25">
        <f>I74/H74</f>
        <v>-2.8005284015876451E-3</v>
      </c>
    </row>
    <row r="75" spans="1:10" ht="15.75" x14ac:dyDescent="0.25">
      <c r="A75" s="27" t="s">
        <v>93</v>
      </c>
      <c r="B75" s="174" t="s">
        <v>51</v>
      </c>
      <c r="C75" s="86">
        <v>51097676</v>
      </c>
      <c r="D75" s="88" t="s">
        <v>62</v>
      </c>
      <c r="E75" s="174">
        <v>2400</v>
      </c>
      <c r="F75" s="21">
        <v>539.95809999999994</v>
      </c>
      <c r="G75" s="21">
        <v>544.15</v>
      </c>
      <c r="H75" s="18">
        <f>(G75-F75)*E75</f>
        <v>10060.560000000078</v>
      </c>
      <c r="I75" s="51"/>
      <c r="J75" s="58"/>
    </row>
    <row r="76" spans="1:10" ht="15.75" x14ac:dyDescent="0.25">
      <c r="A76" s="27" t="s">
        <v>94</v>
      </c>
      <c r="B76" s="174" t="s">
        <v>51</v>
      </c>
      <c r="C76" s="86">
        <v>51431355</v>
      </c>
      <c r="D76" s="175" t="s">
        <v>21</v>
      </c>
      <c r="E76" s="175">
        <v>3600</v>
      </c>
      <c r="F76" s="21">
        <v>310.09379999999999</v>
      </c>
      <c r="G76" s="21">
        <v>311.38510000000002</v>
      </c>
      <c r="H76" s="18">
        <f>(G76-F76)*E76</f>
        <v>4648.6800000001267</v>
      </c>
      <c r="I76" s="51"/>
      <c r="J76" s="52"/>
    </row>
    <row r="77" spans="1:10" ht="15.75" x14ac:dyDescent="0.25">
      <c r="A77" s="27" t="s">
        <v>95</v>
      </c>
      <c r="B77" s="174" t="s">
        <v>51</v>
      </c>
      <c r="C77" s="86">
        <v>51259331</v>
      </c>
      <c r="D77" s="88" t="s">
        <v>37</v>
      </c>
      <c r="E77" s="174">
        <v>600</v>
      </c>
      <c r="F77" s="21">
        <v>124.6755</v>
      </c>
      <c r="G77" s="21">
        <v>125.79810000000001</v>
      </c>
      <c r="H77" s="18">
        <f>(G77-F77)*E77</f>
        <v>673.56000000000336</v>
      </c>
      <c r="I77" s="51"/>
      <c r="J77" s="52"/>
    </row>
    <row r="78" spans="1:10" ht="15.75" x14ac:dyDescent="0.25">
      <c r="A78" s="27" t="s">
        <v>96</v>
      </c>
      <c r="B78" s="174" t="s">
        <v>51</v>
      </c>
      <c r="C78" s="86">
        <v>51259326</v>
      </c>
      <c r="D78" s="88" t="s">
        <v>14</v>
      </c>
      <c r="E78" s="174">
        <v>7200</v>
      </c>
      <c r="F78" s="21">
        <v>270.72879999999998</v>
      </c>
      <c r="G78" s="21">
        <v>272.13479999999998</v>
      </c>
      <c r="H78" s="18">
        <f>(G78-F78)*E78</f>
        <v>10123.200000000043</v>
      </c>
      <c r="I78" s="51"/>
      <c r="J78" s="52"/>
    </row>
    <row r="79" spans="1:10" ht="15.75" x14ac:dyDescent="0.25">
      <c r="A79" s="27" t="s">
        <v>97</v>
      </c>
      <c r="B79" s="174" t="s">
        <v>51</v>
      </c>
      <c r="C79" s="86">
        <v>51431351</v>
      </c>
      <c r="D79" s="88" t="s">
        <v>14</v>
      </c>
      <c r="E79" s="174">
        <v>7200</v>
      </c>
      <c r="F79" s="21">
        <v>179.6035</v>
      </c>
      <c r="G79" s="21">
        <v>181.12180000000001</v>
      </c>
      <c r="H79" s="18">
        <f>(G79-F79)*E79</f>
        <v>10931.760000000077</v>
      </c>
      <c r="I79" s="51"/>
      <c r="J79" s="52"/>
    </row>
    <row r="80" spans="1:10" ht="15.75" x14ac:dyDescent="0.25">
      <c r="A80" s="89" t="s">
        <v>98</v>
      </c>
      <c r="B80" s="174" t="s">
        <v>51</v>
      </c>
      <c r="C80" s="90">
        <v>51097666</v>
      </c>
      <c r="D80" s="88" t="s">
        <v>62</v>
      </c>
      <c r="E80" s="174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74" t="s">
        <v>51</v>
      </c>
      <c r="C81" s="90">
        <v>51259323</v>
      </c>
      <c r="D81" s="88" t="s">
        <v>62</v>
      </c>
      <c r="E81" s="174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36437.760000000329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74" t="s">
        <v>51</v>
      </c>
      <c r="C84" s="106">
        <v>51431297</v>
      </c>
      <c r="D84" s="175" t="s">
        <v>52</v>
      </c>
      <c r="E84" s="100">
        <v>7000</v>
      </c>
      <c r="F84" s="17">
        <v>221.3759</v>
      </c>
      <c r="G84" s="17">
        <v>221.3673</v>
      </c>
      <c r="H84" s="18">
        <f>(G84-F84)*E84</f>
        <v>-60.200000000008913</v>
      </c>
      <c r="I84" s="107"/>
      <c r="J84" s="108"/>
    </row>
    <row r="85" spans="1:10" ht="15.75" x14ac:dyDescent="0.25">
      <c r="A85" s="105" t="s">
        <v>85</v>
      </c>
      <c r="B85" s="174" t="s">
        <v>51</v>
      </c>
      <c r="C85" s="106">
        <v>51431332</v>
      </c>
      <c r="D85" s="175" t="s">
        <v>52</v>
      </c>
      <c r="E85" s="100">
        <v>7000</v>
      </c>
      <c r="F85" s="21">
        <v>306.04349999999999</v>
      </c>
      <c r="G85" s="21">
        <v>306.19779999999997</v>
      </c>
      <c r="H85" s="18">
        <f>(G85-F85)*E85</f>
        <v>1080.0999999998453</v>
      </c>
      <c r="I85" s="174"/>
      <c r="J85" s="58"/>
    </row>
    <row r="86" spans="1:10" ht="15.75" x14ac:dyDescent="0.25">
      <c r="A86" s="27" t="s">
        <v>86</v>
      </c>
      <c r="B86" s="174" t="s">
        <v>102</v>
      </c>
      <c r="C86" s="109">
        <v>150773</v>
      </c>
      <c r="D86" s="175" t="s">
        <v>52</v>
      </c>
      <c r="E86" s="109">
        <v>20</v>
      </c>
      <c r="F86" s="17">
        <v>15309.8</v>
      </c>
      <c r="G86" s="17">
        <v>15318.6</v>
      </c>
      <c r="H86" s="18">
        <f>(G86-F86)*E86</f>
        <v>176.00000000002183</v>
      </c>
      <c r="I86" s="51"/>
      <c r="J86" s="58"/>
    </row>
    <row r="87" spans="1:10" ht="15.75" x14ac:dyDescent="0.25">
      <c r="A87" s="27" t="s">
        <v>88</v>
      </c>
      <c r="B87" s="174" t="s">
        <v>102</v>
      </c>
      <c r="C87" s="109">
        <v>150791</v>
      </c>
      <c r="D87" s="175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76"/>
      <c r="C88" s="32"/>
      <c r="D88" s="82"/>
      <c r="E88" s="82"/>
      <c r="F88" s="21"/>
      <c r="G88" s="21"/>
      <c r="H88" s="48">
        <f>H84+H85</f>
        <v>1019.8999999998364</v>
      </c>
      <c r="I88" s="85">
        <f>H88-H91-H86-H87</f>
        <v>-16977.06000000038</v>
      </c>
      <c r="J88" s="25">
        <f>I88/H88</f>
        <v>-16.645808412592512</v>
      </c>
    </row>
    <row r="89" spans="1:10" ht="15.75" x14ac:dyDescent="0.25">
      <c r="A89" s="27" t="s">
        <v>103</v>
      </c>
      <c r="B89" s="174" t="s">
        <v>51</v>
      </c>
      <c r="C89" s="106">
        <v>51431342</v>
      </c>
      <c r="D89" s="88" t="s">
        <v>34</v>
      </c>
      <c r="E89" s="174">
        <v>4800</v>
      </c>
      <c r="F89" s="21">
        <v>313.37439999999998</v>
      </c>
      <c r="G89" s="21">
        <v>316.94560000000001</v>
      </c>
      <c r="H89" s="18">
        <f>(G89-F89)*E89</f>
        <v>17141.760000000158</v>
      </c>
      <c r="I89" s="51"/>
      <c r="J89" s="52"/>
    </row>
    <row r="90" spans="1:10" ht="15.75" x14ac:dyDescent="0.25">
      <c r="A90" s="27" t="s">
        <v>104</v>
      </c>
      <c r="B90" s="174" t="s">
        <v>51</v>
      </c>
      <c r="C90" s="106">
        <v>51431343</v>
      </c>
      <c r="D90" s="88" t="s">
        <v>34</v>
      </c>
      <c r="E90" s="174">
        <v>4800</v>
      </c>
      <c r="F90" s="21">
        <v>433.74599999999998</v>
      </c>
      <c r="G90" s="21">
        <v>433.88749999999999</v>
      </c>
      <c r="H90" s="18">
        <f>(G90-F90)*E90</f>
        <v>679.20000000003711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17820.960000000196</v>
      </c>
      <c r="I91" s="85">
        <f>H91-H99</f>
        <v>-118.09999999988213</v>
      </c>
      <c r="J91" s="25">
        <f>I91/H91</f>
        <v>-6.6270279491049211E-3</v>
      </c>
    </row>
    <row r="92" spans="1:10" ht="15.75" x14ac:dyDescent="0.25">
      <c r="A92" s="27" t="s">
        <v>106</v>
      </c>
      <c r="B92" s="174" t="s">
        <v>51</v>
      </c>
      <c r="C92" s="106">
        <v>51431347</v>
      </c>
      <c r="D92" s="175" t="s">
        <v>52</v>
      </c>
      <c r="E92" s="174">
        <v>1200</v>
      </c>
      <c r="F92" s="21">
        <v>958.84389999999996</v>
      </c>
      <c r="G92" s="21">
        <v>958.84389999999996</v>
      </c>
      <c r="H92" s="18">
        <f t="shared" ref="H92:H100" si="4">(G92-F92)*E92</f>
        <v>0</v>
      </c>
      <c r="I92" s="51"/>
      <c r="J92" s="52"/>
    </row>
    <row r="93" spans="1:10" ht="15.75" x14ac:dyDescent="0.25">
      <c r="A93" s="27" t="s">
        <v>107</v>
      </c>
      <c r="B93" s="174" t="s">
        <v>51</v>
      </c>
      <c r="C93" s="106">
        <v>51431339</v>
      </c>
      <c r="D93" s="175" t="s">
        <v>52</v>
      </c>
      <c r="E93" s="174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74" t="s">
        <v>51</v>
      </c>
      <c r="C94" s="106">
        <v>51217244</v>
      </c>
      <c r="D94" s="174" t="s">
        <v>37</v>
      </c>
      <c r="E94" s="174">
        <v>600</v>
      </c>
      <c r="F94" s="30">
        <v>255.23580000000001</v>
      </c>
      <c r="G94" s="30">
        <v>256.25259999999997</v>
      </c>
      <c r="H94" s="18">
        <f t="shared" si="4"/>
        <v>610.07999999997651</v>
      </c>
      <c r="I94" s="51"/>
      <c r="J94" s="52"/>
    </row>
    <row r="95" spans="1:10" ht="15.75" x14ac:dyDescent="0.25">
      <c r="A95" s="27" t="s">
        <v>109</v>
      </c>
      <c r="B95" s="174" t="s">
        <v>51</v>
      </c>
      <c r="C95" s="106">
        <v>51217267</v>
      </c>
      <c r="D95" s="88" t="s">
        <v>62</v>
      </c>
      <c r="E95" s="174">
        <v>2400</v>
      </c>
      <c r="F95" s="30">
        <v>18.978999999999999</v>
      </c>
      <c r="G95" s="30">
        <v>19.010200000000001</v>
      </c>
      <c r="H95" s="18">
        <f t="shared" si="4"/>
        <v>74.880000000004543</v>
      </c>
      <c r="I95" s="51"/>
      <c r="J95" s="52"/>
    </row>
    <row r="96" spans="1:10" ht="15.75" x14ac:dyDescent="0.25">
      <c r="A96" s="27" t="s">
        <v>110</v>
      </c>
      <c r="B96" s="174" t="s">
        <v>51</v>
      </c>
      <c r="C96" s="174">
        <v>51555165</v>
      </c>
      <c r="D96" s="175" t="s">
        <v>52</v>
      </c>
      <c r="E96" s="174">
        <v>1200</v>
      </c>
      <c r="F96" s="30">
        <v>734.4633</v>
      </c>
      <c r="G96" s="30">
        <v>743.04010000000005</v>
      </c>
      <c r="H96" s="18">
        <f t="shared" si="4"/>
        <v>10292.160000000058</v>
      </c>
      <c r="I96" s="51" t="s">
        <v>27</v>
      </c>
      <c r="J96" s="52"/>
    </row>
    <row r="97" spans="1:10" ht="15.75" x14ac:dyDescent="0.25">
      <c r="A97" s="113" t="s">
        <v>111</v>
      </c>
      <c r="B97" s="174" t="s">
        <v>51</v>
      </c>
      <c r="C97" s="106">
        <v>51431346</v>
      </c>
      <c r="D97" s="114" t="s">
        <v>37</v>
      </c>
      <c r="E97" s="114">
        <v>600</v>
      </c>
      <c r="F97" s="30">
        <v>301.42450000000002</v>
      </c>
      <c r="G97" s="30">
        <v>303.65039999999999</v>
      </c>
      <c r="H97" s="115">
        <f t="shared" si="4"/>
        <v>1335.5399999999804</v>
      </c>
      <c r="I97" s="116"/>
      <c r="J97" s="117"/>
    </row>
    <row r="98" spans="1:10" ht="15.75" x14ac:dyDescent="0.25">
      <c r="A98" s="27" t="s">
        <v>112</v>
      </c>
      <c r="B98" s="174" t="s">
        <v>51</v>
      </c>
      <c r="C98" s="106">
        <v>51431352</v>
      </c>
      <c r="D98" s="88" t="s">
        <v>21</v>
      </c>
      <c r="E98" s="174">
        <v>3600</v>
      </c>
      <c r="F98" s="21">
        <v>163.2551</v>
      </c>
      <c r="G98" s="21">
        <v>164.76910000000001</v>
      </c>
      <c r="H98" s="18">
        <f t="shared" si="4"/>
        <v>5450.400000000036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17939.060000000078</v>
      </c>
      <c r="I99" s="51"/>
      <c r="J99" s="52"/>
    </row>
    <row r="100" spans="1:10" ht="15.75" x14ac:dyDescent="0.25">
      <c r="A100" s="45" t="s">
        <v>113</v>
      </c>
      <c r="B100" s="174" t="s">
        <v>51</v>
      </c>
      <c r="C100" s="120">
        <v>51431357</v>
      </c>
      <c r="D100" s="175" t="s">
        <v>62</v>
      </c>
      <c r="E100" s="175">
        <v>14000</v>
      </c>
      <c r="F100" s="28">
        <v>688.51030000000003</v>
      </c>
      <c r="G100" s="28">
        <v>691.41200000000003</v>
      </c>
      <c r="H100" s="121">
        <f t="shared" si="4"/>
        <v>40623.800000000076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145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143</v>
      </c>
      <c r="G3" s="4" t="s">
        <v>144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77" t="s">
        <v>13</v>
      </c>
      <c r="C5" s="177">
        <v>51555166</v>
      </c>
      <c r="D5" s="177" t="s">
        <v>14</v>
      </c>
      <c r="E5" s="177">
        <v>132000</v>
      </c>
      <c r="F5" s="17">
        <v>2.4169999999999998</v>
      </c>
      <c r="G5" s="17">
        <v>2.4276</v>
      </c>
      <c r="H5" s="18">
        <f>(G5-F5)*E5</f>
        <v>1399.2000000000216</v>
      </c>
      <c r="I5" s="19"/>
      <c r="J5" s="20"/>
    </row>
    <row r="6" spans="1:10" ht="15.75" x14ac:dyDescent="0.25">
      <c r="A6" s="15" t="s">
        <v>15</v>
      </c>
      <c r="B6" s="177" t="s">
        <v>13</v>
      </c>
      <c r="C6" s="177">
        <v>51555191</v>
      </c>
      <c r="D6" s="177" t="s">
        <v>14</v>
      </c>
      <c r="E6" s="177">
        <v>132000</v>
      </c>
      <c r="F6" s="21">
        <v>290.60550000000001</v>
      </c>
      <c r="G6" s="21">
        <v>292.68920000000003</v>
      </c>
      <c r="H6" s="18">
        <f>(G6-F6)*E6</f>
        <v>275048.40000000288</v>
      </c>
      <c r="I6" s="19"/>
      <c r="J6" s="20"/>
    </row>
    <row r="7" spans="1:10" ht="15.75" x14ac:dyDescent="0.25">
      <c r="A7" s="219" t="s">
        <v>16</v>
      </c>
      <c r="B7" s="220"/>
      <c r="C7" s="177"/>
      <c r="D7" s="178"/>
      <c r="E7" s="177"/>
      <c r="H7" s="23">
        <f>H5+H6</f>
        <v>276447.60000000289</v>
      </c>
      <c r="I7" s="24">
        <f>H7-H10-H20</f>
        <v>2400.599999999482</v>
      </c>
      <c r="J7" s="25">
        <f>I7/H7</f>
        <v>8.6837433206128651E-3</v>
      </c>
    </row>
    <row r="8" spans="1:10" ht="15.75" x14ac:dyDescent="0.25">
      <c r="A8" s="26" t="s">
        <v>17</v>
      </c>
      <c r="B8" s="177" t="s">
        <v>13</v>
      </c>
      <c r="C8" s="177">
        <v>51097629</v>
      </c>
      <c r="D8" s="178" t="s">
        <v>14</v>
      </c>
      <c r="E8" s="177">
        <v>42000</v>
      </c>
      <c r="F8" s="21">
        <v>922.93449999999996</v>
      </c>
      <c r="G8" s="21">
        <v>927.85400000000004</v>
      </c>
      <c r="H8" s="18">
        <f>(G8-F8)*E8</f>
        <v>206619.00000000355</v>
      </c>
      <c r="I8" s="19"/>
      <c r="J8" s="20"/>
    </row>
    <row r="9" spans="1:10" ht="15.75" x14ac:dyDescent="0.25">
      <c r="A9" s="26" t="s">
        <v>18</v>
      </c>
      <c r="B9" s="177" t="s">
        <v>13</v>
      </c>
      <c r="C9" s="177">
        <v>51616820</v>
      </c>
      <c r="D9" s="178" t="s">
        <v>14</v>
      </c>
      <c r="E9" s="177">
        <v>42000</v>
      </c>
      <c r="F9" s="21">
        <v>3.9500999999999999</v>
      </c>
      <c r="G9" s="21">
        <v>3.9704999999999999</v>
      </c>
      <c r="H9" s="18">
        <f>(G9-F9)*E9</f>
        <v>856.79999999999893</v>
      </c>
      <c r="I9" s="19"/>
      <c r="J9" s="20"/>
    </row>
    <row r="10" spans="1:10" ht="15.75" x14ac:dyDescent="0.25">
      <c r="A10" s="219" t="s">
        <v>19</v>
      </c>
      <c r="B10" s="220"/>
      <c r="C10" s="177"/>
      <c r="D10" s="178"/>
      <c r="E10" s="177"/>
      <c r="F10" s="21"/>
      <c r="G10" s="21"/>
      <c r="H10" s="23">
        <f>H8+H9</f>
        <v>207475.80000000354</v>
      </c>
      <c r="I10" s="24">
        <f>H10-H17</f>
        <v>-8.3999999969673809</v>
      </c>
      <c r="J10" s="25">
        <f>I10/H10</f>
        <v>-4.0486649512700939E-5</v>
      </c>
    </row>
    <row r="11" spans="1:10" ht="15.75" x14ac:dyDescent="0.25">
      <c r="A11" s="27" t="s">
        <v>20</v>
      </c>
      <c r="B11" s="177" t="s">
        <v>13</v>
      </c>
      <c r="C11" s="177">
        <v>51217286</v>
      </c>
      <c r="D11" s="178" t="s">
        <v>21</v>
      </c>
      <c r="E11" s="177">
        <v>21000</v>
      </c>
      <c r="F11" s="21">
        <v>734.30960000000005</v>
      </c>
      <c r="G11" s="21">
        <v>738.20330000000001</v>
      </c>
      <c r="H11" s="18">
        <f t="shared" ref="H11:H16" si="0">(G11-F11)*E11</f>
        <v>81767.699999999313</v>
      </c>
      <c r="I11" s="19"/>
      <c r="J11" s="20"/>
    </row>
    <row r="12" spans="1:10" ht="15.75" x14ac:dyDescent="0.25">
      <c r="A12" s="27" t="s">
        <v>22</v>
      </c>
      <c r="B12" s="177" t="s">
        <v>13</v>
      </c>
      <c r="C12" s="177">
        <v>51217292</v>
      </c>
      <c r="D12" s="178" t="s">
        <v>21</v>
      </c>
      <c r="E12" s="177">
        <v>21000</v>
      </c>
      <c r="F12" s="28">
        <v>2.9039999999999999</v>
      </c>
      <c r="G12" s="28">
        <v>2.9281000000000001</v>
      </c>
      <c r="H12" s="18">
        <f>(G12-F12)*E12</f>
        <v>506.10000000000485</v>
      </c>
      <c r="I12" s="19"/>
      <c r="J12" s="20"/>
    </row>
    <row r="13" spans="1:10" ht="15.75" x14ac:dyDescent="0.25">
      <c r="A13" s="27" t="s">
        <v>23</v>
      </c>
      <c r="B13" s="177" t="s">
        <v>13</v>
      </c>
      <c r="C13" s="177">
        <v>51217271</v>
      </c>
      <c r="D13" s="178" t="s">
        <v>21</v>
      </c>
      <c r="E13" s="177">
        <v>21000</v>
      </c>
      <c r="F13" s="21">
        <v>532.26199999999994</v>
      </c>
      <c r="G13" s="21">
        <v>535.48199999999997</v>
      </c>
      <c r="H13" s="18">
        <f t="shared" si="0"/>
        <v>67620.000000000568</v>
      </c>
      <c r="I13" s="19"/>
      <c r="J13" s="20"/>
    </row>
    <row r="14" spans="1:10" ht="15.75" x14ac:dyDescent="0.25">
      <c r="A14" s="27" t="s">
        <v>24</v>
      </c>
      <c r="B14" s="177" t="s">
        <v>13</v>
      </c>
      <c r="C14" s="177">
        <v>51217276</v>
      </c>
      <c r="D14" s="178" t="s">
        <v>21</v>
      </c>
      <c r="E14" s="177">
        <v>21000</v>
      </c>
      <c r="F14" s="28">
        <v>0.40949999999999998</v>
      </c>
      <c r="G14" s="28">
        <v>0.40960000000000002</v>
      </c>
      <c r="H14" s="18">
        <f>(G14-F14)*E14</f>
        <v>2.1000000000009345</v>
      </c>
      <c r="I14" s="19"/>
      <c r="J14" s="20"/>
    </row>
    <row r="15" spans="1:10" ht="15.75" x14ac:dyDescent="0.25">
      <c r="A15" s="27" t="s">
        <v>25</v>
      </c>
      <c r="B15" s="177" t="s">
        <v>13</v>
      </c>
      <c r="C15" s="177">
        <v>51100990</v>
      </c>
      <c r="D15" s="178" t="s">
        <v>21</v>
      </c>
      <c r="E15" s="177">
        <v>21000</v>
      </c>
      <c r="F15" s="29">
        <v>583.85839999999996</v>
      </c>
      <c r="G15" s="29">
        <v>586.58789999999999</v>
      </c>
      <c r="H15" s="18">
        <f t="shared" si="0"/>
        <v>57319.500000000633</v>
      </c>
      <c r="I15" s="19"/>
      <c r="J15" s="20"/>
    </row>
    <row r="16" spans="1:10" ht="15.75" x14ac:dyDescent="0.25">
      <c r="A16" s="27" t="s">
        <v>26</v>
      </c>
      <c r="B16" s="177" t="s">
        <v>13</v>
      </c>
      <c r="C16" s="177">
        <v>51097622</v>
      </c>
      <c r="D16" s="178" t="s">
        <v>21</v>
      </c>
      <c r="E16" s="177">
        <v>21000</v>
      </c>
      <c r="F16" s="21">
        <v>2.5587</v>
      </c>
      <c r="G16" s="21">
        <v>2.5714999999999999</v>
      </c>
      <c r="H16" s="18">
        <f t="shared" si="0"/>
        <v>268.79999999999836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77"/>
      <c r="D17" s="178"/>
      <c r="E17" s="177"/>
      <c r="F17" s="21"/>
      <c r="G17" s="21"/>
      <c r="H17" s="23">
        <f>H11+H12+H13+H14+H15+H16</f>
        <v>207484.20000000051</v>
      </c>
      <c r="I17" s="19"/>
      <c r="J17" s="20"/>
    </row>
    <row r="18" spans="1:10" ht="15.75" x14ac:dyDescent="0.25">
      <c r="A18" s="26" t="s">
        <v>29</v>
      </c>
      <c r="B18" s="177" t="s">
        <v>13</v>
      </c>
      <c r="C18" s="177">
        <v>51097617</v>
      </c>
      <c r="D18" s="178" t="s">
        <v>30</v>
      </c>
      <c r="E18" s="177">
        <v>18000</v>
      </c>
      <c r="F18" s="30">
        <v>684.73869999999999</v>
      </c>
      <c r="G18" s="30">
        <v>688.43709999999999</v>
      </c>
      <c r="H18" s="18">
        <f>(G18-F18)*E18</f>
        <v>66571.199999999866</v>
      </c>
      <c r="I18" s="19"/>
      <c r="J18" s="20"/>
    </row>
    <row r="19" spans="1:10" ht="15.75" x14ac:dyDescent="0.25">
      <c r="A19" s="26" t="s">
        <v>31</v>
      </c>
      <c r="B19" s="177" t="s">
        <v>13</v>
      </c>
      <c r="C19" s="177">
        <v>51097655</v>
      </c>
      <c r="D19" s="178" t="s">
        <v>30</v>
      </c>
      <c r="E19" s="177">
        <v>18000</v>
      </c>
      <c r="F19" s="30">
        <v>6.1279000000000003</v>
      </c>
      <c r="G19" s="30">
        <v>6.1279000000000003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77"/>
      <c r="D20" s="178"/>
      <c r="E20" s="177"/>
      <c r="F20" s="30"/>
      <c r="G20" s="30"/>
      <c r="H20" s="23">
        <f>H18+H19</f>
        <v>66571.199999999866</v>
      </c>
      <c r="I20" s="24">
        <f>H20-H35</f>
        <v>4299.1200000010576</v>
      </c>
      <c r="J20" s="25">
        <f>I20/H20</f>
        <v>6.457927752543241E-2</v>
      </c>
    </row>
    <row r="21" spans="1:10" ht="15.75" x14ac:dyDescent="0.25">
      <c r="A21" s="15" t="s">
        <v>33</v>
      </c>
      <c r="B21" s="177" t="s">
        <v>13</v>
      </c>
      <c r="C21" s="177">
        <v>51217282</v>
      </c>
      <c r="D21" s="178" t="s">
        <v>34</v>
      </c>
      <c r="E21" s="177">
        <v>4800</v>
      </c>
      <c r="F21" s="21">
        <v>378.3732</v>
      </c>
      <c r="G21" s="21">
        <v>378.3732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77" t="s">
        <v>13</v>
      </c>
      <c r="C22" s="177">
        <v>51217274</v>
      </c>
      <c r="D22" s="178" t="s">
        <v>34</v>
      </c>
      <c r="E22" s="177">
        <v>4800</v>
      </c>
      <c r="F22" s="21">
        <v>1088.8538000000001</v>
      </c>
      <c r="G22" s="21">
        <v>1095.0320999999999</v>
      </c>
      <c r="H22" s="18">
        <f t="shared" si="1"/>
        <v>29655.83999999908</v>
      </c>
      <c r="I22" s="19"/>
      <c r="J22" s="20"/>
    </row>
    <row r="23" spans="1:10" ht="15.75" x14ac:dyDescent="0.25">
      <c r="A23" s="15" t="s">
        <v>36</v>
      </c>
      <c r="B23" s="177" t="s">
        <v>13</v>
      </c>
      <c r="C23" s="177">
        <v>51097664</v>
      </c>
      <c r="D23" s="178" t="s">
        <v>37</v>
      </c>
      <c r="E23" s="177">
        <v>600</v>
      </c>
      <c r="F23" s="21">
        <v>3.9906999999999999</v>
      </c>
      <c r="G23" s="21">
        <v>4.0160999999999998</v>
      </c>
      <c r="H23" s="18">
        <f t="shared" si="1"/>
        <v>15.23999999999992</v>
      </c>
      <c r="I23" s="19"/>
      <c r="J23" s="20"/>
    </row>
    <row r="24" spans="1:10" ht="15.75" x14ac:dyDescent="0.25">
      <c r="A24" s="15" t="s">
        <v>38</v>
      </c>
      <c r="B24" s="177" t="s">
        <v>13</v>
      </c>
      <c r="C24" s="177">
        <v>51097615</v>
      </c>
      <c r="D24" s="178" t="s">
        <v>37</v>
      </c>
      <c r="E24" s="177">
        <v>600</v>
      </c>
      <c r="F24" s="21">
        <v>28.497199999999999</v>
      </c>
      <c r="G24" s="21">
        <v>28.881599999999999</v>
      </c>
      <c r="H24" s="18">
        <f t="shared" si="1"/>
        <v>230.63999999999965</v>
      </c>
      <c r="I24" s="19"/>
      <c r="J24" s="20"/>
    </row>
    <row r="25" spans="1:10" ht="15.75" x14ac:dyDescent="0.25">
      <c r="A25" s="15" t="s">
        <v>39</v>
      </c>
      <c r="B25" s="177" t="s">
        <v>13</v>
      </c>
      <c r="C25" s="177">
        <v>51217264</v>
      </c>
      <c r="D25" s="178" t="s">
        <v>37</v>
      </c>
      <c r="E25" s="177">
        <v>600</v>
      </c>
      <c r="F25" s="21">
        <v>73.386499999999998</v>
      </c>
      <c r="G25" s="21">
        <v>74.156899999999993</v>
      </c>
      <c r="H25" s="18">
        <f t="shared" si="1"/>
        <v>462.23999999999705</v>
      </c>
      <c r="I25" s="19"/>
      <c r="J25" s="20"/>
    </row>
    <row r="26" spans="1:10" ht="15.75" x14ac:dyDescent="0.25">
      <c r="A26" s="15" t="s">
        <v>40</v>
      </c>
      <c r="B26" s="177" t="s">
        <v>13</v>
      </c>
      <c r="C26" s="177">
        <v>51217288</v>
      </c>
      <c r="D26" s="178" t="s">
        <v>37</v>
      </c>
      <c r="E26" s="177">
        <v>600</v>
      </c>
      <c r="F26" s="21">
        <v>19.130400000000002</v>
      </c>
      <c r="G26" s="21">
        <v>19.161000000000001</v>
      </c>
      <c r="H26" s="18">
        <f t="shared" si="1"/>
        <v>18.359999999999843</v>
      </c>
      <c r="I26" s="19" t="s">
        <v>27</v>
      </c>
      <c r="J26" s="20"/>
    </row>
    <row r="27" spans="1:10" ht="15.75" x14ac:dyDescent="0.25">
      <c r="A27" s="15" t="s">
        <v>41</v>
      </c>
      <c r="B27" s="177" t="s">
        <v>13</v>
      </c>
      <c r="C27" s="177">
        <v>51217279</v>
      </c>
      <c r="D27" s="178" t="s">
        <v>37</v>
      </c>
      <c r="E27" s="177">
        <v>600</v>
      </c>
      <c r="F27" s="21">
        <v>12.9474</v>
      </c>
      <c r="G27" s="21">
        <v>13.010999999999999</v>
      </c>
      <c r="H27" s="18">
        <f t="shared" si="1"/>
        <v>38.159999999999528</v>
      </c>
      <c r="I27" s="19" t="s">
        <v>27</v>
      </c>
      <c r="J27" s="20"/>
    </row>
    <row r="28" spans="1:10" ht="15.75" x14ac:dyDescent="0.25">
      <c r="A28" s="15" t="s">
        <v>42</v>
      </c>
      <c r="B28" s="177" t="s">
        <v>13</v>
      </c>
      <c r="C28" s="177">
        <v>51217272</v>
      </c>
      <c r="D28" s="178" t="s">
        <v>37</v>
      </c>
      <c r="E28" s="177">
        <v>600</v>
      </c>
      <c r="F28" s="31">
        <v>12.701700000000001</v>
      </c>
      <c r="G28" s="31">
        <v>12.754300000000001</v>
      </c>
      <c r="H28" s="18">
        <f t="shared" si="1"/>
        <v>31.559999999999988</v>
      </c>
      <c r="I28" s="19"/>
      <c r="J28" s="20"/>
    </row>
    <row r="29" spans="1:10" ht="15.75" x14ac:dyDescent="0.25">
      <c r="A29" s="15" t="s">
        <v>43</v>
      </c>
      <c r="B29" s="177" t="s">
        <v>13</v>
      </c>
      <c r="C29" s="177">
        <v>51616744</v>
      </c>
      <c r="D29" s="178">
        <f>300/5</f>
        <v>60</v>
      </c>
      <c r="E29" s="177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77" t="s">
        <v>13</v>
      </c>
      <c r="C30" s="177">
        <v>51555226</v>
      </c>
      <c r="D30" s="178">
        <f>300/5</f>
        <v>60</v>
      </c>
      <c r="E30" s="177">
        <v>3600</v>
      </c>
      <c r="F30" s="31">
        <v>338.50450000000001</v>
      </c>
      <c r="G30" s="31">
        <v>342.77659999999997</v>
      </c>
      <c r="H30" s="18">
        <f>(G30-F30)*E30</f>
        <v>15379.559999999878</v>
      </c>
      <c r="I30" s="19"/>
      <c r="J30" s="20"/>
    </row>
    <row r="31" spans="1:10" ht="15.75" x14ac:dyDescent="0.25">
      <c r="A31" s="15" t="s">
        <v>45</v>
      </c>
      <c r="B31" s="177" t="s">
        <v>13</v>
      </c>
      <c r="C31" s="177">
        <v>51097658</v>
      </c>
      <c r="D31" s="178" t="s">
        <v>34</v>
      </c>
      <c r="E31" s="177">
        <v>4800</v>
      </c>
      <c r="F31" s="31">
        <v>518.47239999999999</v>
      </c>
      <c r="G31" s="31">
        <v>521.82079999999996</v>
      </c>
      <c r="H31" s="18">
        <f t="shared" si="1"/>
        <v>16072.319999999854</v>
      </c>
      <c r="I31" s="19"/>
      <c r="J31" s="20"/>
    </row>
    <row r="32" spans="1:10" ht="15.75" x14ac:dyDescent="0.25">
      <c r="A32" s="15" t="s">
        <v>46</v>
      </c>
      <c r="B32" s="177" t="s">
        <v>13</v>
      </c>
      <c r="C32" s="177">
        <v>51097635</v>
      </c>
      <c r="D32" s="178" t="s">
        <v>34</v>
      </c>
      <c r="E32" s="177">
        <v>4800</v>
      </c>
      <c r="F32" s="31">
        <v>48.436700000000002</v>
      </c>
      <c r="G32" s="31">
        <v>48.436900000000001</v>
      </c>
      <c r="H32" s="18">
        <f t="shared" si="1"/>
        <v>0.95999999999776264</v>
      </c>
      <c r="I32" s="19"/>
      <c r="J32" s="20"/>
    </row>
    <row r="33" spans="1:10" ht="15.75" x14ac:dyDescent="0.25">
      <c r="A33" s="15" t="s">
        <v>47</v>
      </c>
      <c r="B33" s="177" t="s">
        <v>13</v>
      </c>
      <c r="C33" s="32">
        <v>51097633</v>
      </c>
      <c r="D33" s="178" t="s">
        <v>34</v>
      </c>
      <c r="E33" s="177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77" t="s">
        <v>13</v>
      </c>
      <c r="C34" s="32">
        <v>51097662</v>
      </c>
      <c r="D34" s="178" t="s">
        <v>34</v>
      </c>
      <c r="E34" s="177">
        <v>4800</v>
      </c>
      <c r="F34" s="31">
        <v>1.1627000000000001</v>
      </c>
      <c r="G34" s="31">
        <v>1.2392000000000001</v>
      </c>
      <c r="H34" s="33">
        <f t="shared" si="1"/>
        <v>367.20000000000005</v>
      </c>
      <c r="I34" s="34"/>
      <c r="J34" s="35"/>
    </row>
    <row r="35" spans="1:10" ht="15.75" x14ac:dyDescent="0.25">
      <c r="A35" s="219" t="s">
        <v>48</v>
      </c>
      <c r="B35" s="220"/>
      <c r="C35" s="177"/>
      <c r="D35" s="178"/>
      <c r="E35" s="177"/>
      <c r="F35" s="36"/>
      <c r="G35" s="36"/>
      <c r="H35" s="23">
        <f>H21+H22+H23+H24+H25+H26+H27+H28+H29+H30+H31+H32+H33+H34</f>
        <v>62272.079999998808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77" t="s">
        <v>51</v>
      </c>
      <c r="C37" s="177">
        <v>51555209</v>
      </c>
      <c r="D37" s="178" t="s">
        <v>52</v>
      </c>
      <c r="E37" s="177">
        <v>7000</v>
      </c>
      <c r="F37" s="17">
        <v>3.8371</v>
      </c>
      <c r="G37" s="17">
        <v>3.8906999999999998</v>
      </c>
      <c r="H37" s="41">
        <f>(G37-F37)*E37</f>
        <v>375.19999999999908</v>
      </c>
      <c r="I37" s="42"/>
      <c r="J37" s="14"/>
    </row>
    <row r="38" spans="1:10" ht="15.75" x14ac:dyDescent="0.25">
      <c r="A38" s="15" t="s">
        <v>53</v>
      </c>
      <c r="B38" s="177" t="s">
        <v>51</v>
      </c>
      <c r="C38" s="177">
        <v>51555209</v>
      </c>
      <c r="D38" s="178" t="s">
        <v>52</v>
      </c>
      <c r="E38" s="177">
        <v>7000</v>
      </c>
      <c r="F38" s="21">
        <v>8.6091999999999995</v>
      </c>
      <c r="G38" s="21">
        <v>8.6486999999999998</v>
      </c>
      <c r="H38" s="18">
        <f>(G38-F38)*E38</f>
        <v>276.50000000000216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77" t="s">
        <v>51</v>
      </c>
      <c r="C40" s="177">
        <v>51097674</v>
      </c>
      <c r="D40" s="177" t="s">
        <v>14</v>
      </c>
      <c r="E40" s="177">
        <v>7200</v>
      </c>
      <c r="F40" s="21">
        <v>495.60149999999999</v>
      </c>
      <c r="G40" s="21">
        <v>498.06729999999999</v>
      </c>
      <c r="H40" s="18">
        <f>(G40-F40)*E40</f>
        <v>17753.760000000009</v>
      </c>
      <c r="I40" s="47"/>
      <c r="J40" s="20"/>
    </row>
    <row r="41" spans="1:10" ht="15.75" x14ac:dyDescent="0.25">
      <c r="A41" s="27" t="s">
        <v>56</v>
      </c>
      <c r="B41" s="177" t="s">
        <v>51</v>
      </c>
      <c r="C41" s="177">
        <v>51259257</v>
      </c>
      <c r="D41" s="177" t="s">
        <v>14</v>
      </c>
      <c r="E41" s="177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77"/>
      <c r="C42" s="177"/>
      <c r="D42" s="177"/>
      <c r="E42" s="177"/>
      <c r="F42" s="21"/>
      <c r="G42" s="21"/>
      <c r="H42" s="48">
        <f>H40+H41</f>
        <v>17753.760000000009</v>
      </c>
      <c r="I42" s="24">
        <f>H42-H50</f>
        <v>-116.72000000004118</v>
      </c>
      <c r="J42" s="25">
        <f>I42/H42</f>
        <v>-6.5743819900708992E-3</v>
      </c>
    </row>
    <row r="43" spans="1:10" ht="15.75" x14ac:dyDescent="0.25">
      <c r="A43" s="15" t="s">
        <v>58</v>
      </c>
      <c r="B43" s="177"/>
      <c r="C43" s="177"/>
      <c r="D43" s="178"/>
      <c r="E43" s="177"/>
      <c r="H43" s="18"/>
      <c r="I43" s="43"/>
      <c r="J43" s="20"/>
    </row>
    <row r="44" spans="1:10" ht="15.75" x14ac:dyDescent="0.25">
      <c r="A44" s="27" t="s">
        <v>59</v>
      </c>
      <c r="B44" s="177" t="s">
        <v>51</v>
      </c>
      <c r="C44" s="32">
        <v>51097648</v>
      </c>
      <c r="D44" s="177" t="s">
        <v>52</v>
      </c>
      <c r="E44" s="177">
        <v>1200</v>
      </c>
      <c r="F44" s="21">
        <v>405.5684</v>
      </c>
      <c r="G44" s="21">
        <v>407.56639999999999</v>
      </c>
      <c r="H44" s="33">
        <f>(G44-F44)*E44</f>
        <v>2397.5999999999885</v>
      </c>
      <c r="I44" s="43"/>
      <c r="J44" s="20"/>
    </row>
    <row r="45" spans="1:10" ht="15.75" x14ac:dyDescent="0.25">
      <c r="A45" s="27" t="s">
        <v>60</v>
      </c>
      <c r="B45" s="177" t="s">
        <v>51</v>
      </c>
      <c r="C45" s="32">
        <v>50555043</v>
      </c>
      <c r="D45" s="177" t="s">
        <v>52</v>
      </c>
      <c r="E45" s="177">
        <v>1200</v>
      </c>
      <c r="F45" s="21">
        <v>1699.0769</v>
      </c>
      <c r="G45" s="21">
        <v>1707.5922</v>
      </c>
      <c r="H45" s="33">
        <f>(G45-F45)*E45</f>
        <v>10218.36000000003</v>
      </c>
      <c r="I45" s="43"/>
      <c r="J45" s="20"/>
    </row>
    <row r="46" spans="1:10" ht="15.75" x14ac:dyDescent="0.25">
      <c r="A46" s="27" t="s">
        <v>61</v>
      </c>
      <c r="B46" s="177" t="s">
        <v>51</v>
      </c>
      <c r="C46" s="32">
        <v>51259336</v>
      </c>
      <c r="D46" s="177" t="s">
        <v>62</v>
      </c>
      <c r="E46" s="177">
        <v>2400</v>
      </c>
      <c r="F46" s="21">
        <v>3.5754000000000001</v>
      </c>
      <c r="G46" s="21">
        <v>3.589</v>
      </c>
      <c r="H46" s="33">
        <f>(G46-F46)*E46</f>
        <v>32.639999999999603</v>
      </c>
      <c r="I46" s="43"/>
      <c r="J46" s="20"/>
    </row>
    <row r="47" spans="1:10" ht="15.75" x14ac:dyDescent="0.25">
      <c r="A47" s="27" t="s">
        <v>63</v>
      </c>
      <c r="B47" s="177" t="s">
        <v>51</v>
      </c>
      <c r="C47" s="32">
        <v>51259266</v>
      </c>
      <c r="D47" s="177" t="s">
        <v>52</v>
      </c>
      <c r="E47" s="177">
        <v>1200</v>
      </c>
      <c r="F47" s="21">
        <v>825.52980000000002</v>
      </c>
      <c r="G47" s="21">
        <v>829.53060000000005</v>
      </c>
      <c r="H47" s="33">
        <f>(G47-F47)*E47</f>
        <v>4800.9600000000319</v>
      </c>
      <c r="I47" s="43"/>
      <c r="J47" s="20"/>
    </row>
    <row r="48" spans="1:10" ht="15.75" x14ac:dyDescent="0.25">
      <c r="A48" s="27" t="s">
        <v>64</v>
      </c>
      <c r="B48" s="177" t="s">
        <v>51</v>
      </c>
      <c r="C48" s="32">
        <v>51431336</v>
      </c>
      <c r="D48" s="177" t="s">
        <v>52</v>
      </c>
      <c r="E48" s="177">
        <v>1200</v>
      </c>
      <c r="F48" s="21">
        <v>44.295499999999997</v>
      </c>
      <c r="G48" s="21">
        <v>44.604599999999998</v>
      </c>
      <c r="H48" s="33">
        <f>(G48-F48)*E48</f>
        <v>370.92000000000098</v>
      </c>
      <c r="I48" s="43"/>
      <c r="J48" s="20"/>
    </row>
    <row r="49" spans="1:10" ht="15.75" x14ac:dyDescent="0.25">
      <c r="A49" s="15" t="s">
        <v>65</v>
      </c>
      <c r="B49" s="177" t="s">
        <v>66</v>
      </c>
      <c r="C49" s="177">
        <v>49174</v>
      </c>
      <c r="D49" s="178" t="s">
        <v>52</v>
      </c>
      <c r="E49" s="177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17870.48000000005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77" t="s">
        <v>51</v>
      </c>
      <c r="C52" s="177">
        <v>51097603</v>
      </c>
      <c r="D52" s="178" t="s">
        <v>52</v>
      </c>
      <c r="E52" s="177">
        <v>7000</v>
      </c>
      <c r="F52" s="17">
        <v>1647.421</v>
      </c>
      <c r="G52" s="17">
        <v>1656.3318999999999</v>
      </c>
      <c r="H52" s="18">
        <f>(G52-F52)*E52</f>
        <v>62376.299999998992</v>
      </c>
      <c r="I52" s="43"/>
      <c r="J52" s="20"/>
    </row>
    <row r="53" spans="1:10" ht="15.75" x14ac:dyDescent="0.25">
      <c r="A53" s="27" t="s">
        <v>71</v>
      </c>
      <c r="B53" s="177" t="s">
        <v>51</v>
      </c>
      <c r="C53" s="177">
        <v>51097590</v>
      </c>
      <c r="D53" s="178" t="s">
        <v>52</v>
      </c>
      <c r="E53" s="177">
        <v>7000</v>
      </c>
      <c r="F53" s="21">
        <v>9.6813000000000002</v>
      </c>
      <c r="G53" s="21">
        <v>9.7568000000000001</v>
      </c>
      <c r="H53" s="18">
        <f>(G53-F53)*E53</f>
        <v>528.49999999999932</v>
      </c>
      <c r="I53" s="43"/>
      <c r="J53" s="20"/>
    </row>
    <row r="54" spans="1:10" ht="15.75" x14ac:dyDescent="0.25">
      <c r="A54" s="15" t="s">
        <v>65</v>
      </c>
      <c r="B54" s="177" t="s">
        <v>66</v>
      </c>
      <c r="C54" s="177">
        <v>49174</v>
      </c>
      <c r="D54" s="178" t="s">
        <v>52</v>
      </c>
      <c r="E54" s="177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77"/>
      <c r="D55" s="178"/>
      <c r="E55" s="177"/>
      <c r="F55" s="21"/>
      <c r="G55" s="21"/>
      <c r="H55" s="48">
        <f>H52+H53+H54</f>
        <v>63004.799999998992</v>
      </c>
      <c r="I55" s="47"/>
      <c r="J55" s="59"/>
    </row>
    <row r="56" spans="1:10" ht="15.75" x14ac:dyDescent="0.25">
      <c r="A56" s="27" t="s">
        <v>73</v>
      </c>
      <c r="B56" s="177" t="s">
        <v>51</v>
      </c>
      <c r="C56" s="177">
        <v>51100980</v>
      </c>
      <c r="D56" s="177" t="s">
        <v>74</v>
      </c>
      <c r="E56" s="177">
        <v>12000</v>
      </c>
      <c r="F56" s="21">
        <v>968.94669999999996</v>
      </c>
      <c r="G56" s="21">
        <v>974.20090000000005</v>
      </c>
      <c r="H56" s="18">
        <f>(G56-F56)*E56</f>
        <v>63050.400000000991</v>
      </c>
      <c r="I56" s="47"/>
      <c r="J56" s="58"/>
    </row>
    <row r="57" spans="1:10" ht="15.75" x14ac:dyDescent="0.25">
      <c r="A57" s="27" t="s">
        <v>75</v>
      </c>
      <c r="B57" s="177" t="s">
        <v>51</v>
      </c>
      <c r="C57" s="177">
        <v>51097623</v>
      </c>
      <c r="D57" s="177" t="s">
        <v>74</v>
      </c>
      <c r="E57" s="177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77"/>
      <c r="C58" s="177"/>
      <c r="D58" s="177"/>
      <c r="E58" s="177"/>
      <c r="F58" s="21"/>
      <c r="G58" s="21"/>
      <c r="H58" s="48">
        <f>H56+H57</f>
        <v>63050.400000000991</v>
      </c>
      <c r="I58" s="61">
        <f>H55-H65-H54</f>
        <v>-273.88000000120519</v>
      </c>
      <c r="J58" s="25">
        <f>I58/H58</f>
        <v>-4.3438265260997691E-3</v>
      </c>
    </row>
    <row r="59" spans="1:10" ht="15.75" x14ac:dyDescent="0.25">
      <c r="A59" s="27" t="s">
        <v>77</v>
      </c>
      <c r="B59" s="177" t="s">
        <v>51</v>
      </c>
      <c r="C59" s="177">
        <v>51097675</v>
      </c>
      <c r="D59" s="177" t="s">
        <v>34</v>
      </c>
      <c r="E59" s="177">
        <v>4800</v>
      </c>
      <c r="F59" s="21">
        <v>382.06560000000002</v>
      </c>
      <c r="G59" s="21">
        <v>385.46260000000001</v>
      </c>
      <c r="H59" s="18">
        <f t="shared" ref="H59:H64" si="2">(G59-F59)*E59</f>
        <v>16305.599999999959</v>
      </c>
      <c r="I59" s="62"/>
      <c r="J59" s="59"/>
    </row>
    <row r="60" spans="1:10" ht="15.75" x14ac:dyDescent="0.25">
      <c r="A60" s="27" t="s">
        <v>78</v>
      </c>
      <c r="B60" s="177" t="s">
        <v>51</v>
      </c>
      <c r="C60" s="177">
        <v>51100997</v>
      </c>
      <c r="D60" s="177" t="s">
        <v>21</v>
      </c>
      <c r="E60" s="177">
        <v>3600</v>
      </c>
      <c r="F60" s="21">
        <v>1239.5544</v>
      </c>
      <c r="G60" s="21">
        <v>1245.2733000000001</v>
      </c>
      <c r="H60" s="18">
        <f t="shared" si="2"/>
        <v>20588.040000000274</v>
      </c>
      <c r="I60" s="62"/>
      <c r="J60" s="59"/>
    </row>
    <row r="61" spans="1:10" ht="15.75" x14ac:dyDescent="0.25">
      <c r="A61" s="27" t="s">
        <v>79</v>
      </c>
      <c r="B61" s="177" t="s">
        <v>51</v>
      </c>
      <c r="C61" s="177">
        <v>51555218</v>
      </c>
      <c r="D61" s="177">
        <f>400/5</f>
        <v>80</v>
      </c>
      <c r="E61" s="177">
        <v>4800</v>
      </c>
      <c r="F61" s="21">
        <v>43.180900000000001</v>
      </c>
      <c r="G61" s="21">
        <v>43.600999999999999</v>
      </c>
      <c r="H61" s="18">
        <f t="shared" si="2"/>
        <v>2016.47999999999</v>
      </c>
      <c r="I61" s="62"/>
      <c r="J61" s="59"/>
    </row>
    <row r="62" spans="1:10" ht="15.75" x14ac:dyDescent="0.25">
      <c r="A62" s="27" t="s">
        <v>80</v>
      </c>
      <c r="B62" s="177" t="s">
        <v>51</v>
      </c>
      <c r="C62" s="177">
        <v>51555151</v>
      </c>
      <c r="D62" s="177">
        <f>400/5</f>
        <v>80</v>
      </c>
      <c r="E62" s="177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77" t="s">
        <v>51</v>
      </c>
      <c r="C63" s="177">
        <v>51097599</v>
      </c>
      <c r="D63" s="177" t="s">
        <v>21</v>
      </c>
      <c r="E63" s="177">
        <v>3600</v>
      </c>
      <c r="F63" s="21">
        <v>866.22190000000001</v>
      </c>
      <c r="G63" s="21">
        <v>869.40930000000003</v>
      </c>
      <c r="H63" s="18">
        <f t="shared" si="2"/>
        <v>11474.64000000009</v>
      </c>
      <c r="I63" s="62"/>
      <c r="J63" s="59"/>
    </row>
    <row r="64" spans="1:10" ht="15.75" x14ac:dyDescent="0.25">
      <c r="A64" s="27" t="s">
        <v>82</v>
      </c>
      <c r="B64" s="177" t="s">
        <v>51</v>
      </c>
      <c r="C64" s="177">
        <v>51097620</v>
      </c>
      <c r="D64" s="177" t="s">
        <v>34</v>
      </c>
      <c r="E64" s="177">
        <v>4800</v>
      </c>
      <c r="F64" s="21">
        <v>406.58210000000003</v>
      </c>
      <c r="G64" s="21">
        <v>409.2475</v>
      </c>
      <c r="H64" s="18">
        <f t="shared" si="2"/>
        <v>12793.919999999889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63178.680000000197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77" t="s">
        <v>51</v>
      </c>
      <c r="C67" s="9">
        <v>51259238</v>
      </c>
      <c r="D67" s="74" t="s">
        <v>52</v>
      </c>
      <c r="E67" s="74">
        <v>7000</v>
      </c>
      <c r="F67" s="75">
        <v>445.11669999999998</v>
      </c>
      <c r="G67" s="75">
        <v>447.99610000000001</v>
      </c>
      <c r="H67" s="76">
        <f>(G67-F67)*E67</f>
        <v>20155.800000000228</v>
      </c>
      <c r="I67" s="77"/>
      <c r="J67" s="78"/>
    </row>
    <row r="68" spans="1:10" ht="15.75" x14ac:dyDescent="0.25">
      <c r="A68" s="27" t="s">
        <v>85</v>
      </c>
      <c r="B68" s="177" t="s">
        <v>51</v>
      </c>
      <c r="C68" s="177">
        <v>51259324</v>
      </c>
      <c r="D68" s="178" t="s">
        <v>52</v>
      </c>
      <c r="E68" s="178">
        <v>7000</v>
      </c>
      <c r="F68" s="21">
        <v>342.0702</v>
      </c>
      <c r="G68" s="21">
        <v>344.27699999999999</v>
      </c>
      <c r="H68" s="18">
        <f>(G68-F68)*E68</f>
        <v>15447.599999999909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77">
        <v>51491618</v>
      </c>
      <c r="D69" s="178" t="s">
        <v>62</v>
      </c>
      <c r="E69" s="177">
        <v>40</v>
      </c>
      <c r="F69" s="28">
        <v>817.64949999999999</v>
      </c>
      <c r="G69" s="28">
        <v>828.0335</v>
      </c>
      <c r="H69" s="18">
        <f>(G69-F69)*E69</f>
        <v>415.36000000000058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77">
        <v>51491624</v>
      </c>
      <c r="D70" s="178" t="s">
        <v>62</v>
      </c>
      <c r="E70" s="177">
        <v>40</v>
      </c>
      <c r="F70" s="28">
        <v>113.6515</v>
      </c>
      <c r="G70" s="28">
        <v>114.658</v>
      </c>
      <c r="H70" s="18">
        <f>(G70-F70)*E70</f>
        <v>40.260000000000105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35603.40000000014</v>
      </c>
      <c r="I71" s="85">
        <f>H71-H74-H69-H70</f>
        <v>-1166.6200000000663</v>
      </c>
      <c r="J71" s="25">
        <f>I71/H71</f>
        <v>-3.2767095277419056E-2</v>
      </c>
    </row>
    <row r="72" spans="1:10" ht="15.75" x14ac:dyDescent="0.25">
      <c r="A72" s="27" t="s">
        <v>90</v>
      </c>
      <c r="B72" s="177" t="s">
        <v>51</v>
      </c>
      <c r="C72" s="86">
        <v>51097588</v>
      </c>
      <c r="D72" s="178" t="s">
        <v>74</v>
      </c>
      <c r="E72" s="177">
        <v>12000</v>
      </c>
      <c r="F72" s="21">
        <v>269.47329999999999</v>
      </c>
      <c r="G72" s="21">
        <v>271.1551</v>
      </c>
      <c r="H72" s="18">
        <f>(G72-F72)*E72</f>
        <v>20181.600000000115</v>
      </c>
      <c r="I72" s="51"/>
      <c r="J72" s="58"/>
    </row>
    <row r="73" spans="1:10" ht="15.75" x14ac:dyDescent="0.25">
      <c r="A73" s="27" t="s">
        <v>91</v>
      </c>
      <c r="B73" s="177" t="s">
        <v>51</v>
      </c>
      <c r="C73" s="86">
        <v>51431335</v>
      </c>
      <c r="D73" s="178" t="s">
        <v>74</v>
      </c>
      <c r="E73" s="177">
        <v>12000</v>
      </c>
      <c r="F73" s="21">
        <v>210.14869999999999</v>
      </c>
      <c r="G73" s="21">
        <v>211.4931</v>
      </c>
      <c r="H73" s="18">
        <f>(G73-F73)*E73</f>
        <v>16132.800000000088</v>
      </c>
      <c r="I73" s="51"/>
      <c r="J73" s="58"/>
    </row>
    <row r="74" spans="1:10" ht="15.75" x14ac:dyDescent="0.25">
      <c r="A74" s="87" t="s">
        <v>92</v>
      </c>
      <c r="B74" s="177" t="s">
        <v>27</v>
      </c>
      <c r="C74" s="177"/>
      <c r="D74" s="178"/>
      <c r="E74" s="177"/>
      <c r="F74" s="21"/>
      <c r="G74" s="21"/>
      <c r="H74" s="48">
        <f>H72+ H73</f>
        <v>36314.400000000205</v>
      </c>
      <c r="I74" s="85">
        <f>H74-H82</f>
        <v>-103.37999999982276</v>
      </c>
      <c r="J74" s="25">
        <f>I74/H74</f>
        <v>-2.8468045733874765E-3</v>
      </c>
    </row>
    <row r="75" spans="1:10" ht="15.75" x14ac:dyDescent="0.25">
      <c r="A75" s="27" t="s">
        <v>93</v>
      </c>
      <c r="B75" s="177" t="s">
        <v>51</v>
      </c>
      <c r="C75" s="86">
        <v>51097676</v>
      </c>
      <c r="D75" s="88" t="s">
        <v>62</v>
      </c>
      <c r="E75" s="177">
        <v>2400</v>
      </c>
      <c r="F75" s="21">
        <v>544.15</v>
      </c>
      <c r="G75" s="21">
        <v>548.40390000000002</v>
      </c>
      <c r="H75" s="18">
        <f>(G75-F75)*E75</f>
        <v>10209.360000000106</v>
      </c>
      <c r="I75" s="51"/>
      <c r="J75" s="58"/>
    </row>
    <row r="76" spans="1:10" ht="15.75" x14ac:dyDescent="0.25">
      <c r="A76" s="27" t="s">
        <v>94</v>
      </c>
      <c r="B76" s="177" t="s">
        <v>51</v>
      </c>
      <c r="C76" s="86">
        <v>51431355</v>
      </c>
      <c r="D76" s="178" t="s">
        <v>21</v>
      </c>
      <c r="E76" s="178">
        <v>3600</v>
      </c>
      <c r="F76" s="21">
        <v>311.38510000000002</v>
      </c>
      <c r="G76" s="21">
        <v>312.60340000000002</v>
      </c>
      <c r="H76" s="18">
        <f>(G76-F76)*E76</f>
        <v>4385.8799999999974</v>
      </c>
      <c r="I76" s="51"/>
      <c r="J76" s="52"/>
    </row>
    <row r="77" spans="1:10" ht="15.75" x14ac:dyDescent="0.25">
      <c r="A77" s="27" t="s">
        <v>95</v>
      </c>
      <c r="B77" s="177" t="s">
        <v>51</v>
      </c>
      <c r="C77" s="86">
        <v>51259331</v>
      </c>
      <c r="D77" s="88" t="s">
        <v>37</v>
      </c>
      <c r="E77" s="177">
        <v>600</v>
      </c>
      <c r="F77" s="21">
        <v>125.79810000000001</v>
      </c>
      <c r="G77" s="21">
        <v>126.9226</v>
      </c>
      <c r="H77" s="18">
        <f>(G77-F77)*E77</f>
        <v>674.69999999999857</v>
      </c>
      <c r="I77" s="51"/>
      <c r="J77" s="52"/>
    </row>
    <row r="78" spans="1:10" ht="15.75" x14ac:dyDescent="0.25">
      <c r="A78" s="27" t="s">
        <v>96</v>
      </c>
      <c r="B78" s="177" t="s">
        <v>51</v>
      </c>
      <c r="C78" s="86">
        <v>51259326</v>
      </c>
      <c r="D78" s="88" t="s">
        <v>14</v>
      </c>
      <c r="E78" s="177">
        <v>7200</v>
      </c>
      <c r="F78" s="21">
        <v>272.13479999999998</v>
      </c>
      <c r="G78" s="21">
        <v>273.53469999999999</v>
      </c>
      <c r="H78" s="18">
        <f>(G78-F78)*E78</f>
        <v>10079.280000000017</v>
      </c>
      <c r="I78" s="51"/>
      <c r="J78" s="52"/>
    </row>
    <row r="79" spans="1:10" ht="15.75" x14ac:dyDescent="0.25">
      <c r="A79" s="27" t="s">
        <v>97</v>
      </c>
      <c r="B79" s="177" t="s">
        <v>51</v>
      </c>
      <c r="C79" s="86">
        <v>51431351</v>
      </c>
      <c r="D79" s="88" t="s">
        <v>14</v>
      </c>
      <c r="E79" s="177">
        <v>7200</v>
      </c>
      <c r="F79" s="21">
        <v>181.12180000000001</v>
      </c>
      <c r="G79" s="21">
        <v>182.6591</v>
      </c>
      <c r="H79" s="18">
        <f>(G79-F79)*E79</f>
        <v>11068.55999999991</v>
      </c>
      <c r="I79" s="51"/>
      <c r="J79" s="52"/>
    </row>
    <row r="80" spans="1:10" ht="15.75" x14ac:dyDescent="0.25">
      <c r="A80" s="89" t="s">
        <v>98</v>
      </c>
      <c r="B80" s="177" t="s">
        <v>51</v>
      </c>
      <c r="C80" s="90">
        <v>51097666</v>
      </c>
      <c r="D80" s="88" t="s">
        <v>62</v>
      </c>
      <c r="E80" s="177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77" t="s">
        <v>51</v>
      </c>
      <c r="C81" s="90">
        <v>51259323</v>
      </c>
      <c r="D81" s="88" t="s">
        <v>62</v>
      </c>
      <c r="E81" s="177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36417.780000000028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77" t="s">
        <v>51</v>
      </c>
      <c r="C84" s="106">
        <v>51431297</v>
      </c>
      <c r="D84" s="178" t="s">
        <v>52</v>
      </c>
      <c r="E84" s="100">
        <v>7000</v>
      </c>
      <c r="F84" s="17">
        <v>221.3673</v>
      </c>
      <c r="G84" s="17">
        <v>226.30930000000001</v>
      </c>
      <c r="H84" s="18">
        <f>(G84-F84)*E84</f>
        <v>34594.000000000051</v>
      </c>
      <c r="I84" s="107"/>
      <c r="J84" s="108"/>
    </row>
    <row r="85" spans="1:10" ht="15.75" x14ac:dyDescent="0.25">
      <c r="A85" s="105" t="s">
        <v>85</v>
      </c>
      <c r="B85" s="177" t="s">
        <v>51</v>
      </c>
      <c r="C85" s="106">
        <v>51431332</v>
      </c>
      <c r="D85" s="178" t="s">
        <v>52</v>
      </c>
      <c r="E85" s="100">
        <v>7000</v>
      </c>
      <c r="F85" s="21">
        <v>306.19779999999997</v>
      </c>
      <c r="G85" s="21">
        <v>306.34980000000002</v>
      </c>
      <c r="H85" s="18">
        <f>(G85-F85)*E85</f>
        <v>1064.0000000003056</v>
      </c>
      <c r="I85" s="177"/>
      <c r="J85" s="58"/>
    </row>
    <row r="86" spans="1:10" ht="15.75" x14ac:dyDescent="0.25">
      <c r="A86" s="27" t="s">
        <v>86</v>
      </c>
      <c r="B86" s="177" t="s">
        <v>102</v>
      </c>
      <c r="C86" s="109">
        <v>150773</v>
      </c>
      <c r="D86" s="178" t="s">
        <v>52</v>
      </c>
      <c r="E86" s="109">
        <v>20</v>
      </c>
      <c r="F86" s="17">
        <v>15318.6</v>
      </c>
      <c r="G86" s="17">
        <v>15327.9</v>
      </c>
      <c r="H86" s="18">
        <f>(G86-F86)*E86</f>
        <v>185.99999999998545</v>
      </c>
      <c r="I86" s="51"/>
      <c r="J86" s="58"/>
    </row>
    <row r="87" spans="1:10" ht="15.75" x14ac:dyDescent="0.25">
      <c r="A87" s="27" t="s">
        <v>88</v>
      </c>
      <c r="B87" s="177" t="s">
        <v>102</v>
      </c>
      <c r="C87" s="109">
        <v>150791</v>
      </c>
      <c r="D87" s="178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79"/>
      <c r="C88" s="32"/>
      <c r="D88" s="82"/>
      <c r="E88" s="82"/>
      <c r="F88" s="21"/>
      <c r="G88" s="21"/>
      <c r="H88" s="48">
        <f>H84+H85</f>
        <v>35658.000000000357</v>
      </c>
      <c r="I88" s="85">
        <f>H88-H91-H86-H87</f>
        <v>17869.440000000195</v>
      </c>
      <c r="J88" s="25">
        <f>I88/H88</f>
        <v>0.50113410735318908</v>
      </c>
    </row>
    <row r="89" spans="1:10" ht="15.75" x14ac:dyDescent="0.25">
      <c r="A89" s="27" t="s">
        <v>103</v>
      </c>
      <c r="B89" s="177" t="s">
        <v>51</v>
      </c>
      <c r="C89" s="106">
        <v>51431342</v>
      </c>
      <c r="D89" s="88" t="s">
        <v>34</v>
      </c>
      <c r="E89" s="177">
        <v>4800</v>
      </c>
      <c r="F89" s="21">
        <v>316.94560000000001</v>
      </c>
      <c r="G89" s="21">
        <v>320.47590000000002</v>
      </c>
      <c r="H89" s="18">
        <f>(G89-F89)*E89</f>
        <v>16945.440000000053</v>
      </c>
      <c r="I89" s="51"/>
      <c r="J89" s="52"/>
    </row>
    <row r="90" spans="1:10" ht="15.75" x14ac:dyDescent="0.25">
      <c r="A90" s="27" t="s">
        <v>104</v>
      </c>
      <c r="B90" s="177" t="s">
        <v>51</v>
      </c>
      <c r="C90" s="106">
        <v>51431343</v>
      </c>
      <c r="D90" s="88" t="s">
        <v>34</v>
      </c>
      <c r="E90" s="177">
        <v>4800</v>
      </c>
      <c r="F90" s="21">
        <v>433.88749999999999</v>
      </c>
      <c r="G90" s="21">
        <v>434.02440000000001</v>
      </c>
      <c r="H90" s="18">
        <f>(G90-F90)*E90</f>
        <v>657.12000000012267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17602.560000000176</v>
      </c>
      <c r="I91" s="85">
        <f>H91-H99</f>
        <v>-133.25999999967826</v>
      </c>
      <c r="J91" s="25">
        <f>I91/H91</f>
        <v>-7.5704897469275447E-3</v>
      </c>
    </row>
    <row r="92" spans="1:10" ht="15.75" x14ac:dyDescent="0.25">
      <c r="A92" s="27" t="s">
        <v>106</v>
      </c>
      <c r="B92" s="177" t="s">
        <v>51</v>
      </c>
      <c r="C92" s="106">
        <v>51431347</v>
      </c>
      <c r="D92" s="178" t="s">
        <v>52</v>
      </c>
      <c r="E92" s="177">
        <v>1200</v>
      </c>
      <c r="F92" s="21">
        <v>958.84389999999996</v>
      </c>
      <c r="G92" s="21">
        <v>958.84389999999996</v>
      </c>
      <c r="H92" s="18">
        <f t="shared" ref="H92:H100" si="4">(G92-F92)*E92</f>
        <v>0</v>
      </c>
      <c r="I92" s="51"/>
      <c r="J92" s="52"/>
    </row>
    <row r="93" spans="1:10" ht="15.75" x14ac:dyDescent="0.25">
      <c r="A93" s="27" t="s">
        <v>107</v>
      </c>
      <c r="B93" s="177" t="s">
        <v>51</v>
      </c>
      <c r="C93" s="106">
        <v>51431339</v>
      </c>
      <c r="D93" s="178" t="s">
        <v>52</v>
      </c>
      <c r="E93" s="177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77" t="s">
        <v>51</v>
      </c>
      <c r="C94" s="106">
        <v>51217244</v>
      </c>
      <c r="D94" s="177" t="s">
        <v>37</v>
      </c>
      <c r="E94" s="177">
        <v>600</v>
      </c>
      <c r="F94" s="30">
        <v>256.25259999999997</v>
      </c>
      <c r="G94" s="30">
        <v>257.23410000000001</v>
      </c>
      <c r="H94" s="18">
        <f t="shared" si="4"/>
        <v>588.90000000002374</v>
      </c>
      <c r="I94" s="51"/>
      <c r="J94" s="52"/>
    </row>
    <row r="95" spans="1:10" ht="15.75" x14ac:dyDescent="0.25">
      <c r="A95" s="27" t="s">
        <v>109</v>
      </c>
      <c r="B95" s="177" t="s">
        <v>51</v>
      </c>
      <c r="C95" s="106">
        <v>51217267</v>
      </c>
      <c r="D95" s="88" t="s">
        <v>62</v>
      </c>
      <c r="E95" s="177">
        <v>2400</v>
      </c>
      <c r="F95" s="30">
        <v>19.010200000000001</v>
      </c>
      <c r="G95" s="30">
        <v>19.0411</v>
      </c>
      <c r="H95" s="18">
        <f t="shared" si="4"/>
        <v>74.159999999997694</v>
      </c>
      <c r="I95" s="51"/>
      <c r="J95" s="52"/>
    </row>
    <row r="96" spans="1:10" ht="15.75" x14ac:dyDescent="0.25">
      <c r="A96" s="27" t="s">
        <v>110</v>
      </c>
      <c r="B96" s="177" t="s">
        <v>51</v>
      </c>
      <c r="C96" s="177">
        <v>51555165</v>
      </c>
      <c r="D96" s="178" t="s">
        <v>52</v>
      </c>
      <c r="E96" s="177">
        <v>1200</v>
      </c>
      <c r="F96" s="30">
        <v>743.04010000000005</v>
      </c>
      <c r="G96" s="30">
        <v>751.64729999999997</v>
      </c>
      <c r="H96" s="18">
        <f t="shared" si="4"/>
        <v>10328.639999999905</v>
      </c>
      <c r="I96" s="51" t="s">
        <v>27</v>
      </c>
      <c r="J96" s="52"/>
    </row>
    <row r="97" spans="1:10" ht="15.75" x14ac:dyDescent="0.25">
      <c r="A97" s="113" t="s">
        <v>111</v>
      </c>
      <c r="B97" s="177" t="s">
        <v>51</v>
      </c>
      <c r="C97" s="106">
        <v>51431346</v>
      </c>
      <c r="D97" s="114" t="s">
        <v>37</v>
      </c>
      <c r="E97" s="114">
        <v>600</v>
      </c>
      <c r="F97" s="30">
        <v>303.65039999999999</v>
      </c>
      <c r="G97" s="30">
        <v>305.87099999999998</v>
      </c>
      <c r="H97" s="115">
        <f t="shared" si="4"/>
        <v>1332.3599999999942</v>
      </c>
      <c r="I97" s="116"/>
      <c r="J97" s="117"/>
    </row>
    <row r="98" spans="1:10" ht="15.75" x14ac:dyDescent="0.25">
      <c r="A98" s="27" t="s">
        <v>112</v>
      </c>
      <c r="B98" s="177" t="s">
        <v>51</v>
      </c>
      <c r="C98" s="106">
        <v>51431352</v>
      </c>
      <c r="D98" s="88" t="s">
        <v>21</v>
      </c>
      <c r="E98" s="177">
        <v>3600</v>
      </c>
      <c r="F98" s="21">
        <v>164.76910000000001</v>
      </c>
      <c r="G98" s="21">
        <v>166.22069999999999</v>
      </c>
      <c r="H98" s="18">
        <f t="shared" si="4"/>
        <v>5225.7599999999456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17735.819999999854</v>
      </c>
      <c r="I99" s="51"/>
      <c r="J99" s="52"/>
    </row>
    <row r="100" spans="1:10" ht="15.75" x14ac:dyDescent="0.25">
      <c r="A100" s="45" t="s">
        <v>113</v>
      </c>
      <c r="B100" s="177" t="s">
        <v>51</v>
      </c>
      <c r="C100" s="120">
        <v>51431357</v>
      </c>
      <c r="D100" s="178" t="s">
        <v>62</v>
      </c>
      <c r="E100" s="178">
        <v>14000</v>
      </c>
      <c r="F100" s="28">
        <v>691.41200000000003</v>
      </c>
      <c r="G100" s="28">
        <v>694.36969999999997</v>
      </c>
      <c r="H100" s="121">
        <f t="shared" si="4"/>
        <v>41407.799999999042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sqref="A1:XFD1048576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145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144</v>
      </c>
      <c r="G3" s="4" t="s">
        <v>146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80" t="s">
        <v>13</v>
      </c>
      <c r="C5" s="180">
        <v>51555166</v>
      </c>
      <c r="D5" s="180" t="s">
        <v>14</v>
      </c>
      <c r="E5" s="180">
        <v>132000</v>
      </c>
      <c r="F5" s="17">
        <v>2.4276</v>
      </c>
      <c r="G5" s="17">
        <v>2.4384000000000001</v>
      </c>
      <c r="H5" s="18">
        <f>(G5-F5)*E5</f>
        <v>1425.6000000000188</v>
      </c>
      <c r="I5" s="19"/>
      <c r="J5" s="20"/>
    </row>
    <row r="6" spans="1:10" ht="15.75" x14ac:dyDescent="0.25">
      <c r="A6" s="15" t="s">
        <v>15</v>
      </c>
      <c r="B6" s="180" t="s">
        <v>13</v>
      </c>
      <c r="C6" s="180">
        <v>51555191</v>
      </c>
      <c r="D6" s="180" t="s">
        <v>14</v>
      </c>
      <c r="E6" s="180">
        <v>132000</v>
      </c>
      <c r="F6" s="21">
        <v>292.68920000000003</v>
      </c>
      <c r="G6" s="21">
        <v>294.75240000000002</v>
      </c>
      <c r="H6" s="18">
        <f>(G6-F6)*E6</f>
        <v>272342.39999999932</v>
      </c>
      <c r="I6" s="19"/>
      <c r="J6" s="20"/>
    </row>
    <row r="7" spans="1:10" ht="15.75" x14ac:dyDescent="0.25">
      <c r="A7" s="219" t="s">
        <v>16</v>
      </c>
      <c r="B7" s="220"/>
      <c r="C7" s="180"/>
      <c r="D7" s="181"/>
      <c r="E7" s="180"/>
      <c r="H7" s="23">
        <f>H5+H6</f>
        <v>273767.99999999936</v>
      </c>
      <c r="I7" s="24">
        <f>H7-H10-H20</f>
        <v>2522.3999999997322</v>
      </c>
      <c r="J7" s="25">
        <f>I7/H7</f>
        <v>9.2136407469088355E-3</v>
      </c>
    </row>
    <row r="8" spans="1:10" ht="15.75" x14ac:dyDescent="0.25">
      <c r="A8" s="26" t="s">
        <v>17</v>
      </c>
      <c r="B8" s="180" t="s">
        <v>13</v>
      </c>
      <c r="C8" s="180">
        <v>51097629</v>
      </c>
      <c r="D8" s="181" t="s">
        <v>14</v>
      </c>
      <c r="E8" s="180">
        <v>42000</v>
      </c>
      <c r="F8" s="21">
        <v>927.85400000000004</v>
      </c>
      <c r="G8" s="21">
        <v>932.7373</v>
      </c>
      <c r="H8" s="18">
        <f>(G8-F8)*E8</f>
        <v>205098.59999999843</v>
      </c>
      <c r="I8" s="19"/>
      <c r="J8" s="20"/>
    </row>
    <row r="9" spans="1:10" ht="15.75" x14ac:dyDescent="0.25">
      <c r="A9" s="26" t="s">
        <v>18</v>
      </c>
      <c r="B9" s="180" t="s">
        <v>13</v>
      </c>
      <c r="C9" s="180">
        <v>51616820</v>
      </c>
      <c r="D9" s="181" t="s">
        <v>14</v>
      </c>
      <c r="E9" s="180">
        <v>42000</v>
      </c>
      <c r="F9" s="21">
        <v>3.9704999999999999</v>
      </c>
      <c r="G9" s="21">
        <v>3.9910000000000001</v>
      </c>
      <c r="H9" s="18">
        <f>(G9-F9)*E9</f>
        <v>861.00000000000773</v>
      </c>
      <c r="I9" s="19"/>
      <c r="J9" s="20"/>
    </row>
    <row r="10" spans="1:10" ht="15.75" x14ac:dyDescent="0.25">
      <c r="A10" s="219" t="s">
        <v>19</v>
      </c>
      <c r="B10" s="220"/>
      <c r="C10" s="180"/>
      <c r="D10" s="181"/>
      <c r="E10" s="180"/>
      <c r="F10" s="21"/>
      <c r="G10" s="21"/>
      <c r="H10" s="23">
        <f>H8+H9</f>
        <v>205959.59999999843</v>
      </c>
      <c r="I10" s="24">
        <f>H10-H17</f>
        <v>6.2999999963794835</v>
      </c>
      <c r="J10" s="25">
        <f>I10/H10</f>
        <v>3.058852316852204E-5</v>
      </c>
    </row>
    <row r="11" spans="1:10" ht="15.75" x14ac:dyDescent="0.25">
      <c r="A11" s="27" t="s">
        <v>20</v>
      </c>
      <c r="B11" s="180" t="s">
        <v>13</v>
      </c>
      <c r="C11" s="180">
        <v>51217286</v>
      </c>
      <c r="D11" s="181" t="s">
        <v>21</v>
      </c>
      <c r="E11" s="180">
        <v>21000</v>
      </c>
      <c r="F11" s="21">
        <v>738.20330000000001</v>
      </c>
      <c r="G11" s="21">
        <v>742.03980000000001</v>
      </c>
      <c r="H11" s="18">
        <f t="shared" ref="H11:H16" si="0">(G11-F11)*E11</f>
        <v>80566.500000000015</v>
      </c>
      <c r="I11" s="19"/>
      <c r="J11" s="20"/>
    </row>
    <row r="12" spans="1:10" ht="15.75" x14ac:dyDescent="0.25">
      <c r="A12" s="27" t="s">
        <v>22</v>
      </c>
      <c r="B12" s="180" t="s">
        <v>13</v>
      </c>
      <c r="C12" s="180">
        <v>51217292</v>
      </c>
      <c r="D12" s="181" t="s">
        <v>21</v>
      </c>
      <c r="E12" s="180">
        <v>21000</v>
      </c>
      <c r="F12" s="28">
        <v>2.9281000000000001</v>
      </c>
      <c r="G12" s="28">
        <v>2.9518</v>
      </c>
      <c r="H12" s="18">
        <f>(G12-F12)*E12</f>
        <v>497.69999999999646</v>
      </c>
      <c r="I12" s="19"/>
      <c r="J12" s="20"/>
    </row>
    <row r="13" spans="1:10" ht="15.75" x14ac:dyDescent="0.25">
      <c r="A13" s="27" t="s">
        <v>23</v>
      </c>
      <c r="B13" s="180" t="s">
        <v>13</v>
      </c>
      <c r="C13" s="180">
        <v>51217271</v>
      </c>
      <c r="D13" s="181" t="s">
        <v>21</v>
      </c>
      <c r="E13" s="180">
        <v>21000</v>
      </c>
      <c r="F13" s="21">
        <v>535.48199999999997</v>
      </c>
      <c r="G13" s="21">
        <v>538.70650000000001</v>
      </c>
      <c r="H13" s="18">
        <f t="shared" si="0"/>
        <v>67714.500000000728</v>
      </c>
      <c r="I13" s="19"/>
      <c r="J13" s="20"/>
    </row>
    <row r="14" spans="1:10" ht="15.75" x14ac:dyDescent="0.25">
      <c r="A14" s="27" t="s">
        <v>24</v>
      </c>
      <c r="B14" s="180" t="s">
        <v>13</v>
      </c>
      <c r="C14" s="180">
        <v>51217276</v>
      </c>
      <c r="D14" s="181" t="s">
        <v>21</v>
      </c>
      <c r="E14" s="180">
        <v>21000</v>
      </c>
      <c r="F14" s="28">
        <v>0.40960000000000002</v>
      </c>
      <c r="G14" s="28">
        <v>0.40970000000000001</v>
      </c>
      <c r="H14" s="18">
        <f>(G14-F14)*E14</f>
        <v>2.0999999999997687</v>
      </c>
      <c r="I14" s="19"/>
      <c r="J14" s="20"/>
    </row>
    <row r="15" spans="1:10" ht="15.75" x14ac:dyDescent="0.25">
      <c r="A15" s="27" t="s">
        <v>25</v>
      </c>
      <c r="B15" s="180" t="s">
        <v>13</v>
      </c>
      <c r="C15" s="180">
        <v>51100990</v>
      </c>
      <c r="D15" s="181" t="s">
        <v>21</v>
      </c>
      <c r="E15" s="180">
        <v>21000</v>
      </c>
      <c r="F15" s="29">
        <v>586.58789999999999</v>
      </c>
      <c r="G15" s="29">
        <v>589.29780000000005</v>
      </c>
      <c r="H15" s="18">
        <f t="shared" si="0"/>
        <v>56907.900000001289</v>
      </c>
      <c r="I15" s="19"/>
      <c r="J15" s="20"/>
    </row>
    <row r="16" spans="1:10" ht="15.75" x14ac:dyDescent="0.25">
      <c r="A16" s="27" t="s">
        <v>26</v>
      </c>
      <c r="B16" s="180" t="s">
        <v>13</v>
      </c>
      <c r="C16" s="180">
        <v>51097622</v>
      </c>
      <c r="D16" s="181" t="s">
        <v>21</v>
      </c>
      <c r="E16" s="180">
        <v>21000</v>
      </c>
      <c r="F16" s="21">
        <v>2.5714999999999999</v>
      </c>
      <c r="G16" s="21">
        <v>2.5840999999999998</v>
      </c>
      <c r="H16" s="18">
        <f t="shared" si="0"/>
        <v>264.59999999999883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80"/>
      <c r="D17" s="181"/>
      <c r="E17" s="180"/>
      <c r="F17" s="21"/>
      <c r="G17" s="21"/>
      <c r="H17" s="23">
        <f>H11+H12+H13+H14+H15+H16</f>
        <v>205953.30000000205</v>
      </c>
      <c r="I17" s="19"/>
      <c r="J17" s="20"/>
    </row>
    <row r="18" spans="1:10" ht="15.75" x14ac:dyDescent="0.25">
      <c r="A18" s="26" t="s">
        <v>29</v>
      </c>
      <c r="B18" s="180" t="s">
        <v>13</v>
      </c>
      <c r="C18" s="180">
        <v>51097617</v>
      </c>
      <c r="D18" s="181" t="s">
        <v>30</v>
      </c>
      <c r="E18" s="180">
        <v>18000</v>
      </c>
      <c r="F18" s="30">
        <v>688.43709999999999</v>
      </c>
      <c r="G18" s="30">
        <v>692.06410000000005</v>
      </c>
      <c r="H18" s="18">
        <f>(G18-F18)*E18</f>
        <v>65286.000000001193</v>
      </c>
      <c r="I18" s="19"/>
      <c r="J18" s="20"/>
    </row>
    <row r="19" spans="1:10" ht="15.75" x14ac:dyDescent="0.25">
      <c r="A19" s="26" t="s">
        <v>31</v>
      </c>
      <c r="B19" s="180" t="s">
        <v>13</v>
      </c>
      <c r="C19" s="180">
        <v>51097655</v>
      </c>
      <c r="D19" s="181" t="s">
        <v>30</v>
      </c>
      <c r="E19" s="180">
        <v>18000</v>
      </c>
      <c r="F19" s="30">
        <v>6.1279000000000003</v>
      </c>
      <c r="G19" s="30">
        <v>6.1279000000000003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80"/>
      <c r="D20" s="181"/>
      <c r="E20" s="180"/>
      <c r="F20" s="30"/>
      <c r="G20" s="30"/>
      <c r="H20" s="23">
        <f>H18+H19</f>
        <v>65286.000000001193</v>
      </c>
      <c r="I20" s="24">
        <f>H20-H35</f>
        <v>3898.0199999996985</v>
      </c>
      <c r="J20" s="25">
        <f>I20/H20</f>
        <v>5.970682841650013E-2</v>
      </c>
    </row>
    <row r="21" spans="1:10" ht="15.75" x14ac:dyDescent="0.25">
      <c r="A21" s="15" t="s">
        <v>33</v>
      </c>
      <c r="B21" s="180" t="s">
        <v>13</v>
      </c>
      <c r="C21" s="180">
        <v>51217282</v>
      </c>
      <c r="D21" s="181" t="s">
        <v>34</v>
      </c>
      <c r="E21" s="180">
        <v>4800</v>
      </c>
      <c r="F21" s="21">
        <v>378.3732</v>
      </c>
      <c r="G21" s="21">
        <v>378.3732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80" t="s">
        <v>13</v>
      </c>
      <c r="C22" s="180">
        <v>51217274</v>
      </c>
      <c r="D22" s="181" t="s">
        <v>34</v>
      </c>
      <c r="E22" s="180">
        <v>4800</v>
      </c>
      <c r="F22" s="21">
        <v>1095.0320999999999</v>
      </c>
      <c r="G22" s="21">
        <v>1101.1536000000001</v>
      </c>
      <c r="H22" s="18">
        <f t="shared" si="1"/>
        <v>29383.200000000943</v>
      </c>
      <c r="I22" s="19"/>
      <c r="J22" s="20"/>
    </row>
    <row r="23" spans="1:10" ht="15.75" x14ac:dyDescent="0.25">
      <c r="A23" s="15" t="s">
        <v>36</v>
      </c>
      <c r="B23" s="180" t="s">
        <v>13</v>
      </c>
      <c r="C23" s="180">
        <v>51097664</v>
      </c>
      <c r="D23" s="181" t="s">
        <v>37</v>
      </c>
      <c r="E23" s="180">
        <v>600</v>
      </c>
      <c r="F23" s="21">
        <v>4.0160999999999998</v>
      </c>
      <c r="G23" s="21">
        <v>4.0492999999999997</v>
      </c>
      <c r="H23" s="18">
        <f t="shared" si="1"/>
        <v>19.919999999999938</v>
      </c>
      <c r="I23" s="19"/>
      <c r="J23" s="20"/>
    </row>
    <row r="24" spans="1:10" ht="15.75" x14ac:dyDescent="0.25">
      <c r="A24" s="15" t="s">
        <v>38</v>
      </c>
      <c r="B24" s="180" t="s">
        <v>13</v>
      </c>
      <c r="C24" s="180">
        <v>51097615</v>
      </c>
      <c r="D24" s="181" t="s">
        <v>37</v>
      </c>
      <c r="E24" s="180">
        <v>600</v>
      </c>
      <c r="F24" s="21">
        <v>28.881599999999999</v>
      </c>
      <c r="G24" s="21">
        <v>29.270499999999998</v>
      </c>
      <c r="H24" s="18">
        <f t="shared" si="1"/>
        <v>233.33999999999975</v>
      </c>
      <c r="I24" s="19"/>
      <c r="J24" s="20"/>
    </row>
    <row r="25" spans="1:10" ht="15.75" x14ac:dyDescent="0.25">
      <c r="A25" s="15" t="s">
        <v>39</v>
      </c>
      <c r="B25" s="180" t="s">
        <v>13</v>
      </c>
      <c r="C25" s="180">
        <v>51217264</v>
      </c>
      <c r="D25" s="181" t="s">
        <v>37</v>
      </c>
      <c r="E25" s="180">
        <v>600</v>
      </c>
      <c r="F25" s="21">
        <v>74.156899999999993</v>
      </c>
      <c r="G25" s="21">
        <v>74.930800000000005</v>
      </c>
      <c r="H25" s="18">
        <f t="shared" si="1"/>
        <v>464.34000000000708</v>
      </c>
      <c r="I25" s="19"/>
      <c r="J25" s="20"/>
    </row>
    <row r="26" spans="1:10" ht="15.75" x14ac:dyDescent="0.25">
      <c r="A26" s="15" t="s">
        <v>40</v>
      </c>
      <c r="B26" s="180" t="s">
        <v>13</v>
      </c>
      <c r="C26" s="180">
        <v>51217288</v>
      </c>
      <c r="D26" s="181" t="s">
        <v>37</v>
      </c>
      <c r="E26" s="180">
        <v>600</v>
      </c>
      <c r="F26" s="21">
        <v>19.161000000000001</v>
      </c>
      <c r="G26" s="21">
        <v>19.191800000000001</v>
      </c>
      <c r="H26" s="18">
        <f t="shared" si="1"/>
        <v>18.479999999999563</v>
      </c>
      <c r="I26" s="19" t="s">
        <v>27</v>
      </c>
      <c r="J26" s="20"/>
    </row>
    <row r="27" spans="1:10" ht="15.75" x14ac:dyDescent="0.25">
      <c r="A27" s="15" t="s">
        <v>41</v>
      </c>
      <c r="B27" s="180" t="s">
        <v>13</v>
      </c>
      <c r="C27" s="180">
        <v>51217279</v>
      </c>
      <c r="D27" s="181" t="s">
        <v>37</v>
      </c>
      <c r="E27" s="180">
        <v>600</v>
      </c>
      <c r="F27" s="21">
        <v>13.010999999999999</v>
      </c>
      <c r="G27" s="21">
        <v>13.055199999999999</v>
      </c>
      <c r="H27" s="18">
        <f t="shared" si="1"/>
        <v>26.52000000000001</v>
      </c>
      <c r="I27" s="19" t="s">
        <v>27</v>
      </c>
      <c r="J27" s="20"/>
    </row>
    <row r="28" spans="1:10" ht="15.75" x14ac:dyDescent="0.25">
      <c r="A28" s="15" t="s">
        <v>42</v>
      </c>
      <c r="B28" s="180" t="s">
        <v>13</v>
      </c>
      <c r="C28" s="180">
        <v>51217272</v>
      </c>
      <c r="D28" s="181" t="s">
        <v>37</v>
      </c>
      <c r="E28" s="180">
        <v>600</v>
      </c>
      <c r="F28" s="31">
        <v>12.754300000000001</v>
      </c>
      <c r="G28" s="31">
        <v>12.807399999999999</v>
      </c>
      <c r="H28" s="18">
        <f t="shared" si="1"/>
        <v>31.859999999999289</v>
      </c>
      <c r="I28" s="19"/>
      <c r="J28" s="20"/>
    </row>
    <row r="29" spans="1:10" ht="15.75" x14ac:dyDescent="0.25">
      <c r="A29" s="15" t="s">
        <v>43</v>
      </c>
      <c r="B29" s="180" t="s">
        <v>13</v>
      </c>
      <c r="C29" s="180">
        <v>51616744</v>
      </c>
      <c r="D29" s="181">
        <f>300/5</f>
        <v>60</v>
      </c>
      <c r="E29" s="180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80" t="s">
        <v>13</v>
      </c>
      <c r="C30" s="180">
        <v>51555226</v>
      </c>
      <c r="D30" s="181">
        <f>300/5</f>
        <v>60</v>
      </c>
      <c r="E30" s="180">
        <v>3600</v>
      </c>
      <c r="F30" s="31">
        <v>342.77659999999997</v>
      </c>
      <c r="G30" s="31">
        <v>346.89280000000002</v>
      </c>
      <c r="H30" s="18">
        <f>(G30-F30)*E30</f>
        <v>14818.320000000176</v>
      </c>
      <c r="I30" s="19"/>
      <c r="J30" s="20"/>
    </row>
    <row r="31" spans="1:10" ht="15.75" x14ac:dyDescent="0.25">
      <c r="A31" s="15" t="s">
        <v>45</v>
      </c>
      <c r="B31" s="180" t="s">
        <v>13</v>
      </c>
      <c r="C31" s="180">
        <v>51097658</v>
      </c>
      <c r="D31" s="181" t="s">
        <v>34</v>
      </c>
      <c r="E31" s="180">
        <v>4800</v>
      </c>
      <c r="F31" s="31">
        <v>521.82079999999996</v>
      </c>
      <c r="G31" s="31">
        <v>525.15970000000004</v>
      </c>
      <c r="H31" s="18">
        <f t="shared" si="1"/>
        <v>16026.720000000387</v>
      </c>
      <c r="I31" s="19"/>
      <c r="J31" s="20"/>
    </row>
    <row r="32" spans="1:10" ht="15.75" x14ac:dyDescent="0.25">
      <c r="A32" s="15" t="s">
        <v>46</v>
      </c>
      <c r="B32" s="180" t="s">
        <v>13</v>
      </c>
      <c r="C32" s="180">
        <v>51097635</v>
      </c>
      <c r="D32" s="181" t="s">
        <v>34</v>
      </c>
      <c r="E32" s="180">
        <v>4800</v>
      </c>
      <c r="F32" s="31">
        <v>48.436900000000001</v>
      </c>
      <c r="G32" s="31">
        <v>48.436999999999998</v>
      </c>
      <c r="H32" s="18">
        <f t="shared" si="1"/>
        <v>0.4799999999818283</v>
      </c>
      <c r="I32" s="19"/>
      <c r="J32" s="20"/>
    </row>
    <row r="33" spans="1:10" ht="15.75" x14ac:dyDescent="0.25">
      <c r="A33" s="15" t="s">
        <v>47</v>
      </c>
      <c r="B33" s="180" t="s">
        <v>13</v>
      </c>
      <c r="C33" s="32">
        <v>51097633</v>
      </c>
      <c r="D33" s="181" t="s">
        <v>34</v>
      </c>
      <c r="E33" s="180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80" t="s">
        <v>13</v>
      </c>
      <c r="C34" s="32">
        <v>51097662</v>
      </c>
      <c r="D34" s="181" t="s">
        <v>34</v>
      </c>
      <c r="E34" s="180">
        <v>4800</v>
      </c>
      <c r="F34" s="31">
        <v>1.2392000000000001</v>
      </c>
      <c r="G34" s="31">
        <v>1.3151999999999999</v>
      </c>
      <c r="H34" s="33">
        <f t="shared" si="1"/>
        <v>364.79999999999927</v>
      </c>
      <c r="I34" s="34"/>
      <c r="J34" s="35"/>
    </row>
    <row r="35" spans="1:10" ht="15.75" x14ac:dyDescent="0.25">
      <c r="A35" s="219" t="s">
        <v>48</v>
      </c>
      <c r="B35" s="220"/>
      <c r="C35" s="180"/>
      <c r="D35" s="181"/>
      <c r="E35" s="180"/>
      <c r="F35" s="36"/>
      <c r="G35" s="36"/>
      <c r="H35" s="23">
        <f>H21+H22+H23+H24+H25+H26+H27+H28+H29+H30+H31+H32+H33+H34</f>
        <v>61387.980000001495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80" t="s">
        <v>51</v>
      </c>
      <c r="C37" s="180">
        <v>51555209</v>
      </c>
      <c r="D37" s="181" t="s">
        <v>52</v>
      </c>
      <c r="E37" s="180">
        <v>7000</v>
      </c>
      <c r="F37" s="17">
        <v>3.8906999999999998</v>
      </c>
      <c r="G37" s="17">
        <v>3.9445000000000001</v>
      </c>
      <c r="H37" s="41">
        <f>(G37-F37)*E37</f>
        <v>376.60000000000207</v>
      </c>
      <c r="I37" s="42"/>
      <c r="J37" s="14"/>
    </row>
    <row r="38" spans="1:10" ht="15.75" x14ac:dyDescent="0.25">
      <c r="A38" s="15" t="s">
        <v>53</v>
      </c>
      <c r="B38" s="180" t="s">
        <v>51</v>
      </c>
      <c r="C38" s="180">
        <v>51555209</v>
      </c>
      <c r="D38" s="181" t="s">
        <v>52</v>
      </c>
      <c r="E38" s="180">
        <v>7000</v>
      </c>
      <c r="F38" s="21">
        <v>8.6486999999999998</v>
      </c>
      <c r="G38" s="21">
        <v>8.6898</v>
      </c>
      <c r="H38" s="18">
        <f>(G38-F38)*E38</f>
        <v>287.70000000000095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80" t="s">
        <v>51</v>
      </c>
      <c r="C40" s="180">
        <v>51097674</v>
      </c>
      <c r="D40" s="180" t="s">
        <v>14</v>
      </c>
      <c r="E40" s="180">
        <v>7200</v>
      </c>
      <c r="F40" s="21">
        <v>498.06729999999999</v>
      </c>
      <c r="G40" s="21">
        <v>500.49799999999999</v>
      </c>
      <c r="H40" s="18">
        <f>(G40-F40)*E40</f>
        <v>17501.040000000012</v>
      </c>
      <c r="I40" s="47"/>
      <c r="J40" s="20"/>
    </row>
    <row r="41" spans="1:10" ht="15.75" x14ac:dyDescent="0.25">
      <c r="A41" s="27" t="s">
        <v>56</v>
      </c>
      <c r="B41" s="180" t="s">
        <v>51</v>
      </c>
      <c r="C41" s="180">
        <v>51259257</v>
      </c>
      <c r="D41" s="180" t="s">
        <v>14</v>
      </c>
      <c r="E41" s="180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80"/>
      <c r="C42" s="180"/>
      <c r="D42" s="180"/>
      <c r="E42" s="180"/>
      <c r="F42" s="21"/>
      <c r="G42" s="21"/>
      <c r="H42" s="48">
        <f>H40+H41</f>
        <v>17501.040000000012</v>
      </c>
      <c r="I42" s="24">
        <f>H42-H50</f>
        <v>-117.67999999996027</v>
      </c>
      <c r="J42" s="25">
        <f>I42/H42</f>
        <v>-6.7241718206438126E-3</v>
      </c>
    </row>
    <row r="43" spans="1:10" ht="15.75" x14ac:dyDescent="0.25">
      <c r="A43" s="15" t="s">
        <v>58</v>
      </c>
      <c r="B43" s="180"/>
      <c r="C43" s="180"/>
      <c r="D43" s="181"/>
      <c r="E43" s="180"/>
      <c r="H43" s="18"/>
      <c r="I43" s="43"/>
      <c r="J43" s="20"/>
    </row>
    <row r="44" spans="1:10" ht="15.75" x14ac:dyDescent="0.25">
      <c r="A44" s="27" t="s">
        <v>59</v>
      </c>
      <c r="B44" s="180" t="s">
        <v>51</v>
      </c>
      <c r="C44" s="32">
        <v>51097648</v>
      </c>
      <c r="D44" s="180" t="s">
        <v>52</v>
      </c>
      <c r="E44" s="180">
        <v>1200</v>
      </c>
      <c r="F44" s="21">
        <v>407.56639999999999</v>
      </c>
      <c r="G44" s="21">
        <v>409.55939999999998</v>
      </c>
      <c r="H44" s="33">
        <f>(G44-F44)*E44</f>
        <v>2391.599999999994</v>
      </c>
      <c r="I44" s="43"/>
      <c r="J44" s="20"/>
    </row>
    <row r="45" spans="1:10" ht="15.75" x14ac:dyDescent="0.25">
      <c r="A45" s="27" t="s">
        <v>60</v>
      </c>
      <c r="B45" s="180" t="s">
        <v>51</v>
      </c>
      <c r="C45" s="32">
        <v>50555043</v>
      </c>
      <c r="D45" s="180" t="s">
        <v>52</v>
      </c>
      <c r="E45" s="180">
        <v>1200</v>
      </c>
      <c r="F45" s="21">
        <v>1707.5922</v>
      </c>
      <c r="G45" s="21">
        <v>1716.1130000000001</v>
      </c>
      <c r="H45" s="33">
        <f>(G45-F45)*E45</f>
        <v>10224.96000000001</v>
      </c>
      <c r="I45" s="43"/>
      <c r="J45" s="20"/>
    </row>
    <row r="46" spans="1:10" ht="15.75" x14ac:dyDescent="0.25">
      <c r="A46" s="27" t="s">
        <v>61</v>
      </c>
      <c r="B46" s="180" t="s">
        <v>51</v>
      </c>
      <c r="C46" s="32">
        <v>51259336</v>
      </c>
      <c r="D46" s="180" t="s">
        <v>62</v>
      </c>
      <c r="E46" s="180">
        <v>2400</v>
      </c>
      <c r="F46" s="21">
        <v>3.589</v>
      </c>
      <c r="G46" s="21">
        <v>3.6027</v>
      </c>
      <c r="H46" s="33">
        <f>(G46-F46)*E46</f>
        <v>32.880000000000109</v>
      </c>
      <c r="I46" s="43"/>
      <c r="J46" s="20"/>
    </row>
    <row r="47" spans="1:10" ht="15.75" x14ac:dyDescent="0.25">
      <c r="A47" s="27" t="s">
        <v>63</v>
      </c>
      <c r="B47" s="180" t="s">
        <v>51</v>
      </c>
      <c r="C47" s="32">
        <v>51259266</v>
      </c>
      <c r="D47" s="180" t="s">
        <v>52</v>
      </c>
      <c r="E47" s="180">
        <v>1200</v>
      </c>
      <c r="F47" s="21">
        <v>829.53060000000005</v>
      </c>
      <c r="G47" s="21">
        <v>833.31920000000002</v>
      </c>
      <c r="H47" s="33">
        <f>(G47-F47)*E47</f>
        <v>4546.3199999999688</v>
      </c>
      <c r="I47" s="43"/>
      <c r="J47" s="20"/>
    </row>
    <row r="48" spans="1:10" ht="15.75" x14ac:dyDescent="0.25">
      <c r="A48" s="27" t="s">
        <v>64</v>
      </c>
      <c r="B48" s="180" t="s">
        <v>51</v>
      </c>
      <c r="C48" s="32">
        <v>51431336</v>
      </c>
      <c r="D48" s="180" t="s">
        <v>52</v>
      </c>
      <c r="E48" s="180">
        <v>1200</v>
      </c>
      <c r="F48" s="21">
        <v>44.604599999999998</v>
      </c>
      <c r="G48" s="21">
        <v>44.915399999999998</v>
      </c>
      <c r="H48" s="33">
        <f>(G48-F48)*E48</f>
        <v>372.96000000000049</v>
      </c>
      <c r="I48" s="43"/>
      <c r="J48" s="20"/>
    </row>
    <row r="49" spans="1:10" ht="15.75" x14ac:dyDescent="0.25">
      <c r="A49" s="15" t="s">
        <v>65</v>
      </c>
      <c r="B49" s="180" t="s">
        <v>66</v>
      </c>
      <c r="C49" s="180">
        <v>49174</v>
      </c>
      <c r="D49" s="181" t="s">
        <v>52</v>
      </c>
      <c r="E49" s="180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17618.719999999972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80" t="s">
        <v>51</v>
      </c>
      <c r="C52" s="180">
        <v>51097603</v>
      </c>
      <c r="D52" s="181" t="s">
        <v>52</v>
      </c>
      <c r="E52" s="180">
        <v>7000</v>
      </c>
      <c r="F52" s="17">
        <v>1656.3318999999999</v>
      </c>
      <c r="G52" s="17">
        <v>1665.1135999999999</v>
      </c>
      <c r="H52" s="18">
        <f>(G52-F52)*E52</f>
        <v>61471.900000000009</v>
      </c>
      <c r="I52" s="43"/>
      <c r="J52" s="20"/>
    </row>
    <row r="53" spans="1:10" ht="15.75" x14ac:dyDescent="0.25">
      <c r="A53" s="27" t="s">
        <v>71</v>
      </c>
      <c r="B53" s="180" t="s">
        <v>51</v>
      </c>
      <c r="C53" s="180">
        <v>51097590</v>
      </c>
      <c r="D53" s="181" t="s">
        <v>52</v>
      </c>
      <c r="E53" s="180">
        <v>7000</v>
      </c>
      <c r="F53" s="21">
        <v>9.7568000000000001</v>
      </c>
      <c r="G53" s="21">
        <v>9.8331</v>
      </c>
      <c r="H53" s="18">
        <f>(G53-F53)*E53</f>
        <v>534.09999999999866</v>
      </c>
      <c r="I53" s="43"/>
      <c r="J53" s="20"/>
    </row>
    <row r="54" spans="1:10" ht="15.75" x14ac:dyDescent="0.25">
      <c r="A54" s="15" t="s">
        <v>65</v>
      </c>
      <c r="B54" s="180" t="s">
        <v>66</v>
      </c>
      <c r="C54" s="180">
        <v>49174</v>
      </c>
      <c r="D54" s="181" t="s">
        <v>52</v>
      </c>
      <c r="E54" s="180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80"/>
      <c r="D55" s="181"/>
      <c r="E55" s="180"/>
      <c r="F55" s="21"/>
      <c r="G55" s="21"/>
      <c r="H55" s="48">
        <f>H52+H53+H54</f>
        <v>62106.000000000007</v>
      </c>
      <c r="I55" s="47"/>
      <c r="J55" s="59"/>
    </row>
    <row r="56" spans="1:10" ht="15.75" x14ac:dyDescent="0.25">
      <c r="A56" s="27" t="s">
        <v>73</v>
      </c>
      <c r="B56" s="180" t="s">
        <v>51</v>
      </c>
      <c r="C56" s="180">
        <v>51100980</v>
      </c>
      <c r="D56" s="180" t="s">
        <v>74</v>
      </c>
      <c r="E56" s="180">
        <v>12000</v>
      </c>
      <c r="F56" s="21">
        <v>974.20090000000005</v>
      </c>
      <c r="G56" s="21">
        <v>979.37909999999999</v>
      </c>
      <c r="H56" s="18">
        <f>(G56-F56)*E56</f>
        <v>62138.399999999368</v>
      </c>
      <c r="I56" s="47"/>
      <c r="J56" s="58"/>
    </row>
    <row r="57" spans="1:10" ht="15.75" x14ac:dyDescent="0.25">
      <c r="A57" s="27" t="s">
        <v>75</v>
      </c>
      <c r="B57" s="180" t="s">
        <v>51</v>
      </c>
      <c r="C57" s="180">
        <v>51097623</v>
      </c>
      <c r="D57" s="180" t="s">
        <v>74</v>
      </c>
      <c r="E57" s="180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80"/>
      <c r="C58" s="180"/>
      <c r="D58" s="180"/>
      <c r="E58" s="180"/>
      <c r="F58" s="21"/>
      <c r="G58" s="21"/>
      <c r="H58" s="48">
        <f>H56+H57</f>
        <v>62138.399999999368</v>
      </c>
      <c r="I58" s="61">
        <f>H55-H65-H54</f>
        <v>-255.39999999965949</v>
      </c>
      <c r="J58" s="25">
        <f>I58/H58</f>
        <v>-4.1101798565727809E-3</v>
      </c>
    </row>
    <row r="59" spans="1:10" ht="15.75" x14ac:dyDescent="0.25">
      <c r="A59" s="27" t="s">
        <v>77</v>
      </c>
      <c r="B59" s="180" t="s">
        <v>51</v>
      </c>
      <c r="C59" s="180">
        <v>51097675</v>
      </c>
      <c r="D59" s="180" t="s">
        <v>34</v>
      </c>
      <c r="E59" s="180">
        <v>4800</v>
      </c>
      <c r="F59" s="21">
        <v>385.46260000000001</v>
      </c>
      <c r="G59" s="21">
        <v>388.68729999999999</v>
      </c>
      <c r="H59" s="18">
        <f t="shared" ref="H59:H64" si="2">(G59-F59)*E59</f>
        <v>15478.559999999925</v>
      </c>
      <c r="I59" s="62"/>
      <c r="J59" s="59"/>
    </row>
    <row r="60" spans="1:10" ht="15.75" x14ac:dyDescent="0.25">
      <c r="A60" s="27" t="s">
        <v>78</v>
      </c>
      <c r="B60" s="180" t="s">
        <v>51</v>
      </c>
      <c r="C60" s="180">
        <v>51100997</v>
      </c>
      <c r="D60" s="180" t="s">
        <v>21</v>
      </c>
      <c r="E60" s="180">
        <v>3600</v>
      </c>
      <c r="F60" s="21">
        <v>1245.2733000000001</v>
      </c>
      <c r="G60" s="21">
        <v>1251.0169000000001</v>
      </c>
      <c r="H60" s="18">
        <f t="shared" si="2"/>
        <v>20676.960000000054</v>
      </c>
      <c r="I60" s="62"/>
      <c r="J60" s="59"/>
    </row>
    <row r="61" spans="1:10" ht="15.75" x14ac:dyDescent="0.25">
      <c r="A61" s="27" t="s">
        <v>79</v>
      </c>
      <c r="B61" s="180" t="s">
        <v>51</v>
      </c>
      <c r="C61" s="180">
        <v>51555218</v>
      </c>
      <c r="D61" s="180">
        <f>400/5</f>
        <v>80</v>
      </c>
      <c r="E61" s="180">
        <v>4800</v>
      </c>
      <c r="F61" s="21">
        <v>43.600999999999999</v>
      </c>
      <c r="G61" s="21">
        <v>44.060299999999998</v>
      </c>
      <c r="H61" s="18">
        <f t="shared" si="2"/>
        <v>2204.6399999999949</v>
      </c>
      <c r="I61" s="62"/>
      <c r="J61" s="59"/>
    </row>
    <row r="62" spans="1:10" ht="15.75" x14ac:dyDescent="0.25">
      <c r="A62" s="27" t="s">
        <v>80</v>
      </c>
      <c r="B62" s="180" t="s">
        <v>51</v>
      </c>
      <c r="C62" s="180">
        <v>51555151</v>
      </c>
      <c r="D62" s="180">
        <f>400/5</f>
        <v>80</v>
      </c>
      <c r="E62" s="180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80" t="s">
        <v>51</v>
      </c>
      <c r="C63" s="180">
        <v>51097599</v>
      </c>
      <c r="D63" s="180" t="s">
        <v>21</v>
      </c>
      <c r="E63" s="180">
        <v>3600</v>
      </c>
      <c r="F63" s="21">
        <v>869.40930000000003</v>
      </c>
      <c r="G63" s="21">
        <v>872.58159999999998</v>
      </c>
      <c r="H63" s="18">
        <f t="shared" si="2"/>
        <v>11420.279999999821</v>
      </c>
      <c r="I63" s="62"/>
      <c r="J63" s="59"/>
    </row>
    <row r="64" spans="1:10" ht="15.75" x14ac:dyDescent="0.25">
      <c r="A64" s="27" t="s">
        <v>82</v>
      </c>
      <c r="B64" s="180" t="s">
        <v>51</v>
      </c>
      <c r="C64" s="180">
        <v>51097620</v>
      </c>
      <c r="D64" s="180" t="s">
        <v>34</v>
      </c>
      <c r="E64" s="180">
        <v>4800</v>
      </c>
      <c r="F64" s="21">
        <v>409.2475</v>
      </c>
      <c r="G64" s="21">
        <v>411.84769999999997</v>
      </c>
      <c r="H64" s="18">
        <f t="shared" si="2"/>
        <v>12480.959999999868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62261.399999999667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80" t="s">
        <v>51</v>
      </c>
      <c r="C67" s="9">
        <v>51259238</v>
      </c>
      <c r="D67" s="74" t="s">
        <v>52</v>
      </c>
      <c r="E67" s="74">
        <v>7000</v>
      </c>
      <c r="F67" s="75">
        <v>447.99610000000001</v>
      </c>
      <c r="G67" s="75">
        <v>450.92419999999998</v>
      </c>
      <c r="H67" s="76">
        <f>(G67-F67)*E67</f>
        <v>20496.699999999804</v>
      </c>
      <c r="I67" s="77"/>
      <c r="J67" s="78"/>
    </row>
    <row r="68" spans="1:10" ht="15.75" x14ac:dyDescent="0.25">
      <c r="A68" s="27" t="s">
        <v>85</v>
      </c>
      <c r="B68" s="180" t="s">
        <v>51</v>
      </c>
      <c r="C68" s="180">
        <v>51259324</v>
      </c>
      <c r="D68" s="181" t="s">
        <v>52</v>
      </c>
      <c r="E68" s="181">
        <v>7000</v>
      </c>
      <c r="F68" s="21">
        <v>344.27699999999999</v>
      </c>
      <c r="G68" s="21">
        <v>346.3734</v>
      </c>
      <c r="H68" s="18">
        <f>(G68-F68)*E68</f>
        <v>14674.800000000119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80">
        <v>51491618</v>
      </c>
      <c r="D69" s="181" t="s">
        <v>62</v>
      </c>
      <c r="E69" s="180">
        <v>40</v>
      </c>
      <c r="F69" s="28">
        <v>828.0335</v>
      </c>
      <c r="G69" s="28">
        <v>838.70249999999999</v>
      </c>
      <c r="H69" s="18">
        <f>(G69-F69)*E69</f>
        <v>426.75999999999931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80">
        <v>51491624</v>
      </c>
      <c r="D70" s="181" t="s">
        <v>62</v>
      </c>
      <c r="E70" s="180">
        <v>40</v>
      </c>
      <c r="F70" s="28">
        <v>114.658</v>
      </c>
      <c r="G70" s="28">
        <v>115.8515</v>
      </c>
      <c r="H70" s="18">
        <f>(G70-F70)*E70</f>
        <v>47.740000000000009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35171.499999999927</v>
      </c>
      <c r="I71" s="85">
        <f>H71-H74-H69-H70</f>
        <v>-1182.9999999998392</v>
      </c>
      <c r="J71" s="25">
        <f>I71/H71</f>
        <v>-3.3635187580849317E-2</v>
      </c>
    </row>
    <row r="72" spans="1:10" ht="15.75" x14ac:dyDescent="0.25">
      <c r="A72" s="27" t="s">
        <v>90</v>
      </c>
      <c r="B72" s="180" t="s">
        <v>51</v>
      </c>
      <c r="C72" s="86">
        <v>51097588</v>
      </c>
      <c r="D72" s="181" t="s">
        <v>74</v>
      </c>
      <c r="E72" s="180">
        <v>12000</v>
      </c>
      <c r="F72" s="21">
        <v>271.1551</v>
      </c>
      <c r="G72" s="21">
        <v>272.86869999999999</v>
      </c>
      <c r="H72" s="18">
        <f>(G72-F72)*E72</f>
        <v>20563.199999999822</v>
      </c>
      <c r="I72" s="51"/>
      <c r="J72" s="58"/>
    </row>
    <row r="73" spans="1:10" ht="15.75" x14ac:dyDescent="0.25">
      <c r="A73" s="27" t="s">
        <v>91</v>
      </c>
      <c r="B73" s="180" t="s">
        <v>51</v>
      </c>
      <c r="C73" s="86">
        <v>51431335</v>
      </c>
      <c r="D73" s="181" t="s">
        <v>74</v>
      </c>
      <c r="E73" s="180">
        <v>12000</v>
      </c>
      <c r="F73" s="21">
        <v>211.4931</v>
      </c>
      <c r="G73" s="21">
        <v>212.76949999999999</v>
      </c>
      <c r="H73" s="18">
        <f>(G73-F73)*E73</f>
        <v>15316.799999999945</v>
      </c>
      <c r="I73" s="51"/>
      <c r="J73" s="58"/>
    </row>
    <row r="74" spans="1:10" ht="15.75" x14ac:dyDescent="0.25">
      <c r="A74" s="87" t="s">
        <v>92</v>
      </c>
      <c r="B74" s="180" t="s">
        <v>27</v>
      </c>
      <c r="C74" s="180"/>
      <c r="D74" s="181"/>
      <c r="E74" s="180"/>
      <c r="F74" s="21"/>
      <c r="G74" s="21"/>
      <c r="H74" s="48">
        <f>H72+ H73</f>
        <v>35879.999999999767</v>
      </c>
      <c r="I74" s="85">
        <f>H74-H82</f>
        <v>-98.940000000191503</v>
      </c>
      <c r="J74" s="25">
        <f>I74/H74</f>
        <v>-2.7575250836173954E-3</v>
      </c>
    </row>
    <row r="75" spans="1:10" ht="15.75" x14ac:dyDescent="0.25">
      <c r="A75" s="27" t="s">
        <v>93</v>
      </c>
      <c r="B75" s="180" t="s">
        <v>51</v>
      </c>
      <c r="C75" s="86">
        <v>51097676</v>
      </c>
      <c r="D75" s="88" t="s">
        <v>62</v>
      </c>
      <c r="E75" s="180">
        <v>2400</v>
      </c>
      <c r="F75" s="21">
        <v>548.40390000000002</v>
      </c>
      <c r="G75" s="21">
        <v>552.6404</v>
      </c>
      <c r="H75" s="18">
        <f>(G75-F75)*E75</f>
        <v>10167.599999999948</v>
      </c>
      <c r="I75" s="51"/>
      <c r="J75" s="58"/>
    </row>
    <row r="76" spans="1:10" ht="15.75" x14ac:dyDescent="0.25">
      <c r="A76" s="27" t="s">
        <v>94</v>
      </c>
      <c r="B76" s="180" t="s">
        <v>51</v>
      </c>
      <c r="C76" s="86">
        <v>51431355</v>
      </c>
      <c r="D76" s="181" t="s">
        <v>21</v>
      </c>
      <c r="E76" s="181">
        <v>3600</v>
      </c>
      <c r="F76" s="21">
        <v>312.60340000000002</v>
      </c>
      <c r="G76" s="21">
        <v>313.82389999999998</v>
      </c>
      <c r="H76" s="18">
        <f>(G76-F76)*E76</f>
        <v>4393.799999999851</v>
      </c>
      <c r="I76" s="51"/>
      <c r="J76" s="52"/>
    </row>
    <row r="77" spans="1:10" ht="15.75" x14ac:dyDescent="0.25">
      <c r="A77" s="27" t="s">
        <v>95</v>
      </c>
      <c r="B77" s="180" t="s">
        <v>51</v>
      </c>
      <c r="C77" s="86">
        <v>51259331</v>
      </c>
      <c r="D77" s="88" t="s">
        <v>37</v>
      </c>
      <c r="E77" s="180">
        <v>600</v>
      </c>
      <c r="F77" s="21">
        <v>126.9226</v>
      </c>
      <c r="G77" s="21">
        <v>128.0489</v>
      </c>
      <c r="H77" s="18">
        <f>(G77-F77)*E77</f>
        <v>675.78000000000031</v>
      </c>
      <c r="I77" s="51"/>
      <c r="J77" s="52"/>
    </row>
    <row r="78" spans="1:10" ht="15.75" x14ac:dyDescent="0.25">
      <c r="A78" s="27" t="s">
        <v>96</v>
      </c>
      <c r="B78" s="180" t="s">
        <v>51</v>
      </c>
      <c r="C78" s="86">
        <v>51259326</v>
      </c>
      <c r="D78" s="88" t="s">
        <v>14</v>
      </c>
      <c r="E78" s="180">
        <v>7200</v>
      </c>
      <c r="F78" s="21">
        <v>273.53469999999999</v>
      </c>
      <c r="G78" s="21">
        <v>274.99250000000001</v>
      </c>
      <c r="H78" s="18">
        <f>(G78-F78)*E78</f>
        <v>10496.160000000145</v>
      </c>
      <c r="I78" s="51"/>
      <c r="J78" s="52"/>
    </row>
    <row r="79" spans="1:10" ht="15.75" x14ac:dyDescent="0.25">
      <c r="A79" s="27" t="s">
        <v>97</v>
      </c>
      <c r="B79" s="180" t="s">
        <v>51</v>
      </c>
      <c r="C79" s="86">
        <v>51431351</v>
      </c>
      <c r="D79" s="88" t="s">
        <v>14</v>
      </c>
      <c r="E79" s="180">
        <v>7200</v>
      </c>
      <c r="F79" s="21">
        <v>182.6591</v>
      </c>
      <c r="G79" s="21">
        <v>184.0821</v>
      </c>
      <c r="H79" s="18">
        <f>(G79-F79)*E79</f>
        <v>10245.600000000013</v>
      </c>
      <c r="I79" s="51"/>
      <c r="J79" s="52"/>
    </row>
    <row r="80" spans="1:10" ht="15.75" x14ac:dyDescent="0.25">
      <c r="A80" s="89" t="s">
        <v>98</v>
      </c>
      <c r="B80" s="180" t="s">
        <v>51</v>
      </c>
      <c r="C80" s="90">
        <v>51097666</v>
      </c>
      <c r="D80" s="88" t="s">
        <v>62</v>
      </c>
      <c r="E80" s="180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80" t="s">
        <v>51</v>
      </c>
      <c r="C81" s="90">
        <v>51259323</v>
      </c>
      <c r="D81" s="88" t="s">
        <v>62</v>
      </c>
      <c r="E81" s="180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35978.939999999959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80" t="s">
        <v>51</v>
      </c>
      <c r="C84" s="106">
        <v>51431297</v>
      </c>
      <c r="D84" s="181" t="s">
        <v>52</v>
      </c>
      <c r="E84" s="100">
        <v>7000</v>
      </c>
      <c r="F84" s="17">
        <v>226.30930000000001</v>
      </c>
      <c r="G84" s="17">
        <v>228.78319999999999</v>
      </c>
      <c r="H84" s="18">
        <f>(G84-F84)*E84</f>
        <v>17317.299999999905</v>
      </c>
      <c r="I84" s="107"/>
      <c r="J84" s="108"/>
    </row>
    <row r="85" spans="1:10" ht="15.75" x14ac:dyDescent="0.25">
      <c r="A85" s="105" t="s">
        <v>85</v>
      </c>
      <c r="B85" s="180" t="s">
        <v>51</v>
      </c>
      <c r="C85" s="106">
        <v>51431332</v>
      </c>
      <c r="D85" s="181" t="s">
        <v>52</v>
      </c>
      <c r="E85" s="100">
        <v>7000</v>
      </c>
      <c r="F85" s="21">
        <v>306.34980000000002</v>
      </c>
      <c r="G85" s="21">
        <v>306.50670000000002</v>
      </c>
      <c r="H85" s="18">
        <f>(G85-F85)*E85</f>
        <v>1098.3000000000516</v>
      </c>
      <c r="I85" s="180"/>
      <c r="J85" s="58"/>
    </row>
    <row r="86" spans="1:10" ht="15.75" x14ac:dyDescent="0.25">
      <c r="A86" s="27" t="s">
        <v>86</v>
      </c>
      <c r="B86" s="180" t="s">
        <v>102</v>
      </c>
      <c r="C86" s="109">
        <v>150773</v>
      </c>
      <c r="D86" s="181" t="s">
        <v>52</v>
      </c>
      <c r="E86" s="109">
        <v>20</v>
      </c>
      <c r="F86" s="17">
        <v>15327.9</v>
      </c>
      <c r="G86" s="17">
        <v>15338</v>
      </c>
      <c r="H86" s="18">
        <f>(G86-F86)*E86</f>
        <v>202.00000000000728</v>
      </c>
      <c r="I86" s="51"/>
      <c r="J86" s="58"/>
    </row>
    <row r="87" spans="1:10" ht="15.75" x14ac:dyDescent="0.25">
      <c r="A87" s="27" t="s">
        <v>88</v>
      </c>
      <c r="B87" s="180" t="s">
        <v>102</v>
      </c>
      <c r="C87" s="109">
        <v>150791</v>
      </c>
      <c r="D87" s="181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82"/>
      <c r="C88" s="32"/>
      <c r="D88" s="82"/>
      <c r="E88" s="82"/>
      <c r="F88" s="21"/>
      <c r="G88" s="21"/>
      <c r="H88" s="48">
        <f>H84+H85</f>
        <v>18415.599999999955</v>
      </c>
      <c r="I88" s="85">
        <f>H88-H91-H86-H87</f>
        <v>430.56000000005588</v>
      </c>
      <c r="J88" s="25">
        <f>I88/H88</f>
        <v>2.3380177675452168E-2</v>
      </c>
    </row>
    <row r="89" spans="1:10" ht="15.75" x14ac:dyDescent="0.25">
      <c r="A89" s="27" t="s">
        <v>103</v>
      </c>
      <c r="B89" s="180" t="s">
        <v>51</v>
      </c>
      <c r="C89" s="106">
        <v>51431342</v>
      </c>
      <c r="D89" s="88" t="s">
        <v>34</v>
      </c>
      <c r="E89" s="180">
        <v>4800</v>
      </c>
      <c r="F89" s="21">
        <v>320.47590000000002</v>
      </c>
      <c r="G89" s="21">
        <v>324.04079999999999</v>
      </c>
      <c r="H89" s="18">
        <f>(G89-F89)*E89</f>
        <v>17111.519999999837</v>
      </c>
      <c r="I89" s="51"/>
      <c r="J89" s="52"/>
    </row>
    <row r="90" spans="1:10" ht="15.75" x14ac:dyDescent="0.25">
      <c r="A90" s="27" t="s">
        <v>104</v>
      </c>
      <c r="B90" s="180" t="s">
        <v>51</v>
      </c>
      <c r="C90" s="106">
        <v>51431343</v>
      </c>
      <c r="D90" s="88" t="s">
        <v>34</v>
      </c>
      <c r="E90" s="180">
        <v>4800</v>
      </c>
      <c r="F90" s="21">
        <v>434.02440000000001</v>
      </c>
      <c r="G90" s="21">
        <v>434.16430000000003</v>
      </c>
      <c r="H90" s="18">
        <f>(G90-F90)*E90</f>
        <v>671.52000000005501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17783.039999999892</v>
      </c>
      <c r="I91" s="85">
        <f>H91-H99</f>
        <v>-136.24000000025262</v>
      </c>
      <c r="J91" s="25">
        <f>I91/H91</f>
        <v>-7.661232275260779E-3</v>
      </c>
    </row>
    <row r="92" spans="1:10" ht="15.75" x14ac:dyDescent="0.25">
      <c r="A92" s="27" t="s">
        <v>106</v>
      </c>
      <c r="B92" s="180" t="s">
        <v>51</v>
      </c>
      <c r="C92" s="106">
        <v>51431347</v>
      </c>
      <c r="D92" s="181" t="s">
        <v>52</v>
      </c>
      <c r="E92" s="180">
        <v>1200</v>
      </c>
      <c r="F92" s="21">
        <v>958.84389999999996</v>
      </c>
      <c r="G92" s="21">
        <v>958.84389999999996</v>
      </c>
      <c r="H92" s="18">
        <f t="shared" ref="H92:H100" si="4">(G92-F92)*E92</f>
        <v>0</v>
      </c>
      <c r="I92" s="51"/>
      <c r="J92" s="52"/>
    </row>
    <row r="93" spans="1:10" ht="15.75" x14ac:dyDescent="0.25">
      <c r="A93" s="27" t="s">
        <v>107</v>
      </c>
      <c r="B93" s="180" t="s">
        <v>51</v>
      </c>
      <c r="C93" s="106">
        <v>51431339</v>
      </c>
      <c r="D93" s="181" t="s">
        <v>52</v>
      </c>
      <c r="E93" s="180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80" t="s">
        <v>51</v>
      </c>
      <c r="C94" s="106">
        <v>51217244</v>
      </c>
      <c r="D94" s="180" t="s">
        <v>37</v>
      </c>
      <c r="E94" s="180">
        <v>600</v>
      </c>
      <c r="F94" s="30">
        <v>257.23410000000001</v>
      </c>
      <c r="G94" s="30">
        <v>258.23869999999999</v>
      </c>
      <c r="H94" s="18">
        <f t="shared" si="4"/>
        <v>602.7599999999893</v>
      </c>
      <c r="I94" s="51"/>
      <c r="J94" s="52"/>
    </row>
    <row r="95" spans="1:10" ht="15.75" x14ac:dyDescent="0.25">
      <c r="A95" s="27" t="s">
        <v>109</v>
      </c>
      <c r="B95" s="180" t="s">
        <v>51</v>
      </c>
      <c r="C95" s="106">
        <v>51217267</v>
      </c>
      <c r="D95" s="88" t="s">
        <v>62</v>
      </c>
      <c r="E95" s="180">
        <v>2400</v>
      </c>
      <c r="F95" s="30">
        <v>19.0411</v>
      </c>
      <c r="G95" s="30">
        <v>19.072199999999999</v>
      </c>
      <c r="H95" s="18">
        <f t="shared" si="4"/>
        <v>74.639999999996576</v>
      </c>
      <c r="I95" s="51"/>
      <c r="J95" s="52"/>
    </row>
    <row r="96" spans="1:10" ht="15.75" x14ac:dyDescent="0.25">
      <c r="A96" s="27" t="s">
        <v>110</v>
      </c>
      <c r="B96" s="180" t="s">
        <v>51</v>
      </c>
      <c r="C96" s="180">
        <v>51555165</v>
      </c>
      <c r="D96" s="181" t="s">
        <v>52</v>
      </c>
      <c r="E96" s="180">
        <v>1200</v>
      </c>
      <c r="F96" s="30">
        <v>751.64729999999997</v>
      </c>
      <c r="G96" s="30">
        <v>760.21910000000003</v>
      </c>
      <c r="H96" s="18">
        <f t="shared" si="4"/>
        <v>10286.160000000064</v>
      </c>
      <c r="I96" s="51" t="s">
        <v>27</v>
      </c>
      <c r="J96" s="52"/>
    </row>
    <row r="97" spans="1:10" ht="15.75" x14ac:dyDescent="0.25">
      <c r="A97" s="113" t="s">
        <v>111</v>
      </c>
      <c r="B97" s="180" t="s">
        <v>51</v>
      </c>
      <c r="C97" s="106">
        <v>51431346</v>
      </c>
      <c r="D97" s="114" t="s">
        <v>37</v>
      </c>
      <c r="E97" s="114">
        <v>600</v>
      </c>
      <c r="F97" s="30">
        <v>305.87099999999998</v>
      </c>
      <c r="G97" s="30">
        <v>308.12900000000002</v>
      </c>
      <c r="H97" s="115">
        <f t="shared" si="4"/>
        <v>1354.8000000000229</v>
      </c>
      <c r="I97" s="116"/>
      <c r="J97" s="117"/>
    </row>
    <row r="98" spans="1:10" ht="15.75" x14ac:dyDescent="0.25">
      <c r="A98" s="27" t="s">
        <v>112</v>
      </c>
      <c r="B98" s="180" t="s">
        <v>51</v>
      </c>
      <c r="C98" s="106">
        <v>51431352</v>
      </c>
      <c r="D98" s="88" t="s">
        <v>21</v>
      </c>
      <c r="E98" s="180">
        <v>3600</v>
      </c>
      <c r="F98" s="21">
        <v>166.22069999999999</v>
      </c>
      <c r="G98" s="21">
        <v>167.72040000000001</v>
      </c>
      <c r="H98" s="18">
        <f t="shared" si="4"/>
        <v>5398.9200000000665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17919.280000000144</v>
      </c>
      <c r="I99" s="51"/>
      <c r="J99" s="52"/>
    </row>
    <row r="100" spans="1:10" ht="15.75" x14ac:dyDescent="0.25">
      <c r="A100" s="45" t="s">
        <v>113</v>
      </c>
      <c r="B100" s="180" t="s">
        <v>51</v>
      </c>
      <c r="C100" s="120">
        <v>51431357</v>
      </c>
      <c r="D100" s="181" t="s">
        <v>62</v>
      </c>
      <c r="E100" s="181">
        <v>14000</v>
      </c>
      <c r="F100" s="28">
        <v>694.36969999999997</v>
      </c>
      <c r="G100" s="28">
        <v>697.31949999999995</v>
      </c>
      <c r="H100" s="121">
        <f t="shared" si="4"/>
        <v>41297.19999999975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opLeftCell="C1" workbookViewId="0">
      <selection activeCell="E25" sqref="E25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145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146</v>
      </c>
      <c r="G3" s="4" t="s">
        <v>147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83" t="s">
        <v>13</v>
      </c>
      <c r="C5" s="183">
        <v>51555166</v>
      </c>
      <c r="D5" s="183" t="s">
        <v>14</v>
      </c>
      <c r="E5" s="183">
        <v>132000</v>
      </c>
      <c r="F5" s="17">
        <v>2.4384000000000001</v>
      </c>
      <c r="G5" s="17">
        <v>2.4495</v>
      </c>
      <c r="H5" s="18">
        <f>(G5-F5)*E5</f>
        <v>1465.1999999999853</v>
      </c>
      <c r="I5" s="19"/>
      <c r="J5" s="20"/>
    </row>
    <row r="6" spans="1:10" ht="15.75" x14ac:dyDescent="0.25">
      <c r="A6" s="15" t="s">
        <v>15</v>
      </c>
      <c r="B6" s="183" t="s">
        <v>13</v>
      </c>
      <c r="C6" s="183">
        <v>51555191</v>
      </c>
      <c r="D6" s="183" t="s">
        <v>14</v>
      </c>
      <c r="E6" s="183">
        <v>132000</v>
      </c>
      <c r="F6" s="21">
        <v>294.75240000000002</v>
      </c>
      <c r="G6" s="21">
        <v>296.83100000000002</v>
      </c>
      <c r="H6" s="18">
        <f>(G6-F6)*E6</f>
        <v>274375.19999999925</v>
      </c>
      <c r="I6" s="19"/>
      <c r="J6" s="20"/>
    </row>
    <row r="7" spans="1:10" ht="15.75" x14ac:dyDescent="0.25">
      <c r="A7" s="219" t="s">
        <v>16</v>
      </c>
      <c r="B7" s="220"/>
      <c r="C7" s="183"/>
      <c r="D7" s="184"/>
      <c r="E7" s="183"/>
      <c r="H7" s="23">
        <f>H5+H6</f>
        <v>275840.39999999927</v>
      </c>
      <c r="I7" s="24">
        <f>H7-H10-H20</f>
        <v>2564.4000000024971</v>
      </c>
      <c r="J7" s="25">
        <f>I7/H7</f>
        <v>9.2966802542430484E-3</v>
      </c>
    </row>
    <row r="8" spans="1:10" ht="15.75" x14ac:dyDescent="0.25">
      <c r="A8" s="26" t="s">
        <v>17</v>
      </c>
      <c r="B8" s="183" t="s">
        <v>13</v>
      </c>
      <c r="C8" s="183">
        <v>51097629</v>
      </c>
      <c r="D8" s="184" t="s">
        <v>14</v>
      </c>
      <c r="E8" s="183">
        <v>42000</v>
      </c>
      <c r="F8" s="21">
        <v>932.7373</v>
      </c>
      <c r="G8" s="21">
        <v>937.65189999999996</v>
      </c>
      <c r="H8" s="18">
        <f>(G8-F8)*E8</f>
        <v>206413.19999999792</v>
      </c>
      <c r="I8" s="19"/>
      <c r="J8" s="20"/>
    </row>
    <row r="9" spans="1:10" ht="15.75" x14ac:dyDescent="0.25">
      <c r="A9" s="26" t="s">
        <v>18</v>
      </c>
      <c r="B9" s="183" t="s">
        <v>13</v>
      </c>
      <c r="C9" s="183">
        <v>51616820</v>
      </c>
      <c r="D9" s="184" t="s">
        <v>14</v>
      </c>
      <c r="E9" s="183">
        <v>42000</v>
      </c>
      <c r="F9" s="21">
        <v>3.9910000000000001</v>
      </c>
      <c r="G9" s="21">
        <v>4.0125999999999999</v>
      </c>
      <c r="H9" s="18">
        <f>(G9-F9)*E9</f>
        <v>907.19999999999334</v>
      </c>
      <c r="I9" s="19"/>
      <c r="J9" s="20"/>
    </row>
    <row r="10" spans="1:10" ht="15.75" x14ac:dyDescent="0.25">
      <c r="A10" s="219" t="s">
        <v>19</v>
      </c>
      <c r="B10" s="220"/>
      <c r="C10" s="183"/>
      <c r="D10" s="184"/>
      <c r="E10" s="183"/>
      <c r="F10" s="21"/>
      <c r="G10" s="21"/>
      <c r="H10" s="23">
        <f>H8+H9</f>
        <v>207320.3999999979</v>
      </c>
      <c r="I10" s="24">
        <f>H10-H17</f>
        <v>-12.59999999939464</v>
      </c>
      <c r="J10" s="25">
        <f>I10/H10</f>
        <v>-6.0775495317367552E-5</v>
      </c>
    </row>
    <row r="11" spans="1:10" ht="15.75" x14ac:dyDescent="0.25">
      <c r="A11" s="27" t="s">
        <v>20</v>
      </c>
      <c r="B11" s="183" t="s">
        <v>13</v>
      </c>
      <c r="C11" s="183">
        <v>51217286</v>
      </c>
      <c r="D11" s="184" t="s">
        <v>21</v>
      </c>
      <c r="E11" s="183">
        <v>21000</v>
      </c>
      <c r="F11" s="21">
        <v>742.03980000000001</v>
      </c>
      <c r="G11" s="21">
        <v>745.90350000000001</v>
      </c>
      <c r="H11" s="18">
        <f t="shared" ref="H11:H16" si="0">(G11-F11)*E11</f>
        <v>81137.699999999881</v>
      </c>
      <c r="I11" s="19"/>
      <c r="J11" s="20"/>
    </row>
    <row r="12" spans="1:10" ht="15.75" x14ac:dyDescent="0.25">
      <c r="A12" s="27" t="s">
        <v>22</v>
      </c>
      <c r="B12" s="183" t="s">
        <v>13</v>
      </c>
      <c r="C12" s="183">
        <v>51217292</v>
      </c>
      <c r="D12" s="184" t="s">
        <v>21</v>
      </c>
      <c r="E12" s="183">
        <v>21000</v>
      </c>
      <c r="F12" s="28">
        <v>2.9518</v>
      </c>
      <c r="G12" s="28">
        <v>2.9773000000000001</v>
      </c>
      <c r="H12" s="18">
        <f>(G12-F12)*E12</f>
        <v>535.50000000000159</v>
      </c>
      <c r="I12" s="19"/>
      <c r="J12" s="20"/>
    </row>
    <row r="13" spans="1:10" ht="15.75" x14ac:dyDescent="0.25">
      <c r="A13" s="27" t="s">
        <v>23</v>
      </c>
      <c r="B13" s="183" t="s">
        <v>13</v>
      </c>
      <c r="C13" s="183">
        <v>51217271</v>
      </c>
      <c r="D13" s="184" t="s">
        <v>21</v>
      </c>
      <c r="E13" s="183">
        <v>21000</v>
      </c>
      <c r="F13" s="21">
        <v>538.70650000000001</v>
      </c>
      <c r="G13" s="21">
        <v>541.96799999999996</v>
      </c>
      <c r="H13" s="18">
        <f t="shared" si="0"/>
        <v>68491.499999999069</v>
      </c>
      <c r="I13" s="19"/>
      <c r="J13" s="20"/>
    </row>
    <row r="14" spans="1:10" ht="15.75" x14ac:dyDescent="0.25">
      <c r="A14" s="27" t="s">
        <v>24</v>
      </c>
      <c r="B14" s="183" t="s">
        <v>13</v>
      </c>
      <c r="C14" s="183">
        <v>51217276</v>
      </c>
      <c r="D14" s="184" t="s">
        <v>21</v>
      </c>
      <c r="E14" s="183">
        <v>21000</v>
      </c>
      <c r="F14" s="28">
        <v>0.40970000000000001</v>
      </c>
      <c r="G14" s="28">
        <v>0.41120000000000001</v>
      </c>
      <c r="H14" s="18">
        <f>(G14-F14)*E14</f>
        <v>31.500000000000028</v>
      </c>
      <c r="I14" s="19"/>
      <c r="J14" s="20"/>
    </row>
    <row r="15" spans="1:10" ht="15.75" x14ac:dyDescent="0.25">
      <c r="A15" s="27" t="s">
        <v>25</v>
      </c>
      <c r="B15" s="183" t="s">
        <v>13</v>
      </c>
      <c r="C15" s="183">
        <v>51100990</v>
      </c>
      <c r="D15" s="184" t="s">
        <v>21</v>
      </c>
      <c r="E15" s="183">
        <v>21000</v>
      </c>
      <c r="F15" s="29">
        <v>589.29780000000005</v>
      </c>
      <c r="G15" s="29">
        <v>592.00599999999997</v>
      </c>
      <c r="H15" s="18">
        <f t="shared" si="0"/>
        <v>56872.199999998316</v>
      </c>
      <c r="I15" s="19"/>
      <c r="J15" s="20"/>
    </row>
    <row r="16" spans="1:10" ht="15.75" x14ac:dyDescent="0.25">
      <c r="A16" s="27" t="s">
        <v>26</v>
      </c>
      <c r="B16" s="183" t="s">
        <v>13</v>
      </c>
      <c r="C16" s="183">
        <v>51097622</v>
      </c>
      <c r="D16" s="184" t="s">
        <v>21</v>
      </c>
      <c r="E16" s="183">
        <v>21000</v>
      </c>
      <c r="F16" s="21">
        <v>2.5840999999999998</v>
      </c>
      <c r="G16" s="21">
        <v>2.5966999999999998</v>
      </c>
      <c r="H16" s="18">
        <f t="shared" si="0"/>
        <v>264.59999999999883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83"/>
      <c r="D17" s="184"/>
      <c r="E17" s="183"/>
      <c r="F17" s="21"/>
      <c r="G17" s="21"/>
      <c r="H17" s="23">
        <f>H11+H12+H13+H14+H15+H16</f>
        <v>207332.99999999729</v>
      </c>
      <c r="I17" s="19"/>
      <c r="J17" s="20"/>
    </row>
    <row r="18" spans="1:10" ht="15.75" x14ac:dyDescent="0.25">
      <c r="A18" s="26" t="s">
        <v>29</v>
      </c>
      <c r="B18" s="183" t="s">
        <v>13</v>
      </c>
      <c r="C18" s="183">
        <v>51097617</v>
      </c>
      <c r="D18" s="184" t="s">
        <v>30</v>
      </c>
      <c r="E18" s="183">
        <v>18000</v>
      </c>
      <c r="F18" s="30">
        <v>692.06410000000005</v>
      </c>
      <c r="G18" s="30">
        <v>695.72829999999999</v>
      </c>
      <c r="H18" s="18">
        <f>(G18-F18)*E18</f>
        <v>65955.599999998871</v>
      </c>
      <c r="I18" s="19"/>
      <c r="J18" s="20"/>
    </row>
    <row r="19" spans="1:10" ht="15.75" x14ac:dyDescent="0.25">
      <c r="A19" s="26" t="s">
        <v>31</v>
      </c>
      <c r="B19" s="183" t="s">
        <v>13</v>
      </c>
      <c r="C19" s="183">
        <v>51097655</v>
      </c>
      <c r="D19" s="184" t="s">
        <v>30</v>
      </c>
      <c r="E19" s="183">
        <v>18000</v>
      </c>
      <c r="F19" s="30">
        <v>6.1279000000000003</v>
      </c>
      <c r="G19" s="30">
        <v>6.1279000000000003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83"/>
      <c r="D20" s="184"/>
      <c r="E20" s="183"/>
      <c r="F20" s="30"/>
      <c r="G20" s="30"/>
      <c r="H20" s="23">
        <f>H18+H19</f>
        <v>65955.599999998871</v>
      </c>
      <c r="I20" s="24">
        <f>H20-H35</f>
        <v>3864.5400000000227</v>
      </c>
      <c r="J20" s="25">
        <f>I20/H20</f>
        <v>5.8593053508725401E-2</v>
      </c>
    </row>
    <row r="21" spans="1:10" ht="15.75" x14ac:dyDescent="0.25">
      <c r="A21" s="15" t="s">
        <v>33</v>
      </c>
      <c r="B21" s="183" t="s">
        <v>13</v>
      </c>
      <c r="C21" s="183">
        <v>51217282</v>
      </c>
      <c r="D21" s="184" t="s">
        <v>34</v>
      </c>
      <c r="E21" s="183">
        <v>4800</v>
      </c>
      <c r="F21" s="21">
        <v>378.3732</v>
      </c>
      <c r="G21" s="21">
        <v>378.3732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83" t="s">
        <v>13</v>
      </c>
      <c r="C22" s="183">
        <v>51217274</v>
      </c>
      <c r="D22" s="184" t="s">
        <v>34</v>
      </c>
      <c r="E22" s="183">
        <v>4800</v>
      </c>
      <c r="F22" s="21">
        <v>1101.1536000000001</v>
      </c>
      <c r="G22" s="21">
        <v>1107.3164999999999</v>
      </c>
      <c r="H22" s="18">
        <f t="shared" si="1"/>
        <v>29581.919999999081</v>
      </c>
      <c r="I22" s="19"/>
      <c r="J22" s="20"/>
    </row>
    <row r="23" spans="1:10" ht="15.75" x14ac:dyDescent="0.25">
      <c r="A23" s="15" t="s">
        <v>36</v>
      </c>
      <c r="B23" s="183" t="s">
        <v>13</v>
      </c>
      <c r="C23" s="183">
        <v>51097664</v>
      </c>
      <c r="D23" s="184" t="s">
        <v>37</v>
      </c>
      <c r="E23" s="183">
        <v>600</v>
      </c>
      <c r="F23" s="21">
        <v>4.0492999999999997</v>
      </c>
      <c r="G23" s="21">
        <v>4.0693999999999999</v>
      </c>
      <c r="H23" s="18">
        <f t="shared" si="1"/>
        <v>12.060000000000137</v>
      </c>
      <c r="I23" s="19"/>
      <c r="J23" s="20"/>
    </row>
    <row r="24" spans="1:10" ht="15.75" x14ac:dyDescent="0.25">
      <c r="A24" s="15" t="s">
        <v>38</v>
      </c>
      <c r="B24" s="183" t="s">
        <v>13</v>
      </c>
      <c r="C24" s="183">
        <v>51097615</v>
      </c>
      <c r="D24" s="184" t="s">
        <v>37</v>
      </c>
      <c r="E24" s="183">
        <v>600</v>
      </c>
      <c r="F24" s="21">
        <v>29.270499999999998</v>
      </c>
      <c r="G24" s="21">
        <v>29.657</v>
      </c>
      <c r="H24" s="18">
        <f t="shared" si="1"/>
        <v>231.90000000000097</v>
      </c>
      <c r="I24" s="19"/>
      <c r="J24" s="20"/>
    </row>
    <row r="25" spans="1:10" ht="15.75" x14ac:dyDescent="0.25">
      <c r="A25" s="15" t="s">
        <v>39</v>
      </c>
      <c r="B25" s="183" t="s">
        <v>13</v>
      </c>
      <c r="C25" s="183">
        <v>51217264</v>
      </c>
      <c r="D25" s="184" t="s">
        <v>37</v>
      </c>
      <c r="E25" s="183">
        <v>600</v>
      </c>
      <c r="F25" s="21">
        <v>74.930800000000005</v>
      </c>
      <c r="G25" s="21">
        <v>75.643299999999996</v>
      </c>
      <c r="H25" s="18">
        <f t="shared" si="1"/>
        <v>427.49999999999488</v>
      </c>
      <c r="I25" s="19"/>
      <c r="J25" s="20"/>
    </row>
    <row r="26" spans="1:10" ht="15.75" x14ac:dyDescent="0.25">
      <c r="A26" s="15" t="s">
        <v>40</v>
      </c>
      <c r="B26" s="183" t="s">
        <v>13</v>
      </c>
      <c r="C26" s="183">
        <v>51217288</v>
      </c>
      <c r="D26" s="184" t="s">
        <v>37</v>
      </c>
      <c r="E26" s="183">
        <v>600</v>
      </c>
      <c r="F26" s="21">
        <v>19.191800000000001</v>
      </c>
      <c r="G26" s="21">
        <v>19.222899999999999</v>
      </c>
      <c r="H26" s="18">
        <f t="shared" si="1"/>
        <v>18.659999999999144</v>
      </c>
      <c r="I26" s="19" t="s">
        <v>27</v>
      </c>
      <c r="J26" s="20"/>
    </row>
    <row r="27" spans="1:10" ht="15.75" x14ac:dyDescent="0.25">
      <c r="A27" s="15" t="s">
        <v>41</v>
      </c>
      <c r="B27" s="183" t="s">
        <v>13</v>
      </c>
      <c r="C27" s="183">
        <v>51217279</v>
      </c>
      <c r="D27" s="184" t="s">
        <v>37</v>
      </c>
      <c r="E27" s="183">
        <v>600</v>
      </c>
      <c r="F27" s="21">
        <v>13.055199999999999</v>
      </c>
      <c r="G27" s="21">
        <v>13.11</v>
      </c>
      <c r="H27" s="18">
        <f t="shared" si="1"/>
        <v>32.880000000000109</v>
      </c>
      <c r="I27" s="19" t="s">
        <v>27</v>
      </c>
      <c r="J27" s="20"/>
    </row>
    <row r="28" spans="1:10" ht="15.75" x14ac:dyDescent="0.25">
      <c r="A28" s="15" t="s">
        <v>42</v>
      </c>
      <c r="B28" s="183" t="s">
        <v>13</v>
      </c>
      <c r="C28" s="183">
        <v>51217272</v>
      </c>
      <c r="D28" s="184" t="s">
        <v>37</v>
      </c>
      <c r="E28" s="183">
        <v>600</v>
      </c>
      <c r="F28" s="31">
        <v>12.807399999999999</v>
      </c>
      <c r="G28" s="31">
        <v>12.8611</v>
      </c>
      <c r="H28" s="18">
        <f t="shared" si="1"/>
        <v>32.220000000000582</v>
      </c>
      <c r="I28" s="19"/>
      <c r="J28" s="20"/>
    </row>
    <row r="29" spans="1:10" ht="15.75" x14ac:dyDescent="0.25">
      <c r="A29" s="15" t="s">
        <v>43</v>
      </c>
      <c r="B29" s="183" t="s">
        <v>13</v>
      </c>
      <c r="C29" s="183">
        <v>51616744</v>
      </c>
      <c r="D29" s="184">
        <f>300/5</f>
        <v>60</v>
      </c>
      <c r="E29" s="183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83" t="s">
        <v>13</v>
      </c>
      <c r="C30" s="183">
        <v>51555226</v>
      </c>
      <c r="D30" s="184">
        <f>300/5</f>
        <v>60</v>
      </c>
      <c r="E30" s="183">
        <v>3600</v>
      </c>
      <c r="F30" s="31">
        <v>346.89280000000002</v>
      </c>
      <c r="G30" s="31">
        <v>351.17599999999999</v>
      </c>
      <c r="H30" s="18">
        <f>(G30-F30)*E30</f>
        <v>15419.519999999875</v>
      </c>
      <c r="I30" s="19"/>
      <c r="J30" s="20"/>
    </row>
    <row r="31" spans="1:10" ht="15.75" x14ac:dyDescent="0.25">
      <c r="A31" s="15" t="s">
        <v>45</v>
      </c>
      <c r="B31" s="183" t="s">
        <v>13</v>
      </c>
      <c r="C31" s="183">
        <v>51097658</v>
      </c>
      <c r="D31" s="184" t="s">
        <v>34</v>
      </c>
      <c r="E31" s="183">
        <v>4800</v>
      </c>
      <c r="F31" s="31">
        <v>525.15970000000004</v>
      </c>
      <c r="G31" s="31">
        <v>528.47410000000002</v>
      </c>
      <c r="H31" s="18">
        <f t="shared" si="1"/>
        <v>15909.119999999893</v>
      </c>
      <c r="I31" s="19"/>
      <c r="J31" s="20"/>
    </row>
    <row r="32" spans="1:10" ht="15.75" x14ac:dyDescent="0.25">
      <c r="A32" s="15" t="s">
        <v>46</v>
      </c>
      <c r="B32" s="183" t="s">
        <v>13</v>
      </c>
      <c r="C32" s="183">
        <v>51097635</v>
      </c>
      <c r="D32" s="184" t="s">
        <v>34</v>
      </c>
      <c r="E32" s="183">
        <v>4800</v>
      </c>
      <c r="F32" s="31">
        <v>48.436999999999998</v>
      </c>
      <c r="G32" s="31">
        <v>48.437199999999997</v>
      </c>
      <c r="H32" s="18">
        <f t="shared" si="1"/>
        <v>0.95999999999776264</v>
      </c>
      <c r="I32" s="19"/>
      <c r="J32" s="20"/>
    </row>
    <row r="33" spans="1:10" ht="15.75" x14ac:dyDescent="0.25">
      <c r="A33" s="15" t="s">
        <v>47</v>
      </c>
      <c r="B33" s="183" t="s">
        <v>13</v>
      </c>
      <c r="C33" s="32">
        <v>51097633</v>
      </c>
      <c r="D33" s="184" t="s">
        <v>34</v>
      </c>
      <c r="E33" s="183">
        <v>4800</v>
      </c>
      <c r="F33" s="31">
        <v>91.781000000000006</v>
      </c>
      <c r="G33" s="31">
        <v>91.781000000000006</v>
      </c>
      <c r="H33" s="33">
        <f t="shared" si="1"/>
        <v>0</v>
      </c>
      <c r="I33" s="34"/>
      <c r="J33" s="35"/>
    </row>
    <row r="34" spans="1:10" ht="15.75" x14ac:dyDescent="0.25">
      <c r="A34" s="15" t="s">
        <v>116</v>
      </c>
      <c r="B34" s="183" t="s">
        <v>13</v>
      </c>
      <c r="C34" s="32">
        <v>51097662</v>
      </c>
      <c r="D34" s="184" t="s">
        <v>34</v>
      </c>
      <c r="E34" s="183">
        <v>4800</v>
      </c>
      <c r="F34" s="31">
        <v>1.3151999999999999</v>
      </c>
      <c r="G34" s="31">
        <v>1.4036</v>
      </c>
      <c r="H34" s="33">
        <f t="shared" si="1"/>
        <v>424.32000000000016</v>
      </c>
      <c r="I34" s="34"/>
      <c r="J34" s="35"/>
    </row>
    <row r="35" spans="1:10" ht="15.75" x14ac:dyDescent="0.25">
      <c r="A35" s="219" t="s">
        <v>48</v>
      </c>
      <c r="B35" s="220"/>
      <c r="C35" s="183"/>
      <c r="D35" s="184"/>
      <c r="E35" s="183"/>
      <c r="F35" s="36"/>
      <c r="G35" s="36"/>
      <c r="H35" s="23">
        <f>H21+H22+H23+H24+H25+H26+H27+H28+H29+H30+H31+H32+H33+H34</f>
        <v>62091.059999998848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83" t="s">
        <v>51</v>
      </c>
      <c r="C37" s="183">
        <v>51555209</v>
      </c>
      <c r="D37" s="184" t="s">
        <v>52</v>
      </c>
      <c r="E37" s="183">
        <v>7000</v>
      </c>
      <c r="F37" s="17">
        <v>3.9445000000000001</v>
      </c>
      <c r="G37" s="17">
        <v>3.9986999999999999</v>
      </c>
      <c r="H37" s="41">
        <f>(G37-F37)*E37</f>
        <v>379.39999999999861</v>
      </c>
      <c r="I37" s="42"/>
      <c r="J37" s="14"/>
    </row>
    <row r="38" spans="1:10" ht="15.75" x14ac:dyDescent="0.25">
      <c r="A38" s="15" t="s">
        <v>53</v>
      </c>
      <c r="B38" s="183" t="s">
        <v>51</v>
      </c>
      <c r="C38" s="183">
        <v>51555209</v>
      </c>
      <c r="D38" s="184" t="s">
        <v>52</v>
      </c>
      <c r="E38" s="183">
        <v>7000</v>
      </c>
      <c r="F38" s="21">
        <v>8.6898</v>
      </c>
      <c r="G38" s="21">
        <v>8.7294999999999998</v>
      </c>
      <c r="H38" s="18">
        <f>(G38-F38)*E38</f>
        <v>277.89999999999895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83" t="s">
        <v>51</v>
      </c>
      <c r="C40" s="183">
        <v>51097674</v>
      </c>
      <c r="D40" s="183" t="s">
        <v>14</v>
      </c>
      <c r="E40" s="183">
        <v>7200</v>
      </c>
      <c r="F40" s="21">
        <v>500.49799999999999</v>
      </c>
      <c r="G40" s="21">
        <v>502.90170000000001</v>
      </c>
      <c r="H40" s="18">
        <f>(G40-F40)*E40</f>
        <v>17306.640000000109</v>
      </c>
      <c r="I40" s="47"/>
      <c r="J40" s="20"/>
    </row>
    <row r="41" spans="1:10" ht="15.75" x14ac:dyDescent="0.25">
      <c r="A41" s="27" t="s">
        <v>56</v>
      </c>
      <c r="B41" s="183" t="s">
        <v>51</v>
      </c>
      <c r="C41" s="183">
        <v>51259257</v>
      </c>
      <c r="D41" s="183" t="s">
        <v>14</v>
      </c>
      <c r="E41" s="183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83"/>
      <c r="C42" s="183"/>
      <c r="D42" s="183"/>
      <c r="E42" s="183"/>
      <c r="F42" s="21"/>
      <c r="G42" s="21"/>
      <c r="H42" s="48">
        <f>H40+H41</f>
        <v>17306.640000000109</v>
      </c>
      <c r="I42" s="24">
        <f>H42-H50</f>
        <v>-116.47999999999593</v>
      </c>
      <c r="J42" s="25">
        <f>I42/H42</f>
        <v>-6.7303647617327914E-3</v>
      </c>
    </row>
    <row r="43" spans="1:10" ht="15.75" x14ac:dyDescent="0.25">
      <c r="A43" s="15" t="s">
        <v>58</v>
      </c>
      <c r="B43" s="183"/>
      <c r="C43" s="183"/>
      <c r="D43" s="184"/>
      <c r="E43" s="183"/>
      <c r="H43" s="18"/>
      <c r="I43" s="43"/>
      <c r="J43" s="20"/>
    </row>
    <row r="44" spans="1:10" ht="15.75" x14ac:dyDescent="0.25">
      <c r="A44" s="27" t="s">
        <v>59</v>
      </c>
      <c r="B44" s="183" t="s">
        <v>51</v>
      </c>
      <c r="C44" s="32">
        <v>51097648</v>
      </c>
      <c r="D44" s="183" t="s">
        <v>52</v>
      </c>
      <c r="E44" s="183">
        <v>1200</v>
      </c>
      <c r="F44" s="21">
        <v>409.55939999999998</v>
      </c>
      <c r="G44" s="21">
        <v>411.55540000000002</v>
      </c>
      <c r="H44" s="33">
        <f>(G44-F44)*E44</f>
        <v>2395.2000000000453</v>
      </c>
      <c r="I44" s="43"/>
      <c r="J44" s="20"/>
    </row>
    <row r="45" spans="1:10" ht="15.75" x14ac:dyDescent="0.25">
      <c r="A45" s="27" t="s">
        <v>60</v>
      </c>
      <c r="B45" s="183" t="s">
        <v>51</v>
      </c>
      <c r="C45" s="32">
        <v>50555043</v>
      </c>
      <c r="D45" s="183" t="s">
        <v>52</v>
      </c>
      <c r="E45" s="183">
        <v>1200</v>
      </c>
      <c r="F45" s="21">
        <v>1716.1130000000001</v>
      </c>
      <c r="G45" s="21">
        <v>1724.4697000000001</v>
      </c>
      <c r="H45" s="33">
        <f>(G45-F45)*E45</f>
        <v>10028.040000000055</v>
      </c>
      <c r="I45" s="43"/>
      <c r="J45" s="20"/>
    </row>
    <row r="46" spans="1:10" ht="15.75" x14ac:dyDescent="0.25">
      <c r="A46" s="27" t="s">
        <v>61</v>
      </c>
      <c r="B46" s="183" t="s">
        <v>51</v>
      </c>
      <c r="C46" s="32">
        <v>51259336</v>
      </c>
      <c r="D46" s="183" t="s">
        <v>62</v>
      </c>
      <c r="E46" s="183">
        <v>2400</v>
      </c>
      <c r="F46" s="21">
        <v>3.6027</v>
      </c>
      <c r="G46" s="21">
        <v>3.6164999999999998</v>
      </c>
      <c r="H46" s="33">
        <f>(G46-F46)*E46</f>
        <v>33.11999999999955</v>
      </c>
      <c r="I46" s="43"/>
      <c r="J46" s="20"/>
    </row>
    <row r="47" spans="1:10" ht="15.75" x14ac:dyDescent="0.25">
      <c r="A47" s="27" t="s">
        <v>63</v>
      </c>
      <c r="B47" s="183" t="s">
        <v>51</v>
      </c>
      <c r="C47" s="32">
        <v>51259266</v>
      </c>
      <c r="D47" s="183" t="s">
        <v>52</v>
      </c>
      <c r="E47" s="183">
        <v>1200</v>
      </c>
      <c r="F47" s="21">
        <v>833.31920000000002</v>
      </c>
      <c r="G47" s="21">
        <v>837.10090000000002</v>
      </c>
      <c r="H47" s="33">
        <f>(G47-F47)*E47</f>
        <v>4538.0400000000009</v>
      </c>
      <c r="I47" s="43"/>
      <c r="J47" s="20"/>
    </row>
    <row r="48" spans="1:10" ht="15.75" x14ac:dyDescent="0.25">
      <c r="A48" s="27" t="s">
        <v>64</v>
      </c>
      <c r="B48" s="183" t="s">
        <v>51</v>
      </c>
      <c r="C48" s="32">
        <v>51431336</v>
      </c>
      <c r="D48" s="183" t="s">
        <v>52</v>
      </c>
      <c r="E48" s="183">
        <v>1200</v>
      </c>
      <c r="F48" s="21">
        <v>44.915399999999998</v>
      </c>
      <c r="G48" s="21">
        <v>45.231000000000002</v>
      </c>
      <c r="H48" s="33">
        <f>(G48-F48)*E48</f>
        <v>378.72000000000412</v>
      </c>
      <c r="I48" s="43"/>
      <c r="J48" s="20"/>
    </row>
    <row r="49" spans="1:10" ht="15.75" x14ac:dyDescent="0.25">
      <c r="A49" s="15" t="s">
        <v>65</v>
      </c>
      <c r="B49" s="183" t="s">
        <v>66</v>
      </c>
      <c r="C49" s="183">
        <v>49174</v>
      </c>
      <c r="D49" s="184" t="s">
        <v>52</v>
      </c>
      <c r="E49" s="183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17423.120000000104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83" t="s">
        <v>51</v>
      </c>
      <c r="C52" s="183">
        <v>51097603</v>
      </c>
      <c r="D52" s="184" t="s">
        <v>52</v>
      </c>
      <c r="E52" s="183">
        <v>7000</v>
      </c>
      <c r="F52" s="17">
        <v>1665.1135999999999</v>
      </c>
      <c r="G52" s="17">
        <v>1674.0124000000001</v>
      </c>
      <c r="H52" s="18">
        <f>(G52-F52)*E52</f>
        <v>62291.600000001155</v>
      </c>
      <c r="I52" s="43"/>
      <c r="J52" s="20"/>
    </row>
    <row r="53" spans="1:10" ht="15.75" x14ac:dyDescent="0.25">
      <c r="A53" s="27" t="s">
        <v>71</v>
      </c>
      <c r="B53" s="183" t="s">
        <v>51</v>
      </c>
      <c r="C53" s="183">
        <v>51097590</v>
      </c>
      <c r="D53" s="184" t="s">
        <v>52</v>
      </c>
      <c r="E53" s="183">
        <v>7000</v>
      </c>
      <c r="F53" s="21">
        <v>9.8331</v>
      </c>
      <c r="G53" s="21">
        <v>9.9100999999999999</v>
      </c>
      <c r="H53" s="18">
        <f>(G53-F53)*E53</f>
        <v>538.99999999999966</v>
      </c>
      <c r="I53" s="43"/>
      <c r="J53" s="20"/>
    </row>
    <row r="54" spans="1:10" ht="15.75" x14ac:dyDescent="0.25">
      <c r="A54" s="15" t="s">
        <v>65</v>
      </c>
      <c r="B54" s="183" t="s">
        <v>66</v>
      </c>
      <c r="C54" s="183">
        <v>49174</v>
      </c>
      <c r="D54" s="184" t="s">
        <v>52</v>
      </c>
      <c r="E54" s="183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83"/>
      <c r="D55" s="184"/>
      <c r="E55" s="183"/>
      <c r="F55" s="21"/>
      <c r="G55" s="21"/>
      <c r="H55" s="48">
        <f>H52+H53+H54</f>
        <v>62930.600000001155</v>
      </c>
      <c r="I55" s="47"/>
      <c r="J55" s="59"/>
    </row>
    <row r="56" spans="1:10" ht="15.75" x14ac:dyDescent="0.25">
      <c r="A56" s="27" t="s">
        <v>73</v>
      </c>
      <c r="B56" s="183" t="s">
        <v>51</v>
      </c>
      <c r="C56" s="183">
        <v>51100980</v>
      </c>
      <c r="D56" s="183" t="s">
        <v>74</v>
      </c>
      <c r="E56" s="183">
        <v>12000</v>
      </c>
      <c r="F56" s="21">
        <v>979.37909999999999</v>
      </c>
      <c r="G56" s="21">
        <v>984.62279999999998</v>
      </c>
      <c r="H56" s="18">
        <f>(G56-F56)*E56</f>
        <v>62924.399999999878</v>
      </c>
      <c r="I56" s="47"/>
      <c r="J56" s="58"/>
    </row>
    <row r="57" spans="1:10" ht="15.75" x14ac:dyDescent="0.25">
      <c r="A57" s="27" t="s">
        <v>75</v>
      </c>
      <c r="B57" s="183" t="s">
        <v>51</v>
      </c>
      <c r="C57" s="183">
        <v>51097623</v>
      </c>
      <c r="D57" s="183" t="s">
        <v>74</v>
      </c>
      <c r="E57" s="183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83"/>
      <c r="C58" s="183"/>
      <c r="D58" s="183"/>
      <c r="E58" s="183"/>
      <c r="F58" s="21"/>
      <c r="G58" s="21"/>
      <c r="H58" s="48">
        <f>H56+H57</f>
        <v>62924.399999999878</v>
      </c>
      <c r="I58" s="61">
        <f>H55-H65-H54</f>
        <v>-224.83999999907974</v>
      </c>
      <c r="J58" s="25">
        <f>I58/H58</f>
        <v>-3.5731767009153869E-3</v>
      </c>
    </row>
    <row r="59" spans="1:10" ht="15.75" x14ac:dyDescent="0.25">
      <c r="A59" s="27" t="s">
        <v>77</v>
      </c>
      <c r="B59" s="183" t="s">
        <v>51</v>
      </c>
      <c r="C59" s="183">
        <v>51097675</v>
      </c>
      <c r="D59" s="183" t="s">
        <v>34</v>
      </c>
      <c r="E59" s="183">
        <v>4800</v>
      </c>
      <c r="F59" s="21">
        <v>388.68729999999999</v>
      </c>
      <c r="G59" s="21">
        <v>391.9239</v>
      </c>
      <c r="H59" s="18">
        <f t="shared" ref="H59:H64" si="2">(G59-F59)*E59</f>
        <v>15535.680000000048</v>
      </c>
      <c r="I59" s="62"/>
      <c r="J59" s="59"/>
    </row>
    <row r="60" spans="1:10" ht="15.75" x14ac:dyDescent="0.25">
      <c r="A60" s="27" t="s">
        <v>78</v>
      </c>
      <c r="B60" s="183" t="s">
        <v>51</v>
      </c>
      <c r="C60" s="183">
        <v>51100997</v>
      </c>
      <c r="D60" s="183" t="s">
        <v>21</v>
      </c>
      <c r="E60" s="183">
        <v>3600</v>
      </c>
      <c r="F60" s="21">
        <v>1251.0169000000001</v>
      </c>
      <c r="G60" s="21">
        <v>1256.7897</v>
      </c>
      <c r="H60" s="18">
        <f t="shared" si="2"/>
        <v>20782.07999999986</v>
      </c>
      <c r="I60" s="62"/>
      <c r="J60" s="59"/>
    </row>
    <row r="61" spans="1:10" ht="15.75" x14ac:dyDescent="0.25">
      <c r="A61" s="27" t="s">
        <v>79</v>
      </c>
      <c r="B61" s="183" t="s">
        <v>51</v>
      </c>
      <c r="C61" s="183">
        <v>51555218</v>
      </c>
      <c r="D61" s="183">
        <f>400/5</f>
        <v>80</v>
      </c>
      <c r="E61" s="183">
        <v>4800</v>
      </c>
      <c r="F61" s="21">
        <v>44.060299999999998</v>
      </c>
      <c r="G61" s="21">
        <v>44.517699999999998</v>
      </c>
      <c r="H61" s="18">
        <f t="shared" si="2"/>
        <v>2195.5199999999991</v>
      </c>
      <c r="I61" s="62"/>
      <c r="J61" s="59"/>
    </row>
    <row r="62" spans="1:10" ht="15.75" x14ac:dyDescent="0.25">
      <c r="A62" s="27" t="s">
        <v>80</v>
      </c>
      <c r="B62" s="183" t="s">
        <v>51</v>
      </c>
      <c r="C62" s="183">
        <v>51555151</v>
      </c>
      <c r="D62" s="183">
        <f>400/5</f>
        <v>80</v>
      </c>
      <c r="E62" s="183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83" t="s">
        <v>51</v>
      </c>
      <c r="C63" s="183">
        <v>51097599</v>
      </c>
      <c r="D63" s="183" t="s">
        <v>21</v>
      </c>
      <c r="E63" s="183">
        <v>3600</v>
      </c>
      <c r="F63" s="21">
        <v>872.58159999999998</v>
      </c>
      <c r="G63" s="21">
        <v>875.78060000000005</v>
      </c>
      <c r="H63" s="18">
        <f t="shared" si="2"/>
        <v>11516.400000000249</v>
      </c>
      <c r="I63" s="62"/>
      <c r="J63" s="59"/>
    </row>
    <row r="64" spans="1:10" ht="15.75" x14ac:dyDescent="0.25">
      <c r="A64" s="27" t="s">
        <v>82</v>
      </c>
      <c r="B64" s="183" t="s">
        <v>51</v>
      </c>
      <c r="C64" s="183">
        <v>51097620</v>
      </c>
      <c r="D64" s="183" t="s">
        <v>34</v>
      </c>
      <c r="E64" s="183">
        <v>4800</v>
      </c>
      <c r="F64" s="21">
        <v>411.84769999999997</v>
      </c>
      <c r="G64" s="21">
        <v>414.56139999999999</v>
      </c>
      <c r="H64" s="18">
        <f t="shared" si="2"/>
        <v>13025.760000000082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63055.440000000235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83" t="s">
        <v>51</v>
      </c>
      <c r="C67" s="9">
        <v>51259238</v>
      </c>
      <c r="D67" s="74" t="s">
        <v>52</v>
      </c>
      <c r="E67" s="74">
        <v>7000</v>
      </c>
      <c r="F67" s="75">
        <v>450.92419999999998</v>
      </c>
      <c r="G67" s="75">
        <v>453.82119999999998</v>
      </c>
      <c r="H67" s="76">
        <f>(G67-F67)*E67</f>
        <v>20278.999999999938</v>
      </c>
      <c r="I67" s="77"/>
      <c r="J67" s="78"/>
    </row>
    <row r="68" spans="1:10" ht="15.75" x14ac:dyDescent="0.25">
      <c r="A68" s="27" t="s">
        <v>85</v>
      </c>
      <c r="B68" s="183" t="s">
        <v>51</v>
      </c>
      <c r="C68" s="183">
        <v>51259324</v>
      </c>
      <c r="D68" s="184" t="s">
        <v>52</v>
      </c>
      <c r="E68" s="184">
        <v>7000</v>
      </c>
      <c r="F68" s="21">
        <v>346.3734</v>
      </c>
      <c r="G68" s="21">
        <v>348.62360000000001</v>
      </c>
      <c r="H68" s="18">
        <f>(G68-F68)*E68</f>
        <v>15751.400000000047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83">
        <v>51491618</v>
      </c>
      <c r="D69" s="184" t="s">
        <v>62</v>
      </c>
      <c r="E69" s="183">
        <v>40</v>
      </c>
      <c r="F69" s="28">
        <v>838.70249999999999</v>
      </c>
      <c r="G69" s="28">
        <v>849.75250000000005</v>
      </c>
      <c r="H69" s="18">
        <f>(G69-F69)*E69</f>
        <v>442.00000000000273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83">
        <v>51491624</v>
      </c>
      <c r="D70" s="184" t="s">
        <v>62</v>
      </c>
      <c r="E70" s="183">
        <v>40</v>
      </c>
      <c r="F70" s="28">
        <v>115.8515</v>
      </c>
      <c r="G70" s="28">
        <v>117.011</v>
      </c>
      <c r="H70" s="18">
        <f>(G70-F70)*E70</f>
        <v>46.379999999999768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36030.399999999987</v>
      </c>
      <c r="I71" s="85">
        <f>H71-H74-H69-H70</f>
        <v>-1277.580000000276</v>
      </c>
      <c r="J71" s="25">
        <f>I71/H71</f>
        <v>-3.545839069231195E-2</v>
      </c>
    </row>
    <row r="72" spans="1:10" ht="15.75" x14ac:dyDescent="0.25">
      <c r="A72" s="27" t="s">
        <v>90</v>
      </c>
      <c r="B72" s="183" t="s">
        <v>51</v>
      </c>
      <c r="C72" s="86">
        <v>51097588</v>
      </c>
      <c r="D72" s="184" t="s">
        <v>74</v>
      </c>
      <c r="E72" s="183">
        <v>12000</v>
      </c>
      <c r="F72" s="21">
        <v>272.86869999999999</v>
      </c>
      <c r="G72" s="21">
        <v>274.57670000000002</v>
      </c>
      <c r="H72" s="18">
        <f>(G72-F72)*E72</f>
        <v>20496.00000000032</v>
      </c>
      <c r="I72" s="51"/>
      <c r="J72" s="58"/>
    </row>
    <row r="73" spans="1:10" ht="15.75" x14ac:dyDescent="0.25">
      <c r="A73" s="27" t="s">
        <v>91</v>
      </c>
      <c r="B73" s="183" t="s">
        <v>51</v>
      </c>
      <c r="C73" s="86">
        <v>51431335</v>
      </c>
      <c r="D73" s="184" t="s">
        <v>74</v>
      </c>
      <c r="E73" s="183">
        <v>12000</v>
      </c>
      <c r="F73" s="21">
        <v>212.76949999999999</v>
      </c>
      <c r="G73" s="21">
        <v>214.12979999999999</v>
      </c>
      <c r="H73" s="18">
        <f>(G73-F73)*E73</f>
        <v>16323.599999999942</v>
      </c>
      <c r="I73" s="51"/>
      <c r="J73" s="58"/>
    </row>
    <row r="74" spans="1:10" ht="15.75" x14ac:dyDescent="0.25">
      <c r="A74" s="87" t="s">
        <v>92</v>
      </c>
      <c r="B74" s="183" t="s">
        <v>27</v>
      </c>
      <c r="C74" s="183"/>
      <c r="D74" s="184"/>
      <c r="E74" s="183"/>
      <c r="F74" s="21"/>
      <c r="G74" s="21"/>
      <c r="H74" s="48">
        <f>H72+ H73</f>
        <v>36819.60000000026</v>
      </c>
      <c r="I74" s="85">
        <f>H74-H82</f>
        <v>-83.519999999618449</v>
      </c>
      <c r="J74" s="25">
        <f>I74/H74</f>
        <v>-2.2683570706802316E-3</v>
      </c>
    </row>
    <row r="75" spans="1:10" ht="15.75" x14ac:dyDescent="0.25">
      <c r="A75" s="27" t="s">
        <v>93</v>
      </c>
      <c r="B75" s="183" t="s">
        <v>51</v>
      </c>
      <c r="C75" s="86">
        <v>51097676</v>
      </c>
      <c r="D75" s="88" t="s">
        <v>62</v>
      </c>
      <c r="E75" s="183">
        <v>2400</v>
      </c>
      <c r="F75" s="21">
        <v>552.6404</v>
      </c>
      <c r="G75" s="21">
        <v>556.74199999999996</v>
      </c>
      <c r="H75" s="18">
        <f>(G75-F75)*E75</f>
        <v>9843.8399999999092</v>
      </c>
      <c r="I75" s="51"/>
      <c r="J75" s="58"/>
    </row>
    <row r="76" spans="1:10" ht="15.75" x14ac:dyDescent="0.25">
      <c r="A76" s="27" t="s">
        <v>94</v>
      </c>
      <c r="B76" s="183" t="s">
        <v>51</v>
      </c>
      <c r="C76" s="86">
        <v>51431355</v>
      </c>
      <c r="D76" s="184" t="s">
        <v>21</v>
      </c>
      <c r="E76" s="184">
        <v>3600</v>
      </c>
      <c r="F76" s="21">
        <v>313.82389999999998</v>
      </c>
      <c r="G76" s="21">
        <v>315.03309999999999</v>
      </c>
      <c r="H76" s="18">
        <f>(G76-F76)*E76</f>
        <v>4353.1200000000354</v>
      </c>
      <c r="I76" s="51"/>
      <c r="J76" s="52"/>
    </row>
    <row r="77" spans="1:10" ht="15.75" x14ac:dyDescent="0.25">
      <c r="A77" s="27" t="s">
        <v>95</v>
      </c>
      <c r="B77" s="183" t="s">
        <v>51</v>
      </c>
      <c r="C77" s="86">
        <v>51259331</v>
      </c>
      <c r="D77" s="88" t="s">
        <v>37</v>
      </c>
      <c r="E77" s="183">
        <v>600</v>
      </c>
      <c r="F77" s="21">
        <v>128.0489</v>
      </c>
      <c r="G77" s="21">
        <v>129.18690000000001</v>
      </c>
      <c r="H77" s="18">
        <f>(G77-F77)*E77</f>
        <v>682.80000000000314</v>
      </c>
      <c r="I77" s="51"/>
      <c r="J77" s="52"/>
    </row>
    <row r="78" spans="1:10" ht="15.75" x14ac:dyDescent="0.25">
      <c r="A78" s="27" t="s">
        <v>96</v>
      </c>
      <c r="B78" s="183" t="s">
        <v>51</v>
      </c>
      <c r="C78" s="86">
        <v>51259326</v>
      </c>
      <c r="D78" s="88" t="s">
        <v>14</v>
      </c>
      <c r="E78" s="183">
        <v>7200</v>
      </c>
      <c r="F78" s="21">
        <v>274.99250000000001</v>
      </c>
      <c r="G78" s="21">
        <v>276.48439999999999</v>
      </c>
      <c r="H78" s="18">
        <f>(G78-F78)*E78</f>
        <v>10741.679999999906</v>
      </c>
      <c r="I78" s="51"/>
      <c r="J78" s="52"/>
    </row>
    <row r="79" spans="1:10" ht="15.75" x14ac:dyDescent="0.25">
      <c r="A79" s="27" t="s">
        <v>97</v>
      </c>
      <c r="B79" s="183" t="s">
        <v>51</v>
      </c>
      <c r="C79" s="86">
        <v>51431351</v>
      </c>
      <c r="D79" s="88" t="s">
        <v>14</v>
      </c>
      <c r="E79" s="183">
        <v>7200</v>
      </c>
      <c r="F79" s="21">
        <v>184.0821</v>
      </c>
      <c r="G79" s="21">
        <v>185.649</v>
      </c>
      <c r="H79" s="18">
        <f>(G79-F79)*E79</f>
        <v>11281.680000000029</v>
      </c>
      <c r="I79" s="51"/>
      <c r="J79" s="52"/>
    </row>
    <row r="80" spans="1:10" ht="15.75" x14ac:dyDescent="0.25">
      <c r="A80" s="89" t="s">
        <v>98</v>
      </c>
      <c r="B80" s="183" t="s">
        <v>51</v>
      </c>
      <c r="C80" s="90">
        <v>51097666</v>
      </c>
      <c r="D80" s="88" t="s">
        <v>62</v>
      </c>
      <c r="E80" s="183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83" t="s">
        <v>51</v>
      </c>
      <c r="C81" s="90">
        <v>51259323</v>
      </c>
      <c r="D81" s="88" t="s">
        <v>62</v>
      </c>
      <c r="E81" s="183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36903.119999999879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83" t="s">
        <v>51</v>
      </c>
      <c r="C84" s="106">
        <v>51431297</v>
      </c>
      <c r="D84" s="184" t="s">
        <v>52</v>
      </c>
      <c r="E84" s="100">
        <v>7000</v>
      </c>
      <c r="F84" s="17">
        <v>228.78319999999999</v>
      </c>
      <c r="G84" s="17">
        <v>231.28819999999999</v>
      </c>
      <c r="H84" s="18">
        <f>(G84-F84)*E84</f>
        <v>17534.999999999967</v>
      </c>
      <c r="I84" s="107"/>
      <c r="J84" s="108"/>
    </row>
    <row r="85" spans="1:10" ht="15.75" x14ac:dyDescent="0.25">
      <c r="A85" s="105" t="s">
        <v>85</v>
      </c>
      <c r="B85" s="183" t="s">
        <v>51</v>
      </c>
      <c r="C85" s="106">
        <v>51431332</v>
      </c>
      <c r="D85" s="184" t="s">
        <v>52</v>
      </c>
      <c r="E85" s="100">
        <v>7000</v>
      </c>
      <c r="F85" s="21">
        <v>306.50670000000002</v>
      </c>
      <c r="G85" s="21">
        <v>306.66120000000001</v>
      </c>
      <c r="H85" s="18">
        <f>(G85-F85)*E85</f>
        <v>1081.4999999998918</v>
      </c>
      <c r="I85" s="183"/>
      <c r="J85" s="58"/>
    </row>
    <row r="86" spans="1:10" ht="15.75" x14ac:dyDescent="0.25">
      <c r="A86" s="27" t="s">
        <v>86</v>
      </c>
      <c r="B86" s="183" t="s">
        <v>102</v>
      </c>
      <c r="C86" s="109">
        <v>150773</v>
      </c>
      <c r="D86" s="184" t="s">
        <v>52</v>
      </c>
      <c r="E86" s="109">
        <v>20</v>
      </c>
      <c r="F86" s="17">
        <v>15338</v>
      </c>
      <c r="G86" s="17">
        <v>15347.6</v>
      </c>
      <c r="H86" s="18">
        <f>(G86-F86)*E86</f>
        <v>192.00000000000728</v>
      </c>
      <c r="I86" s="51"/>
      <c r="J86" s="58"/>
    </row>
    <row r="87" spans="1:10" ht="15.75" x14ac:dyDescent="0.25">
      <c r="A87" s="27" t="s">
        <v>88</v>
      </c>
      <c r="B87" s="183" t="s">
        <v>102</v>
      </c>
      <c r="C87" s="109">
        <v>150791</v>
      </c>
      <c r="D87" s="184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85"/>
      <c r="C88" s="32"/>
      <c r="D88" s="82"/>
      <c r="E88" s="82"/>
      <c r="F88" s="21"/>
      <c r="G88" s="21"/>
      <c r="H88" s="48">
        <f>H84+H85</f>
        <v>18616.499999999858</v>
      </c>
      <c r="I88" s="85">
        <f>H88-H91-H86-H87</f>
        <v>437.94000000002416</v>
      </c>
      <c r="J88" s="25">
        <f>I88/H88</f>
        <v>2.3524292965918809E-2</v>
      </c>
    </row>
    <row r="89" spans="1:10" ht="15.75" x14ac:dyDescent="0.25">
      <c r="A89" s="27" t="s">
        <v>103</v>
      </c>
      <c r="B89" s="183" t="s">
        <v>51</v>
      </c>
      <c r="C89" s="106">
        <v>51431342</v>
      </c>
      <c r="D89" s="88" t="s">
        <v>34</v>
      </c>
      <c r="E89" s="183">
        <v>4800</v>
      </c>
      <c r="F89" s="21">
        <v>324.04079999999999</v>
      </c>
      <c r="G89" s="21">
        <v>327.6481</v>
      </c>
      <c r="H89" s="18">
        <f>(G89-F89)*E89</f>
        <v>17315.040000000045</v>
      </c>
      <c r="I89" s="51"/>
      <c r="J89" s="52"/>
    </row>
    <row r="90" spans="1:10" ht="15.75" x14ac:dyDescent="0.25">
      <c r="A90" s="27" t="s">
        <v>104</v>
      </c>
      <c r="B90" s="183" t="s">
        <v>51</v>
      </c>
      <c r="C90" s="106">
        <v>51431343</v>
      </c>
      <c r="D90" s="88" t="s">
        <v>34</v>
      </c>
      <c r="E90" s="183">
        <v>4800</v>
      </c>
      <c r="F90" s="21">
        <v>434.16430000000003</v>
      </c>
      <c r="G90" s="21">
        <v>434.30419999999998</v>
      </c>
      <c r="H90" s="18">
        <f>(G90-F90)*E90</f>
        <v>671.51999999978216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17986.559999999827</v>
      </c>
      <c r="I91" s="85">
        <f>H91-H99</f>
        <v>-120.84000000016022</v>
      </c>
      <c r="J91" s="25">
        <f>I91/H91</f>
        <v>-6.7183497011191343E-3</v>
      </c>
    </row>
    <row r="92" spans="1:10" ht="15.75" x14ac:dyDescent="0.25">
      <c r="A92" s="27" t="s">
        <v>106</v>
      </c>
      <c r="B92" s="183" t="s">
        <v>51</v>
      </c>
      <c r="C92" s="106">
        <v>51431347</v>
      </c>
      <c r="D92" s="184" t="s">
        <v>52</v>
      </c>
      <c r="E92" s="183">
        <v>1200</v>
      </c>
      <c r="F92" s="21">
        <v>958.84389999999996</v>
      </c>
      <c r="G92" s="21">
        <v>958.84389999999996</v>
      </c>
      <c r="H92" s="18">
        <f t="shared" ref="H92:H100" si="4">(G92-F92)*E92</f>
        <v>0</v>
      </c>
      <c r="I92" s="51"/>
      <c r="J92" s="52"/>
    </row>
    <row r="93" spans="1:10" ht="15.75" x14ac:dyDescent="0.25">
      <c r="A93" s="27" t="s">
        <v>107</v>
      </c>
      <c r="B93" s="183" t="s">
        <v>51</v>
      </c>
      <c r="C93" s="106">
        <v>51431339</v>
      </c>
      <c r="D93" s="184" t="s">
        <v>52</v>
      </c>
      <c r="E93" s="183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83" t="s">
        <v>51</v>
      </c>
      <c r="C94" s="106">
        <v>51217244</v>
      </c>
      <c r="D94" s="183" t="s">
        <v>37</v>
      </c>
      <c r="E94" s="183">
        <v>600</v>
      </c>
      <c r="F94" s="30">
        <v>258.23869999999999</v>
      </c>
      <c r="G94" s="30">
        <v>259.24189999999999</v>
      </c>
      <c r="H94" s="18">
        <f t="shared" si="4"/>
        <v>601.91999999999553</v>
      </c>
      <c r="I94" s="51"/>
      <c r="J94" s="52"/>
    </row>
    <row r="95" spans="1:10" ht="15.75" x14ac:dyDescent="0.25">
      <c r="A95" s="27" t="s">
        <v>109</v>
      </c>
      <c r="B95" s="183" t="s">
        <v>51</v>
      </c>
      <c r="C95" s="106">
        <v>51217267</v>
      </c>
      <c r="D95" s="88" t="s">
        <v>62</v>
      </c>
      <c r="E95" s="183">
        <v>2400</v>
      </c>
      <c r="F95" s="30">
        <v>19.072199999999999</v>
      </c>
      <c r="G95" s="30">
        <v>19.1036</v>
      </c>
      <c r="H95" s="18">
        <f t="shared" si="4"/>
        <v>75.360000000003424</v>
      </c>
      <c r="I95" s="51"/>
      <c r="J95" s="52"/>
    </row>
    <row r="96" spans="1:10" ht="15.75" x14ac:dyDescent="0.25">
      <c r="A96" s="27" t="s">
        <v>110</v>
      </c>
      <c r="B96" s="183" t="s">
        <v>51</v>
      </c>
      <c r="C96" s="183">
        <v>51555165</v>
      </c>
      <c r="D96" s="184" t="s">
        <v>52</v>
      </c>
      <c r="E96" s="183">
        <v>1200</v>
      </c>
      <c r="F96" s="30">
        <v>760.21910000000003</v>
      </c>
      <c r="G96" s="30">
        <v>768.83820000000003</v>
      </c>
      <c r="H96" s="18">
        <f t="shared" si="4"/>
        <v>10342.920000000004</v>
      </c>
      <c r="I96" s="51" t="s">
        <v>27</v>
      </c>
      <c r="J96" s="52"/>
    </row>
    <row r="97" spans="1:10" ht="15.75" x14ac:dyDescent="0.25">
      <c r="A97" s="113" t="s">
        <v>111</v>
      </c>
      <c r="B97" s="183" t="s">
        <v>51</v>
      </c>
      <c r="C97" s="106">
        <v>51431346</v>
      </c>
      <c r="D97" s="114" t="s">
        <v>37</v>
      </c>
      <c r="E97" s="114">
        <v>600</v>
      </c>
      <c r="F97" s="30">
        <v>308.12900000000002</v>
      </c>
      <c r="G97" s="30">
        <v>310.37979999999999</v>
      </c>
      <c r="H97" s="115">
        <f t="shared" si="4"/>
        <v>1350.4799999999818</v>
      </c>
      <c r="I97" s="116"/>
      <c r="J97" s="117"/>
    </row>
    <row r="98" spans="1:10" ht="15.75" x14ac:dyDescent="0.25">
      <c r="A98" s="27" t="s">
        <v>112</v>
      </c>
      <c r="B98" s="183" t="s">
        <v>51</v>
      </c>
      <c r="C98" s="106">
        <v>51431352</v>
      </c>
      <c r="D98" s="88" t="s">
        <v>21</v>
      </c>
      <c r="E98" s="183">
        <v>3600</v>
      </c>
      <c r="F98" s="21">
        <v>167.72040000000001</v>
      </c>
      <c r="G98" s="21">
        <v>169.26060000000001</v>
      </c>
      <c r="H98" s="18">
        <f t="shared" si="4"/>
        <v>5544.7199999999957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18107.399999999987</v>
      </c>
      <c r="I99" s="51"/>
      <c r="J99" s="52"/>
    </row>
    <row r="100" spans="1:10" ht="15.75" x14ac:dyDescent="0.25">
      <c r="A100" s="45" t="s">
        <v>113</v>
      </c>
      <c r="B100" s="183" t="s">
        <v>51</v>
      </c>
      <c r="C100" s="120">
        <v>51431357</v>
      </c>
      <c r="D100" s="184" t="s">
        <v>62</v>
      </c>
      <c r="E100" s="184">
        <v>14000</v>
      </c>
      <c r="F100" s="28">
        <v>697.31949999999995</v>
      </c>
      <c r="G100" s="28">
        <v>700.24170000000004</v>
      </c>
      <c r="H100" s="121">
        <f t="shared" si="4"/>
        <v>40910.800000001247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activeCell="G34" sqref="G34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145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147</v>
      </c>
      <c r="G3" s="4" t="s">
        <v>148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86" t="s">
        <v>13</v>
      </c>
      <c r="C5" s="186">
        <v>51555166</v>
      </c>
      <c r="D5" s="186" t="s">
        <v>14</v>
      </c>
      <c r="E5" s="186">
        <v>132000</v>
      </c>
      <c r="F5" s="17">
        <v>2.4495</v>
      </c>
      <c r="G5" s="17">
        <v>2.4611999999999998</v>
      </c>
      <c r="H5" s="18">
        <f>(G5-F5)*E5</f>
        <v>1544.3999999999764</v>
      </c>
      <c r="I5" s="19"/>
      <c r="J5" s="20"/>
    </row>
    <row r="6" spans="1:10" ht="15.75" x14ac:dyDescent="0.25">
      <c r="A6" s="15" t="s">
        <v>15</v>
      </c>
      <c r="B6" s="186" t="s">
        <v>13</v>
      </c>
      <c r="C6" s="186">
        <v>51555191</v>
      </c>
      <c r="D6" s="186" t="s">
        <v>14</v>
      </c>
      <c r="E6" s="186">
        <v>132000</v>
      </c>
      <c r="F6" s="21">
        <v>296.83100000000002</v>
      </c>
      <c r="G6" s="21">
        <v>298.83390000000003</v>
      </c>
      <c r="H6" s="18">
        <f>(G6-F6)*E6</f>
        <v>264382.80000000144</v>
      </c>
      <c r="I6" s="19"/>
      <c r="J6" s="20"/>
    </row>
    <row r="7" spans="1:10" ht="15.75" x14ac:dyDescent="0.25">
      <c r="A7" s="219" t="s">
        <v>16</v>
      </c>
      <c r="B7" s="220"/>
      <c r="C7" s="186"/>
      <c r="D7" s="187"/>
      <c r="E7" s="186"/>
      <c r="H7" s="23">
        <f>H5+H6</f>
        <v>265927.20000000141</v>
      </c>
      <c r="I7" s="24">
        <f>H7-H10-H20</f>
        <v>2502.5999999970372</v>
      </c>
      <c r="J7" s="25">
        <f>I7/H7</f>
        <v>9.4108462767141677E-3</v>
      </c>
    </row>
    <row r="8" spans="1:10" ht="15.75" x14ac:dyDescent="0.25">
      <c r="A8" s="26" t="s">
        <v>17</v>
      </c>
      <c r="B8" s="186" t="s">
        <v>13</v>
      </c>
      <c r="C8" s="186">
        <v>51097629</v>
      </c>
      <c r="D8" s="187" t="s">
        <v>14</v>
      </c>
      <c r="E8" s="186">
        <v>42000</v>
      </c>
      <c r="F8" s="21">
        <v>937.65189999999996</v>
      </c>
      <c r="G8" s="21">
        <v>942.13660000000004</v>
      </c>
      <c r="H8" s="18">
        <f>(G8-F8)*E8</f>
        <v>188357.40000000375</v>
      </c>
      <c r="I8" s="19"/>
      <c r="J8" s="20"/>
    </row>
    <row r="9" spans="1:10" ht="15.75" x14ac:dyDescent="0.25">
      <c r="A9" s="26" t="s">
        <v>18</v>
      </c>
      <c r="B9" s="186" t="s">
        <v>13</v>
      </c>
      <c r="C9" s="186">
        <v>51616820</v>
      </c>
      <c r="D9" s="187" t="s">
        <v>14</v>
      </c>
      <c r="E9" s="186">
        <v>42000</v>
      </c>
      <c r="F9" s="21">
        <v>4.0125999999999999</v>
      </c>
      <c r="G9" s="21">
        <v>4.0359999999999996</v>
      </c>
      <c r="H9" s="18">
        <f>(G9-F9)*E9</f>
        <v>982.79999999998506</v>
      </c>
      <c r="I9" s="19"/>
      <c r="J9" s="20"/>
    </row>
    <row r="10" spans="1:10" ht="15.75" x14ac:dyDescent="0.25">
      <c r="A10" s="219" t="s">
        <v>19</v>
      </c>
      <c r="B10" s="220"/>
      <c r="C10" s="186"/>
      <c r="D10" s="187"/>
      <c r="E10" s="186"/>
      <c r="F10" s="21"/>
      <c r="G10" s="21"/>
      <c r="H10" s="23">
        <f>H8+H9</f>
        <v>189340.20000000374</v>
      </c>
      <c r="I10" s="24">
        <f>H10-H17</f>
        <v>16.800000004615868</v>
      </c>
      <c r="J10" s="25">
        <f>I10/H10</f>
        <v>8.8729176395797285E-5</v>
      </c>
    </row>
    <row r="11" spans="1:10" ht="15.75" x14ac:dyDescent="0.25">
      <c r="A11" s="27" t="s">
        <v>20</v>
      </c>
      <c r="B11" s="186" t="s">
        <v>13</v>
      </c>
      <c r="C11" s="186">
        <v>51217286</v>
      </c>
      <c r="D11" s="187" t="s">
        <v>21</v>
      </c>
      <c r="E11" s="186">
        <v>21000</v>
      </c>
      <c r="F11" s="21">
        <v>745.90350000000001</v>
      </c>
      <c r="G11" s="21">
        <v>749.33939999999996</v>
      </c>
      <c r="H11" s="18">
        <f t="shared" ref="H11:H16" si="0">(G11-F11)*E11</f>
        <v>72153.899999998888</v>
      </c>
      <c r="I11" s="19"/>
      <c r="J11" s="20"/>
    </row>
    <row r="12" spans="1:10" ht="15.75" x14ac:dyDescent="0.25">
      <c r="A12" s="27" t="s">
        <v>22</v>
      </c>
      <c r="B12" s="186" t="s">
        <v>13</v>
      </c>
      <c r="C12" s="186">
        <v>51217292</v>
      </c>
      <c r="D12" s="187" t="s">
        <v>21</v>
      </c>
      <c r="E12" s="186">
        <v>21000</v>
      </c>
      <c r="F12" s="28">
        <v>2.9773000000000001</v>
      </c>
      <c r="G12" s="28">
        <v>3.0028000000000001</v>
      </c>
      <c r="H12" s="18">
        <f>(G12-F12)*E12</f>
        <v>535.50000000000159</v>
      </c>
      <c r="I12" s="19"/>
      <c r="J12" s="20"/>
    </row>
    <row r="13" spans="1:10" ht="15.75" x14ac:dyDescent="0.25">
      <c r="A13" s="27" t="s">
        <v>23</v>
      </c>
      <c r="B13" s="186" t="s">
        <v>13</v>
      </c>
      <c r="C13" s="186">
        <v>51217271</v>
      </c>
      <c r="D13" s="187" t="s">
        <v>21</v>
      </c>
      <c r="E13" s="186">
        <v>21000</v>
      </c>
      <c r="F13" s="21">
        <v>541.96799999999996</v>
      </c>
      <c r="G13" s="21">
        <v>544.86919999999998</v>
      </c>
      <c r="H13" s="18">
        <f t="shared" si="0"/>
        <v>60925.200000000361</v>
      </c>
      <c r="I13" s="19"/>
      <c r="J13" s="20"/>
    </row>
    <row r="14" spans="1:10" ht="15.75" x14ac:dyDescent="0.25">
      <c r="A14" s="27" t="s">
        <v>24</v>
      </c>
      <c r="B14" s="186" t="s">
        <v>13</v>
      </c>
      <c r="C14" s="186">
        <v>51217276</v>
      </c>
      <c r="D14" s="187" t="s">
        <v>21</v>
      </c>
      <c r="E14" s="186">
        <v>21000</v>
      </c>
      <c r="F14" s="28">
        <v>0.41120000000000001</v>
      </c>
      <c r="G14" s="28">
        <v>0.41489999999999999</v>
      </c>
      <c r="H14" s="18">
        <f>(G14-F14)*E14</f>
        <v>77.699999999999605</v>
      </c>
      <c r="I14" s="19"/>
      <c r="J14" s="20"/>
    </row>
    <row r="15" spans="1:10" ht="15.75" x14ac:dyDescent="0.25">
      <c r="A15" s="27" t="s">
        <v>25</v>
      </c>
      <c r="B15" s="186" t="s">
        <v>13</v>
      </c>
      <c r="C15" s="186">
        <v>51100990</v>
      </c>
      <c r="D15" s="187" t="s">
        <v>21</v>
      </c>
      <c r="E15" s="186">
        <v>21000</v>
      </c>
      <c r="F15" s="29">
        <v>592.00599999999997</v>
      </c>
      <c r="G15" s="29">
        <v>594.64189999999996</v>
      </c>
      <c r="H15" s="18">
        <f t="shared" si="0"/>
        <v>55353.899999999841</v>
      </c>
      <c r="I15" s="19"/>
      <c r="J15" s="20"/>
    </row>
    <row r="16" spans="1:10" ht="15.75" x14ac:dyDescent="0.25">
      <c r="A16" s="27" t="s">
        <v>26</v>
      </c>
      <c r="B16" s="186" t="s">
        <v>13</v>
      </c>
      <c r="C16" s="186">
        <v>51097622</v>
      </c>
      <c r="D16" s="187" t="s">
        <v>21</v>
      </c>
      <c r="E16" s="186">
        <v>21000</v>
      </c>
      <c r="F16" s="21">
        <v>2.5966999999999998</v>
      </c>
      <c r="G16" s="21">
        <v>2.6099000000000001</v>
      </c>
      <c r="H16" s="18">
        <f t="shared" si="0"/>
        <v>277.20000000000675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86"/>
      <c r="D17" s="187"/>
      <c r="E17" s="186"/>
      <c r="F17" s="21"/>
      <c r="G17" s="21"/>
      <c r="H17" s="23">
        <f>H11+H12+H13+H14+H15+H16</f>
        <v>189323.39999999912</v>
      </c>
      <c r="I17" s="19"/>
      <c r="J17" s="20"/>
    </row>
    <row r="18" spans="1:10" ht="15.75" x14ac:dyDescent="0.25">
      <c r="A18" s="26" t="s">
        <v>29</v>
      </c>
      <c r="B18" s="186" t="s">
        <v>13</v>
      </c>
      <c r="C18" s="186">
        <v>51097617</v>
      </c>
      <c r="D18" s="187" t="s">
        <v>30</v>
      </c>
      <c r="E18" s="186">
        <v>18000</v>
      </c>
      <c r="F18" s="30">
        <v>695.72829999999999</v>
      </c>
      <c r="G18" s="30">
        <v>699.84410000000003</v>
      </c>
      <c r="H18" s="18">
        <f>(G18-F18)*E18</f>
        <v>74084.400000000634</v>
      </c>
      <c r="I18" s="19"/>
      <c r="J18" s="20"/>
    </row>
    <row r="19" spans="1:10" ht="15.75" x14ac:dyDescent="0.25">
      <c r="A19" s="26" t="s">
        <v>31</v>
      </c>
      <c r="B19" s="186" t="s">
        <v>13</v>
      </c>
      <c r="C19" s="186">
        <v>51097655</v>
      </c>
      <c r="D19" s="187" t="s">
        <v>30</v>
      </c>
      <c r="E19" s="186">
        <v>18000</v>
      </c>
      <c r="F19" s="30">
        <v>6.1279000000000003</v>
      </c>
      <c r="G19" s="30">
        <v>6.1279000000000003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86"/>
      <c r="D20" s="187"/>
      <c r="E20" s="186"/>
      <c r="F20" s="30"/>
      <c r="G20" s="30"/>
      <c r="H20" s="23">
        <f>H18+H19</f>
        <v>74084.400000000634</v>
      </c>
      <c r="I20" s="24">
        <f>H20-H35</f>
        <v>4308.2400000001944</v>
      </c>
      <c r="J20" s="25">
        <f>I20/H20</f>
        <v>5.8153133453198752E-2</v>
      </c>
    </row>
    <row r="21" spans="1:10" ht="15.75" x14ac:dyDescent="0.25">
      <c r="A21" s="15" t="s">
        <v>33</v>
      </c>
      <c r="B21" s="186" t="s">
        <v>13</v>
      </c>
      <c r="C21" s="186">
        <v>51217282</v>
      </c>
      <c r="D21" s="187" t="s">
        <v>34</v>
      </c>
      <c r="E21" s="186">
        <v>4800</v>
      </c>
      <c r="F21" s="21">
        <v>378.3732</v>
      </c>
      <c r="G21" s="21">
        <v>378.3732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86" t="s">
        <v>13</v>
      </c>
      <c r="C22" s="186">
        <v>51217274</v>
      </c>
      <c r="D22" s="187" t="s">
        <v>34</v>
      </c>
      <c r="E22" s="186">
        <v>4800</v>
      </c>
      <c r="F22" s="21">
        <v>1107.3164999999999</v>
      </c>
      <c r="G22" s="21">
        <v>1113.4844000000001</v>
      </c>
      <c r="H22" s="18">
        <f t="shared" si="1"/>
        <v>29605.920000000697</v>
      </c>
      <c r="I22" s="19"/>
      <c r="J22" s="20"/>
    </row>
    <row r="23" spans="1:10" ht="15.75" x14ac:dyDescent="0.25">
      <c r="A23" s="15" t="s">
        <v>36</v>
      </c>
      <c r="B23" s="186" t="s">
        <v>13</v>
      </c>
      <c r="C23" s="186">
        <v>51097664</v>
      </c>
      <c r="D23" s="187" t="s">
        <v>37</v>
      </c>
      <c r="E23" s="186">
        <v>600</v>
      </c>
      <c r="F23" s="21">
        <v>4.0693999999999999</v>
      </c>
      <c r="G23" s="21">
        <v>4.0919999999999996</v>
      </c>
      <c r="H23" s="18">
        <f t="shared" si="1"/>
        <v>13.559999999999839</v>
      </c>
      <c r="I23" s="19"/>
      <c r="J23" s="20"/>
    </row>
    <row r="24" spans="1:10" ht="15.75" x14ac:dyDescent="0.25">
      <c r="A24" s="15" t="s">
        <v>38</v>
      </c>
      <c r="B24" s="186" t="s">
        <v>13</v>
      </c>
      <c r="C24" s="186">
        <v>51097615</v>
      </c>
      <c r="D24" s="187" t="s">
        <v>37</v>
      </c>
      <c r="E24" s="186">
        <v>600</v>
      </c>
      <c r="F24" s="21">
        <v>29.657</v>
      </c>
      <c r="G24" s="21">
        <v>30.040700000000001</v>
      </c>
      <c r="H24" s="18">
        <f t="shared" si="1"/>
        <v>230.22000000000062</v>
      </c>
      <c r="I24" s="19"/>
      <c r="J24" s="20"/>
    </row>
    <row r="25" spans="1:10" ht="15.75" x14ac:dyDescent="0.25">
      <c r="A25" s="15" t="s">
        <v>39</v>
      </c>
      <c r="B25" s="186" t="s">
        <v>13</v>
      </c>
      <c r="C25" s="186">
        <v>51217264</v>
      </c>
      <c r="D25" s="187" t="s">
        <v>37</v>
      </c>
      <c r="E25" s="186">
        <v>600</v>
      </c>
      <c r="F25" s="21">
        <v>75.643299999999996</v>
      </c>
      <c r="G25" s="21">
        <v>76.404899999999998</v>
      </c>
      <c r="H25" s="18">
        <f t="shared" si="1"/>
        <v>456.96000000000083</v>
      </c>
      <c r="I25" s="19"/>
      <c r="J25" s="20"/>
    </row>
    <row r="26" spans="1:10" ht="15.75" x14ac:dyDescent="0.25">
      <c r="A26" s="15" t="s">
        <v>40</v>
      </c>
      <c r="B26" s="186" t="s">
        <v>13</v>
      </c>
      <c r="C26" s="186">
        <v>51217288</v>
      </c>
      <c r="D26" s="187" t="s">
        <v>37</v>
      </c>
      <c r="E26" s="186">
        <v>600</v>
      </c>
      <c r="F26" s="21">
        <v>19.222899999999999</v>
      </c>
      <c r="G26" s="21">
        <v>19.253599999999999</v>
      </c>
      <c r="H26" s="18">
        <f t="shared" si="1"/>
        <v>18.419999999999703</v>
      </c>
      <c r="I26" s="19" t="s">
        <v>27</v>
      </c>
      <c r="J26" s="20"/>
    </row>
    <row r="27" spans="1:10" ht="15.75" x14ac:dyDescent="0.25">
      <c r="A27" s="15" t="s">
        <v>41</v>
      </c>
      <c r="B27" s="186" t="s">
        <v>13</v>
      </c>
      <c r="C27" s="186">
        <v>51217279</v>
      </c>
      <c r="D27" s="187" t="s">
        <v>37</v>
      </c>
      <c r="E27" s="186">
        <v>600</v>
      </c>
      <c r="F27" s="21">
        <v>13.11</v>
      </c>
      <c r="G27" s="21">
        <v>13.1639</v>
      </c>
      <c r="H27" s="18">
        <f t="shared" si="1"/>
        <v>32.340000000000302</v>
      </c>
      <c r="I27" s="19" t="s">
        <v>27</v>
      </c>
      <c r="J27" s="20"/>
    </row>
    <row r="28" spans="1:10" ht="15.75" x14ac:dyDescent="0.25">
      <c r="A28" s="15" t="s">
        <v>42</v>
      </c>
      <c r="B28" s="186" t="s">
        <v>13</v>
      </c>
      <c r="C28" s="186">
        <v>51217272</v>
      </c>
      <c r="D28" s="187" t="s">
        <v>37</v>
      </c>
      <c r="E28" s="186">
        <v>600</v>
      </c>
      <c r="F28" s="31">
        <v>12.8611</v>
      </c>
      <c r="G28" s="31">
        <v>12.914</v>
      </c>
      <c r="H28" s="18">
        <f t="shared" si="1"/>
        <v>31.739999999999569</v>
      </c>
      <c r="I28" s="19"/>
      <c r="J28" s="20"/>
    </row>
    <row r="29" spans="1:10" ht="15.75" x14ac:dyDescent="0.25">
      <c r="A29" s="15" t="s">
        <v>43</v>
      </c>
      <c r="B29" s="186" t="s">
        <v>13</v>
      </c>
      <c r="C29" s="186">
        <v>51616744</v>
      </c>
      <c r="D29" s="187">
        <f>300/5</f>
        <v>60</v>
      </c>
      <c r="E29" s="186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86" t="s">
        <v>13</v>
      </c>
      <c r="C30" s="186">
        <v>51555226</v>
      </c>
      <c r="D30" s="187">
        <f>300/5</f>
        <v>60</v>
      </c>
      <c r="E30" s="186">
        <v>3600</v>
      </c>
      <c r="F30" s="31">
        <v>351.17599999999999</v>
      </c>
      <c r="G30" s="31">
        <v>355.52030000000002</v>
      </c>
      <c r="H30" s="18">
        <f>(G30-F30)*E30</f>
        <v>15639.480000000116</v>
      </c>
      <c r="I30" s="19"/>
      <c r="J30" s="20"/>
    </row>
    <row r="31" spans="1:10" ht="15.75" x14ac:dyDescent="0.25">
      <c r="A31" s="15" t="s">
        <v>45</v>
      </c>
      <c r="B31" s="186" t="s">
        <v>13</v>
      </c>
      <c r="C31" s="186">
        <v>51097658</v>
      </c>
      <c r="D31" s="187" t="s">
        <v>34</v>
      </c>
      <c r="E31" s="186">
        <v>4800</v>
      </c>
      <c r="F31" s="31">
        <v>528.47410000000002</v>
      </c>
      <c r="G31" s="31">
        <v>531.83579999999995</v>
      </c>
      <c r="H31" s="18">
        <f t="shared" si="1"/>
        <v>16136.159999999654</v>
      </c>
      <c r="I31" s="19"/>
      <c r="J31" s="20"/>
    </row>
    <row r="32" spans="1:10" ht="15.75" x14ac:dyDescent="0.25">
      <c r="A32" s="15" t="s">
        <v>46</v>
      </c>
      <c r="B32" s="186" t="s">
        <v>13</v>
      </c>
      <c r="C32" s="186">
        <v>51097635</v>
      </c>
      <c r="D32" s="187" t="s">
        <v>34</v>
      </c>
      <c r="E32" s="186">
        <v>4800</v>
      </c>
      <c r="F32" s="31">
        <v>48.437199999999997</v>
      </c>
      <c r="G32" s="31">
        <v>48.437399999999997</v>
      </c>
      <c r="H32" s="18">
        <f t="shared" si="1"/>
        <v>0.95999999999776264</v>
      </c>
      <c r="I32" s="19"/>
      <c r="J32" s="20"/>
    </row>
    <row r="33" spans="1:10" ht="15.75" x14ac:dyDescent="0.25">
      <c r="A33" s="15" t="s">
        <v>47</v>
      </c>
      <c r="B33" s="186" t="s">
        <v>13</v>
      </c>
      <c r="C33" s="32">
        <v>51097633</v>
      </c>
      <c r="D33" s="187" t="s">
        <v>34</v>
      </c>
      <c r="E33" s="186">
        <v>4800</v>
      </c>
      <c r="F33" s="31">
        <v>91.781000000000006</v>
      </c>
      <c r="G33" s="31">
        <v>93.2881</v>
      </c>
      <c r="H33" s="33">
        <f t="shared" si="1"/>
        <v>7234.0799999999717</v>
      </c>
      <c r="I33" s="34"/>
      <c r="J33" s="35"/>
    </row>
    <row r="34" spans="1:10" ht="15.75" x14ac:dyDescent="0.25">
      <c r="A34" s="15" t="s">
        <v>116</v>
      </c>
      <c r="B34" s="186" t="s">
        <v>13</v>
      </c>
      <c r="C34" s="32">
        <v>51097662</v>
      </c>
      <c r="D34" s="187" t="s">
        <v>34</v>
      </c>
      <c r="E34" s="186">
        <v>4800</v>
      </c>
      <c r="F34" s="31">
        <v>1.4036</v>
      </c>
      <c r="G34" s="31">
        <v>1.482</v>
      </c>
      <c r="H34" s="33">
        <f t="shared" si="1"/>
        <v>376.32000000000011</v>
      </c>
      <c r="I34" s="34"/>
      <c r="J34" s="35"/>
    </row>
    <row r="35" spans="1:10" ht="15.75" x14ac:dyDescent="0.25">
      <c r="A35" s="219" t="s">
        <v>48</v>
      </c>
      <c r="B35" s="220"/>
      <c r="C35" s="186"/>
      <c r="D35" s="187"/>
      <c r="E35" s="186"/>
      <c r="F35" s="36"/>
      <c r="G35" s="36"/>
      <c r="H35" s="23">
        <f>H21+H22+H23+H24+H25+H26+H27+H28+H29+H30+H31+H32+H33+H34</f>
        <v>69776.16000000044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86" t="s">
        <v>51</v>
      </c>
      <c r="C37" s="186">
        <v>51555209</v>
      </c>
      <c r="D37" s="187" t="s">
        <v>52</v>
      </c>
      <c r="E37" s="186">
        <v>7000</v>
      </c>
      <c r="F37" s="17">
        <v>3.9986999999999999</v>
      </c>
      <c r="G37" s="17">
        <v>4.0529999999999999</v>
      </c>
      <c r="H37" s="41">
        <f>(G37-F37)*E37</f>
        <v>380.10000000000008</v>
      </c>
      <c r="I37" s="42"/>
      <c r="J37" s="14"/>
    </row>
    <row r="38" spans="1:10" ht="15.75" x14ac:dyDescent="0.25">
      <c r="A38" s="15" t="s">
        <v>53</v>
      </c>
      <c r="B38" s="186" t="s">
        <v>51</v>
      </c>
      <c r="C38" s="186">
        <v>51555209</v>
      </c>
      <c r="D38" s="187" t="s">
        <v>52</v>
      </c>
      <c r="E38" s="186">
        <v>7000</v>
      </c>
      <c r="F38" s="21">
        <v>8.7294999999999998</v>
      </c>
      <c r="G38" s="21">
        <v>8.7768999999999995</v>
      </c>
      <c r="H38" s="18">
        <f>(G38-F38)*E38</f>
        <v>331.79999999999768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86" t="s">
        <v>51</v>
      </c>
      <c r="C40" s="186">
        <v>51097674</v>
      </c>
      <c r="D40" s="186" t="s">
        <v>14</v>
      </c>
      <c r="E40" s="186">
        <v>7200</v>
      </c>
      <c r="F40" s="21">
        <v>502.90170000000001</v>
      </c>
      <c r="G40" s="21">
        <v>505.36750000000001</v>
      </c>
      <c r="H40" s="18">
        <f>(G40-F40)*E40</f>
        <v>17753.760000000009</v>
      </c>
      <c r="I40" s="47"/>
      <c r="J40" s="20"/>
    </row>
    <row r="41" spans="1:10" ht="15.75" x14ac:dyDescent="0.25">
      <c r="A41" s="27" t="s">
        <v>56</v>
      </c>
      <c r="B41" s="186" t="s">
        <v>51</v>
      </c>
      <c r="C41" s="186">
        <v>51259257</v>
      </c>
      <c r="D41" s="186" t="s">
        <v>14</v>
      </c>
      <c r="E41" s="186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86"/>
      <c r="C42" s="186"/>
      <c r="D42" s="186"/>
      <c r="E42" s="186"/>
      <c r="F42" s="21"/>
      <c r="G42" s="21"/>
      <c r="H42" s="48">
        <f>H40+H41</f>
        <v>17753.760000000009</v>
      </c>
      <c r="I42" s="24">
        <f>H42-H50</f>
        <v>-120.31999999979598</v>
      </c>
      <c r="J42" s="25">
        <f>I42/H42</f>
        <v>-6.7771559376602992E-3</v>
      </c>
    </row>
    <row r="43" spans="1:10" ht="15.75" x14ac:dyDescent="0.25">
      <c r="A43" s="15" t="s">
        <v>58</v>
      </c>
      <c r="B43" s="186"/>
      <c r="C43" s="186"/>
      <c r="D43" s="187"/>
      <c r="E43" s="186"/>
      <c r="H43" s="18"/>
      <c r="I43" s="43"/>
      <c r="J43" s="20"/>
    </row>
    <row r="44" spans="1:10" ht="15.75" x14ac:dyDescent="0.25">
      <c r="A44" s="27" t="s">
        <v>59</v>
      </c>
      <c r="B44" s="186" t="s">
        <v>51</v>
      </c>
      <c r="C44" s="32">
        <v>51097648</v>
      </c>
      <c r="D44" s="186" t="s">
        <v>52</v>
      </c>
      <c r="E44" s="186">
        <v>1200</v>
      </c>
      <c r="F44" s="21">
        <v>411.55540000000002</v>
      </c>
      <c r="G44" s="21">
        <v>413.54660000000001</v>
      </c>
      <c r="H44" s="33">
        <f>(G44-F44)*E44</f>
        <v>2389.4399999999905</v>
      </c>
      <c r="I44" s="43"/>
      <c r="J44" s="20"/>
    </row>
    <row r="45" spans="1:10" ht="15.75" x14ac:dyDescent="0.25">
      <c r="A45" s="27" t="s">
        <v>60</v>
      </c>
      <c r="B45" s="186" t="s">
        <v>51</v>
      </c>
      <c r="C45" s="32">
        <v>50555043</v>
      </c>
      <c r="D45" s="186" t="s">
        <v>52</v>
      </c>
      <c r="E45" s="186">
        <v>1200</v>
      </c>
      <c r="F45" s="21">
        <v>1724.4697000000001</v>
      </c>
      <c r="G45" s="21">
        <v>1733.1078</v>
      </c>
      <c r="H45" s="33">
        <f>(G45-F45)*E45</f>
        <v>10365.719999999874</v>
      </c>
      <c r="I45" s="43"/>
      <c r="J45" s="20"/>
    </row>
    <row r="46" spans="1:10" ht="15.75" x14ac:dyDescent="0.25">
      <c r="A46" s="27" t="s">
        <v>61</v>
      </c>
      <c r="B46" s="186" t="s">
        <v>51</v>
      </c>
      <c r="C46" s="32">
        <v>51259336</v>
      </c>
      <c r="D46" s="186" t="s">
        <v>62</v>
      </c>
      <c r="E46" s="186">
        <v>2400</v>
      </c>
      <c r="F46" s="21">
        <v>3.6164999999999998</v>
      </c>
      <c r="G46" s="21">
        <v>3.6301000000000001</v>
      </c>
      <c r="H46" s="33">
        <f>(G46-F46)*E46</f>
        <v>32.640000000000668</v>
      </c>
      <c r="I46" s="43"/>
      <c r="J46" s="20"/>
    </row>
    <row r="47" spans="1:10" ht="15.75" x14ac:dyDescent="0.25">
      <c r="A47" s="27" t="s">
        <v>63</v>
      </c>
      <c r="B47" s="186" t="s">
        <v>51</v>
      </c>
      <c r="C47" s="32">
        <v>51259266</v>
      </c>
      <c r="D47" s="186" t="s">
        <v>52</v>
      </c>
      <c r="E47" s="186">
        <v>1200</v>
      </c>
      <c r="F47" s="21">
        <v>837.10090000000002</v>
      </c>
      <c r="G47" s="21">
        <v>840.97879999999998</v>
      </c>
      <c r="H47" s="33">
        <f>(G47-F47)*E47</f>
        <v>4653.479999999945</v>
      </c>
      <c r="I47" s="43"/>
      <c r="J47" s="20"/>
    </row>
    <row r="48" spans="1:10" ht="15.75" x14ac:dyDescent="0.25">
      <c r="A48" s="27" t="s">
        <v>64</v>
      </c>
      <c r="B48" s="186" t="s">
        <v>51</v>
      </c>
      <c r="C48" s="32">
        <v>51431336</v>
      </c>
      <c r="D48" s="186" t="s">
        <v>52</v>
      </c>
      <c r="E48" s="186">
        <v>1200</v>
      </c>
      <c r="F48" s="21">
        <v>45.231000000000002</v>
      </c>
      <c r="G48" s="21">
        <v>45.55</v>
      </c>
      <c r="H48" s="33">
        <f>(G48-F48)*E48</f>
        <v>382.79999999999461</v>
      </c>
      <c r="I48" s="43"/>
      <c r="J48" s="20"/>
    </row>
    <row r="49" spans="1:10" ht="15.75" x14ac:dyDescent="0.25">
      <c r="A49" s="15" t="s">
        <v>65</v>
      </c>
      <c r="B49" s="186" t="s">
        <v>66</v>
      </c>
      <c r="C49" s="186">
        <v>49174</v>
      </c>
      <c r="D49" s="187" t="s">
        <v>52</v>
      </c>
      <c r="E49" s="186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17874.079999999805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86" t="s">
        <v>51</v>
      </c>
      <c r="C52" s="186">
        <v>51097603</v>
      </c>
      <c r="D52" s="187" t="s">
        <v>52</v>
      </c>
      <c r="E52" s="186">
        <v>7000</v>
      </c>
      <c r="F52" s="17">
        <v>1674.0124000000001</v>
      </c>
      <c r="G52" s="17">
        <v>1681.5771</v>
      </c>
      <c r="H52" s="18">
        <f>(G52-F52)*E52</f>
        <v>52952.899999999318</v>
      </c>
      <c r="I52" s="43"/>
      <c r="J52" s="20"/>
    </row>
    <row r="53" spans="1:10" ht="15.75" x14ac:dyDescent="0.25">
      <c r="A53" s="27" t="s">
        <v>71</v>
      </c>
      <c r="B53" s="186" t="s">
        <v>51</v>
      </c>
      <c r="C53" s="186">
        <v>51097590</v>
      </c>
      <c r="D53" s="187" t="s">
        <v>52</v>
      </c>
      <c r="E53" s="186">
        <v>7000</v>
      </c>
      <c r="F53" s="21">
        <v>9.9100999999999999</v>
      </c>
      <c r="G53" s="21">
        <v>9.9870000000000001</v>
      </c>
      <c r="H53" s="18">
        <f>(G53-F53)*E53</f>
        <v>538.30000000000132</v>
      </c>
      <c r="I53" s="43"/>
      <c r="J53" s="20"/>
    </row>
    <row r="54" spans="1:10" ht="15.75" x14ac:dyDescent="0.25">
      <c r="A54" s="15" t="s">
        <v>65</v>
      </c>
      <c r="B54" s="186" t="s">
        <v>66</v>
      </c>
      <c r="C54" s="186">
        <v>49174</v>
      </c>
      <c r="D54" s="187" t="s">
        <v>52</v>
      </c>
      <c r="E54" s="186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86"/>
      <c r="D55" s="187"/>
      <c r="E55" s="186"/>
      <c r="F55" s="21"/>
      <c r="G55" s="21"/>
      <c r="H55" s="48">
        <f>H52+H53+H54</f>
        <v>53591.19999999932</v>
      </c>
      <c r="I55" s="47"/>
      <c r="J55" s="59"/>
    </row>
    <row r="56" spans="1:10" ht="15.75" x14ac:dyDescent="0.25">
      <c r="A56" s="27" t="s">
        <v>73</v>
      </c>
      <c r="B56" s="186" t="s">
        <v>51</v>
      </c>
      <c r="C56" s="186">
        <v>51100980</v>
      </c>
      <c r="D56" s="186" t="s">
        <v>74</v>
      </c>
      <c r="E56" s="186">
        <v>12000</v>
      </c>
      <c r="F56" s="21">
        <v>984.62279999999998</v>
      </c>
      <c r="G56" s="21">
        <v>989.0847</v>
      </c>
      <c r="H56" s="18">
        <f>(G56-F56)*E56</f>
        <v>53542.80000000017</v>
      </c>
      <c r="I56" s="47"/>
      <c r="J56" s="58"/>
    </row>
    <row r="57" spans="1:10" ht="15.75" x14ac:dyDescent="0.25">
      <c r="A57" s="27" t="s">
        <v>75</v>
      </c>
      <c r="B57" s="186" t="s">
        <v>51</v>
      </c>
      <c r="C57" s="186">
        <v>51097623</v>
      </c>
      <c r="D57" s="186" t="s">
        <v>74</v>
      </c>
      <c r="E57" s="186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86"/>
      <c r="C58" s="186"/>
      <c r="D58" s="186"/>
      <c r="E58" s="186"/>
      <c r="F58" s="21"/>
      <c r="G58" s="21"/>
      <c r="H58" s="48">
        <f>H56+H57</f>
        <v>53542.80000000017</v>
      </c>
      <c r="I58" s="61">
        <f>H55-H65-H54</f>
        <v>-140.64000000022497</v>
      </c>
      <c r="J58" s="25">
        <f>I58/H58</f>
        <v>-2.6266836997733498E-3</v>
      </c>
    </row>
    <row r="59" spans="1:10" ht="15.75" x14ac:dyDescent="0.25">
      <c r="A59" s="27" t="s">
        <v>77</v>
      </c>
      <c r="B59" s="186" t="s">
        <v>51</v>
      </c>
      <c r="C59" s="186">
        <v>51097675</v>
      </c>
      <c r="D59" s="186" t="s">
        <v>34</v>
      </c>
      <c r="E59" s="186">
        <v>4800</v>
      </c>
      <c r="F59" s="21">
        <v>391.9239</v>
      </c>
      <c r="G59" s="21">
        <v>395.11360000000002</v>
      </c>
      <c r="H59" s="18">
        <f t="shared" ref="H59:H64" si="2">(G59-F59)*E59</f>
        <v>15310.560000000078</v>
      </c>
      <c r="I59" s="62"/>
      <c r="J59" s="59"/>
    </row>
    <row r="60" spans="1:10" ht="15.75" x14ac:dyDescent="0.25">
      <c r="A60" s="27" t="s">
        <v>78</v>
      </c>
      <c r="B60" s="186" t="s">
        <v>51</v>
      </c>
      <c r="C60" s="186">
        <v>51100997</v>
      </c>
      <c r="D60" s="186" t="s">
        <v>21</v>
      </c>
      <c r="E60" s="186">
        <v>3600</v>
      </c>
      <c r="F60" s="21">
        <v>1256.7897</v>
      </c>
      <c r="G60" s="21">
        <v>1260.5019</v>
      </c>
      <c r="H60" s="18">
        <f t="shared" si="2"/>
        <v>13363.91999999978</v>
      </c>
      <c r="I60" s="62"/>
      <c r="J60" s="59"/>
    </row>
    <row r="61" spans="1:10" ht="15.75" x14ac:dyDescent="0.25">
      <c r="A61" s="27" t="s">
        <v>79</v>
      </c>
      <c r="B61" s="186" t="s">
        <v>51</v>
      </c>
      <c r="C61" s="186">
        <v>51555218</v>
      </c>
      <c r="D61" s="186">
        <f>400/5</f>
        <v>80</v>
      </c>
      <c r="E61" s="186">
        <v>4800</v>
      </c>
      <c r="F61" s="21">
        <v>44.517699999999998</v>
      </c>
      <c r="G61" s="21">
        <v>44.986800000000002</v>
      </c>
      <c r="H61" s="18">
        <f t="shared" si="2"/>
        <v>2251.6800000000217</v>
      </c>
      <c r="I61" s="62"/>
      <c r="J61" s="59"/>
    </row>
    <row r="62" spans="1:10" ht="15.75" x14ac:dyDescent="0.25">
      <c r="A62" s="27" t="s">
        <v>80</v>
      </c>
      <c r="B62" s="186" t="s">
        <v>51</v>
      </c>
      <c r="C62" s="186">
        <v>51555151</v>
      </c>
      <c r="D62" s="186">
        <f>400/5</f>
        <v>80</v>
      </c>
      <c r="E62" s="186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86" t="s">
        <v>51</v>
      </c>
      <c r="C63" s="186">
        <v>51097599</v>
      </c>
      <c r="D63" s="186" t="s">
        <v>21</v>
      </c>
      <c r="E63" s="186">
        <v>3600</v>
      </c>
      <c r="F63" s="21">
        <v>875.78060000000005</v>
      </c>
      <c r="G63" s="21">
        <v>878.45759999999996</v>
      </c>
      <c r="H63" s="18">
        <f t="shared" si="2"/>
        <v>9637.199999999666</v>
      </c>
      <c r="I63" s="62"/>
      <c r="J63" s="59"/>
    </row>
    <row r="64" spans="1:10" ht="15.75" x14ac:dyDescent="0.25">
      <c r="A64" s="27" t="s">
        <v>82</v>
      </c>
      <c r="B64" s="186" t="s">
        <v>51</v>
      </c>
      <c r="C64" s="186">
        <v>51097620</v>
      </c>
      <c r="D64" s="186" t="s">
        <v>34</v>
      </c>
      <c r="E64" s="186">
        <v>4800</v>
      </c>
      <c r="F64" s="21">
        <v>414.56139999999999</v>
      </c>
      <c r="G64" s="21">
        <v>417.28399999999999</v>
      </c>
      <c r="H64" s="18">
        <f t="shared" si="2"/>
        <v>13068.48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53631.839999999545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86" t="s">
        <v>51</v>
      </c>
      <c r="C67" s="9">
        <v>51259238</v>
      </c>
      <c r="D67" s="74" t="s">
        <v>52</v>
      </c>
      <c r="E67" s="74">
        <v>7000</v>
      </c>
      <c r="F67" s="75">
        <v>453.82119999999998</v>
      </c>
      <c r="G67" s="75">
        <v>456.79180000000002</v>
      </c>
      <c r="H67" s="76">
        <f>(G67-F67)*E67</f>
        <v>20794.200000000332</v>
      </c>
      <c r="I67" s="77"/>
      <c r="J67" s="78"/>
    </row>
    <row r="68" spans="1:10" ht="15.75" x14ac:dyDescent="0.25">
      <c r="A68" s="27" t="s">
        <v>85</v>
      </c>
      <c r="B68" s="186" t="s">
        <v>51</v>
      </c>
      <c r="C68" s="186">
        <v>51259324</v>
      </c>
      <c r="D68" s="187" t="s">
        <v>52</v>
      </c>
      <c r="E68" s="187">
        <v>7000</v>
      </c>
      <c r="F68" s="21">
        <v>348.62360000000001</v>
      </c>
      <c r="G68" s="21">
        <v>350.86559999999997</v>
      </c>
      <c r="H68" s="18">
        <f>(G68-F68)*E68</f>
        <v>15693.999999999733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86">
        <v>51491618</v>
      </c>
      <c r="D69" s="187" t="s">
        <v>62</v>
      </c>
      <c r="E69" s="186">
        <v>40</v>
      </c>
      <c r="F69" s="28">
        <v>849.75250000000005</v>
      </c>
      <c r="G69" s="28">
        <v>860.88300000000004</v>
      </c>
      <c r="H69" s="18">
        <f>(G69-F69)*E69</f>
        <v>445.21999999999935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86">
        <v>51491624</v>
      </c>
      <c r="D70" s="187" t="s">
        <v>62</v>
      </c>
      <c r="E70" s="186">
        <v>40</v>
      </c>
      <c r="F70" s="28">
        <v>117.011</v>
      </c>
      <c r="G70" s="28">
        <v>118.048</v>
      </c>
      <c r="H70" s="18">
        <f>(G70-F70)*E70</f>
        <v>41.480000000000246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36488.200000000063</v>
      </c>
      <c r="I71" s="85">
        <f>H71-H74-H69-H70</f>
        <v>-1074.8999999998584</v>
      </c>
      <c r="J71" s="25">
        <f>I71/H71</f>
        <v>-2.9458838747865243E-2</v>
      </c>
    </row>
    <row r="72" spans="1:10" ht="15.75" x14ac:dyDescent="0.25">
      <c r="A72" s="27" t="s">
        <v>90</v>
      </c>
      <c r="B72" s="186" t="s">
        <v>51</v>
      </c>
      <c r="C72" s="86">
        <v>51097588</v>
      </c>
      <c r="D72" s="187" t="s">
        <v>74</v>
      </c>
      <c r="E72" s="186">
        <v>12000</v>
      </c>
      <c r="F72" s="21">
        <v>274.57670000000002</v>
      </c>
      <c r="G72" s="21">
        <v>276.31139999999999</v>
      </c>
      <c r="H72" s="18">
        <f>(G72-F72)*E72</f>
        <v>20816.399999999703</v>
      </c>
      <c r="I72" s="51"/>
      <c r="J72" s="58"/>
    </row>
    <row r="73" spans="1:10" ht="15.75" x14ac:dyDescent="0.25">
      <c r="A73" s="27" t="s">
        <v>91</v>
      </c>
      <c r="B73" s="186" t="s">
        <v>51</v>
      </c>
      <c r="C73" s="86">
        <v>51431335</v>
      </c>
      <c r="D73" s="187" t="s">
        <v>74</v>
      </c>
      <c r="E73" s="186">
        <v>12000</v>
      </c>
      <c r="F73" s="21">
        <v>214.12979999999999</v>
      </c>
      <c r="G73" s="21">
        <v>215.48480000000001</v>
      </c>
      <c r="H73" s="18">
        <f>(G73-F73)*E73</f>
        <v>16260.000000000218</v>
      </c>
      <c r="I73" s="51"/>
      <c r="J73" s="58"/>
    </row>
    <row r="74" spans="1:10" ht="15.75" x14ac:dyDescent="0.25">
      <c r="A74" s="87" t="s">
        <v>92</v>
      </c>
      <c r="B74" s="186" t="s">
        <v>27</v>
      </c>
      <c r="C74" s="186"/>
      <c r="D74" s="187"/>
      <c r="E74" s="186"/>
      <c r="F74" s="21"/>
      <c r="G74" s="21"/>
      <c r="H74" s="48">
        <f>H72+ H73</f>
        <v>37076.399999999921</v>
      </c>
      <c r="I74" s="85">
        <f>H74-H82</f>
        <v>-87.120000000417349</v>
      </c>
      <c r="J74" s="25">
        <f>I74/H74</f>
        <v>-2.3497426934766465E-3</v>
      </c>
    </row>
    <row r="75" spans="1:10" ht="15.75" x14ac:dyDescent="0.25">
      <c r="A75" s="27" t="s">
        <v>93</v>
      </c>
      <c r="B75" s="186" t="s">
        <v>51</v>
      </c>
      <c r="C75" s="86">
        <v>51097676</v>
      </c>
      <c r="D75" s="88" t="s">
        <v>62</v>
      </c>
      <c r="E75" s="186">
        <v>2400</v>
      </c>
      <c r="F75" s="21">
        <v>556.74199999999996</v>
      </c>
      <c r="G75" s="21">
        <v>560.92690000000005</v>
      </c>
      <c r="H75" s="18">
        <f>(G75-F75)*E75</f>
        <v>10043.760000000202</v>
      </c>
      <c r="I75" s="51"/>
      <c r="J75" s="58"/>
    </row>
    <row r="76" spans="1:10" ht="15.75" x14ac:dyDescent="0.25">
      <c r="A76" s="27" t="s">
        <v>94</v>
      </c>
      <c r="B76" s="186" t="s">
        <v>51</v>
      </c>
      <c r="C76" s="86">
        <v>51431355</v>
      </c>
      <c r="D76" s="187" t="s">
        <v>21</v>
      </c>
      <c r="E76" s="187">
        <v>3600</v>
      </c>
      <c r="F76" s="21">
        <v>315.03309999999999</v>
      </c>
      <c r="G76" s="21">
        <v>316.21449999999999</v>
      </c>
      <c r="H76" s="18">
        <f>(G76-F76)*E76</f>
        <v>4253.0399999999872</v>
      </c>
      <c r="I76" s="51"/>
      <c r="J76" s="52"/>
    </row>
    <row r="77" spans="1:10" ht="15.75" x14ac:dyDescent="0.25">
      <c r="A77" s="27" t="s">
        <v>95</v>
      </c>
      <c r="B77" s="186" t="s">
        <v>51</v>
      </c>
      <c r="C77" s="86">
        <v>51259331</v>
      </c>
      <c r="D77" s="88" t="s">
        <v>37</v>
      </c>
      <c r="E77" s="186">
        <v>600</v>
      </c>
      <c r="F77" s="21">
        <v>129.18690000000001</v>
      </c>
      <c r="G77" s="21">
        <v>130.42689999999999</v>
      </c>
      <c r="H77" s="18">
        <f>(G77-F77)*E77</f>
        <v>743.9999999999884</v>
      </c>
      <c r="I77" s="51"/>
      <c r="J77" s="52"/>
    </row>
    <row r="78" spans="1:10" ht="15.75" x14ac:dyDescent="0.25">
      <c r="A78" s="27" t="s">
        <v>96</v>
      </c>
      <c r="B78" s="186" t="s">
        <v>51</v>
      </c>
      <c r="C78" s="86">
        <v>51259326</v>
      </c>
      <c r="D78" s="88" t="s">
        <v>14</v>
      </c>
      <c r="E78" s="186">
        <v>7200</v>
      </c>
      <c r="F78" s="21">
        <v>276.48439999999999</v>
      </c>
      <c r="G78" s="21">
        <v>277.99360000000001</v>
      </c>
      <c r="H78" s="18">
        <f>(G78-F78)*E78</f>
        <v>10866.240000000153</v>
      </c>
      <c r="I78" s="51"/>
      <c r="J78" s="52"/>
    </row>
    <row r="79" spans="1:10" ht="15.75" x14ac:dyDescent="0.25">
      <c r="A79" s="27" t="s">
        <v>97</v>
      </c>
      <c r="B79" s="186" t="s">
        <v>51</v>
      </c>
      <c r="C79" s="86">
        <v>51431351</v>
      </c>
      <c r="D79" s="88" t="s">
        <v>14</v>
      </c>
      <c r="E79" s="186">
        <v>7200</v>
      </c>
      <c r="F79" s="21">
        <v>185.649</v>
      </c>
      <c r="G79" s="21">
        <v>187.2124</v>
      </c>
      <c r="H79" s="18">
        <f>(G79-F79)*E79</f>
        <v>11256.48000000001</v>
      </c>
      <c r="I79" s="51"/>
      <c r="J79" s="52"/>
    </row>
    <row r="80" spans="1:10" ht="15.75" x14ac:dyDescent="0.25">
      <c r="A80" s="89" t="s">
        <v>98</v>
      </c>
      <c r="B80" s="186" t="s">
        <v>51</v>
      </c>
      <c r="C80" s="90">
        <v>51097666</v>
      </c>
      <c r="D80" s="88" t="s">
        <v>62</v>
      </c>
      <c r="E80" s="186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86" t="s">
        <v>51</v>
      </c>
      <c r="C81" s="90">
        <v>51259323</v>
      </c>
      <c r="D81" s="88" t="s">
        <v>62</v>
      </c>
      <c r="E81" s="186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37163.520000000339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86" t="s">
        <v>51</v>
      </c>
      <c r="C84" s="106">
        <v>51431297</v>
      </c>
      <c r="D84" s="187" t="s">
        <v>52</v>
      </c>
      <c r="E84" s="100">
        <v>7000</v>
      </c>
      <c r="F84" s="17">
        <v>231.28819999999999</v>
      </c>
      <c r="G84" s="17">
        <v>232.6833</v>
      </c>
      <c r="H84" s="18">
        <f>(G84-F84)*E84</f>
        <v>9765.7000000000953</v>
      </c>
      <c r="I84" s="107"/>
      <c r="J84" s="108"/>
    </row>
    <row r="85" spans="1:10" ht="15.75" x14ac:dyDescent="0.25">
      <c r="A85" s="105" t="s">
        <v>85</v>
      </c>
      <c r="B85" s="186" t="s">
        <v>51</v>
      </c>
      <c r="C85" s="106">
        <v>51431332</v>
      </c>
      <c r="D85" s="187" t="s">
        <v>52</v>
      </c>
      <c r="E85" s="100">
        <v>7000</v>
      </c>
      <c r="F85" s="21">
        <v>306.66120000000001</v>
      </c>
      <c r="G85" s="21">
        <v>307.90089999999998</v>
      </c>
      <c r="H85" s="18">
        <f>(G85-F85)*E85</f>
        <v>8677.8999999997941</v>
      </c>
      <c r="I85" s="186"/>
      <c r="J85" s="58"/>
    </row>
    <row r="86" spans="1:10" ht="15.75" x14ac:dyDescent="0.25">
      <c r="A86" s="27" t="s">
        <v>86</v>
      </c>
      <c r="B86" s="186" t="s">
        <v>102</v>
      </c>
      <c r="C86" s="109">
        <v>150773</v>
      </c>
      <c r="D86" s="187" t="s">
        <v>52</v>
      </c>
      <c r="E86" s="109">
        <v>20</v>
      </c>
      <c r="F86" s="17">
        <v>15347.6</v>
      </c>
      <c r="G86" s="17">
        <v>15356.9</v>
      </c>
      <c r="H86" s="18">
        <f>(G86-F86)*E86</f>
        <v>185.99999999998545</v>
      </c>
      <c r="I86" s="51"/>
      <c r="J86" s="58"/>
    </row>
    <row r="87" spans="1:10" ht="15.75" x14ac:dyDescent="0.25">
      <c r="A87" s="27" t="s">
        <v>88</v>
      </c>
      <c r="B87" s="186" t="s">
        <v>102</v>
      </c>
      <c r="C87" s="109">
        <v>150791</v>
      </c>
      <c r="D87" s="187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88"/>
      <c r="C88" s="32"/>
      <c r="D88" s="82"/>
      <c r="E88" s="82"/>
      <c r="F88" s="21"/>
      <c r="G88" s="21"/>
      <c r="H88" s="48">
        <f>H84+H85</f>
        <v>18443.599999999889</v>
      </c>
      <c r="I88" s="85">
        <f>H88-H91-H86-H87</f>
        <v>459.19999999977517</v>
      </c>
      <c r="J88" s="25">
        <f>I88/H88</f>
        <v>2.4897525428863015E-2</v>
      </c>
    </row>
    <row r="89" spans="1:10" ht="15.75" x14ac:dyDescent="0.25">
      <c r="A89" s="27" t="s">
        <v>103</v>
      </c>
      <c r="B89" s="186" t="s">
        <v>51</v>
      </c>
      <c r="C89" s="106">
        <v>51431342</v>
      </c>
      <c r="D89" s="88" t="s">
        <v>34</v>
      </c>
      <c r="E89" s="186">
        <v>4800</v>
      </c>
      <c r="F89" s="21">
        <v>327.6481</v>
      </c>
      <c r="G89" s="21">
        <v>329.64109999999999</v>
      </c>
      <c r="H89" s="18">
        <f>(G89-F89)*E89</f>
        <v>9566.399999999976</v>
      </c>
      <c r="I89" s="51"/>
      <c r="J89" s="52"/>
    </row>
    <row r="90" spans="1:10" ht="15.75" x14ac:dyDescent="0.25">
      <c r="A90" s="27" t="s">
        <v>104</v>
      </c>
      <c r="B90" s="186" t="s">
        <v>51</v>
      </c>
      <c r="C90" s="106">
        <v>51431343</v>
      </c>
      <c r="D90" s="88" t="s">
        <v>34</v>
      </c>
      <c r="E90" s="186">
        <v>4800</v>
      </c>
      <c r="F90" s="21">
        <v>434.30419999999998</v>
      </c>
      <c r="G90" s="21">
        <v>436.01920000000001</v>
      </c>
      <c r="H90" s="18">
        <f>(G90-F90)*E90</f>
        <v>8232.0000000001528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17798.400000000129</v>
      </c>
      <c r="I91" s="85">
        <f>H91-H99</f>
        <v>-141.53999999982261</v>
      </c>
      <c r="J91" s="25">
        <f>I91/H91</f>
        <v>-7.9524002157397057E-3</v>
      </c>
    </row>
    <row r="92" spans="1:10" ht="15.75" x14ac:dyDescent="0.25">
      <c r="A92" s="27" t="s">
        <v>106</v>
      </c>
      <c r="B92" s="186" t="s">
        <v>51</v>
      </c>
      <c r="C92" s="106">
        <v>51431347</v>
      </c>
      <c r="D92" s="187" t="s">
        <v>52</v>
      </c>
      <c r="E92" s="186">
        <v>1200</v>
      </c>
      <c r="F92" s="21">
        <v>958.84389999999996</v>
      </c>
      <c r="G92" s="21">
        <v>964.54690000000005</v>
      </c>
      <c r="H92" s="18">
        <f t="shared" ref="H92:H100" si="4">(G92-F92)*E92</f>
        <v>6843.6000000001059</v>
      </c>
      <c r="I92" s="51"/>
      <c r="J92" s="52"/>
    </row>
    <row r="93" spans="1:10" ht="15.75" x14ac:dyDescent="0.25">
      <c r="A93" s="27" t="s">
        <v>107</v>
      </c>
      <c r="B93" s="186" t="s">
        <v>51</v>
      </c>
      <c r="C93" s="106">
        <v>51431339</v>
      </c>
      <c r="D93" s="187" t="s">
        <v>52</v>
      </c>
      <c r="E93" s="186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86" t="s">
        <v>51</v>
      </c>
      <c r="C94" s="106">
        <v>51217244</v>
      </c>
      <c r="D94" s="186" t="s">
        <v>37</v>
      </c>
      <c r="E94" s="186">
        <v>600</v>
      </c>
      <c r="F94" s="30">
        <v>259.24189999999999</v>
      </c>
      <c r="G94" s="30">
        <v>261.43610000000001</v>
      </c>
      <c r="H94" s="18">
        <f t="shared" si="4"/>
        <v>1316.5200000000141</v>
      </c>
      <c r="I94" s="51"/>
      <c r="J94" s="52"/>
    </row>
    <row r="95" spans="1:10" ht="15.75" x14ac:dyDescent="0.25">
      <c r="A95" s="27" t="s">
        <v>109</v>
      </c>
      <c r="B95" s="186" t="s">
        <v>51</v>
      </c>
      <c r="C95" s="106">
        <v>51217267</v>
      </c>
      <c r="D95" s="88" t="s">
        <v>62</v>
      </c>
      <c r="E95" s="186">
        <v>2400</v>
      </c>
      <c r="F95" s="30">
        <v>19.1036</v>
      </c>
      <c r="G95" s="30">
        <v>19.135300000000001</v>
      </c>
      <c r="H95" s="18">
        <f t="shared" si="4"/>
        <v>76.080000000001746</v>
      </c>
      <c r="I95" s="51"/>
      <c r="J95" s="52"/>
    </row>
    <row r="96" spans="1:10" ht="15.75" x14ac:dyDescent="0.25">
      <c r="A96" s="27" t="s">
        <v>110</v>
      </c>
      <c r="B96" s="186" t="s">
        <v>51</v>
      </c>
      <c r="C96" s="186">
        <v>51555165</v>
      </c>
      <c r="D96" s="187" t="s">
        <v>52</v>
      </c>
      <c r="E96" s="186">
        <v>1200</v>
      </c>
      <c r="F96" s="30">
        <v>768.83820000000003</v>
      </c>
      <c r="G96" s="30">
        <v>771.62789999999995</v>
      </c>
      <c r="H96" s="18">
        <f t="shared" si="4"/>
        <v>3347.6399999999103</v>
      </c>
      <c r="I96" s="51" t="s">
        <v>27</v>
      </c>
      <c r="J96" s="52"/>
    </row>
    <row r="97" spans="1:10" ht="15.75" x14ac:dyDescent="0.25">
      <c r="A97" s="113" t="s">
        <v>111</v>
      </c>
      <c r="B97" s="186" t="s">
        <v>51</v>
      </c>
      <c r="C97" s="106">
        <v>51431346</v>
      </c>
      <c r="D97" s="114" t="s">
        <v>37</v>
      </c>
      <c r="E97" s="114">
        <v>600</v>
      </c>
      <c r="F97" s="30">
        <v>310.37979999999999</v>
      </c>
      <c r="G97" s="30">
        <v>311.3897</v>
      </c>
      <c r="H97" s="115">
        <f t="shared" si="4"/>
        <v>605.9400000000096</v>
      </c>
      <c r="I97" s="116"/>
      <c r="J97" s="117"/>
    </row>
    <row r="98" spans="1:10" ht="15.75" x14ac:dyDescent="0.25">
      <c r="A98" s="27" t="s">
        <v>112</v>
      </c>
      <c r="B98" s="186" t="s">
        <v>51</v>
      </c>
      <c r="C98" s="106">
        <v>51431352</v>
      </c>
      <c r="D98" s="88" t="s">
        <v>21</v>
      </c>
      <c r="E98" s="186">
        <v>3600</v>
      </c>
      <c r="F98" s="21">
        <v>169.26060000000001</v>
      </c>
      <c r="G98" s="21">
        <v>170.80619999999999</v>
      </c>
      <c r="H98" s="18">
        <f t="shared" si="4"/>
        <v>5564.1599999999244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17939.939999999951</v>
      </c>
      <c r="I99" s="51"/>
      <c r="J99" s="52"/>
    </row>
    <row r="100" spans="1:10" ht="15.75" x14ac:dyDescent="0.25">
      <c r="A100" s="45" t="s">
        <v>113</v>
      </c>
      <c r="B100" s="186" t="s">
        <v>51</v>
      </c>
      <c r="C100" s="120">
        <v>51431357</v>
      </c>
      <c r="D100" s="187" t="s">
        <v>62</v>
      </c>
      <c r="E100" s="187">
        <v>14000</v>
      </c>
      <c r="F100" s="28">
        <v>700.24170000000004</v>
      </c>
      <c r="G100" s="28">
        <v>703.75080000000003</v>
      </c>
      <c r="H100" s="121">
        <f t="shared" si="4"/>
        <v>49127.399999999849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activeCell="G33" sqref="G33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145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148</v>
      </c>
      <c r="G3" s="4" t="s">
        <v>149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89" t="s">
        <v>13</v>
      </c>
      <c r="C5" s="189">
        <v>51555166</v>
      </c>
      <c r="D5" s="189" t="s">
        <v>14</v>
      </c>
      <c r="E5" s="189">
        <v>132000</v>
      </c>
      <c r="F5" s="17">
        <v>2.4611999999999998</v>
      </c>
      <c r="G5" s="17">
        <v>2.4729999999999999</v>
      </c>
      <c r="H5" s="18">
        <f>(G5-F5)*E5</f>
        <v>1557.6000000000042</v>
      </c>
      <c r="I5" s="19"/>
      <c r="J5" s="20"/>
    </row>
    <row r="6" spans="1:10" ht="15.75" x14ac:dyDescent="0.25">
      <c r="A6" s="15" t="s">
        <v>15</v>
      </c>
      <c r="B6" s="189" t="s">
        <v>13</v>
      </c>
      <c r="C6" s="189">
        <v>51555191</v>
      </c>
      <c r="D6" s="189" t="s">
        <v>14</v>
      </c>
      <c r="E6" s="189">
        <v>132000</v>
      </c>
      <c r="F6" s="21">
        <v>298.83390000000003</v>
      </c>
      <c r="G6" s="21">
        <v>300.8569</v>
      </c>
      <c r="H6" s="18">
        <f>(G6-F6)*E6</f>
        <v>267035.99999999575</v>
      </c>
      <c r="I6" s="19"/>
      <c r="J6" s="20"/>
    </row>
    <row r="7" spans="1:10" ht="15.75" x14ac:dyDescent="0.25">
      <c r="A7" s="219" t="s">
        <v>16</v>
      </c>
      <c r="B7" s="220"/>
      <c r="C7" s="189"/>
      <c r="D7" s="190"/>
      <c r="E7" s="189"/>
      <c r="H7" s="23">
        <f>H5+H6</f>
        <v>268593.59999999573</v>
      </c>
      <c r="I7" s="24">
        <f>H7-H10-H20</f>
        <v>2400.5999999996857</v>
      </c>
      <c r="J7" s="25">
        <f>I7/H7</f>
        <v>8.9376664224304816E-3</v>
      </c>
    </row>
    <row r="8" spans="1:10" ht="15.75" x14ac:dyDescent="0.25">
      <c r="A8" s="26" t="s">
        <v>17</v>
      </c>
      <c r="B8" s="189" t="s">
        <v>13</v>
      </c>
      <c r="C8" s="189">
        <v>51097629</v>
      </c>
      <c r="D8" s="190" t="s">
        <v>14</v>
      </c>
      <c r="E8" s="189">
        <v>42000</v>
      </c>
      <c r="F8" s="21">
        <v>942.13660000000004</v>
      </c>
      <c r="G8" s="21">
        <v>946.55399999999997</v>
      </c>
      <c r="H8" s="18">
        <f>(G8-F8)*E8</f>
        <v>185530.79999999705</v>
      </c>
      <c r="I8" s="19"/>
      <c r="J8" s="20"/>
    </row>
    <row r="9" spans="1:10" ht="15.75" x14ac:dyDescent="0.25">
      <c r="A9" s="26" t="s">
        <v>18</v>
      </c>
      <c r="B9" s="189" t="s">
        <v>13</v>
      </c>
      <c r="C9" s="189">
        <v>51616820</v>
      </c>
      <c r="D9" s="190" t="s">
        <v>14</v>
      </c>
      <c r="E9" s="189">
        <v>42000</v>
      </c>
      <c r="F9" s="21">
        <v>4.0359999999999996</v>
      </c>
      <c r="G9" s="21">
        <v>4.0594999999999999</v>
      </c>
      <c r="H9" s="18">
        <f>(G9-F9)*E9</f>
        <v>987.00000000001251</v>
      </c>
      <c r="I9" s="19"/>
      <c r="J9" s="20"/>
    </row>
    <row r="10" spans="1:10" ht="15.75" x14ac:dyDescent="0.25">
      <c r="A10" s="219" t="s">
        <v>19</v>
      </c>
      <c r="B10" s="220"/>
      <c r="C10" s="189"/>
      <c r="D10" s="190"/>
      <c r="E10" s="189"/>
      <c r="F10" s="21"/>
      <c r="G10" s="21"/>
      <c r="H10" s="23">
        <f>H8+H9</f>
        <v>186517.79999999705</v>
      </c>
      <c r="I10" s="24">
        <f>H10-H17</f>
        <v>-16.800000004644971</v>
      </c>
      <c r="J10" s="25">
        <f>I10/H10</f>
        <v>-9.0071832311153346E-5</v>
      </c>
    </row>
    <row r="11" spans="1:10" ht="15.75" x14ac:dyDescent="0.25">
      <c r="A11" s="27" t="s">
        <v>20</v>
      </c>
      <c r="B11" s="189" t="s">
        <v>13</v>
      </c>
      <c r="C11" s="189">
        <v>51217286</v>
      </c>
      <c r="D11" s="190" t="s">
        <v>21</v>
      </c>
      <c r="E11" s="189">
        <v>21000</v>
      </c>
      <c r="F11" s="21">
        <v>749.33939999999996</v>
      </c>
      <c r="G11" s="21">
        <v>752.65499999999997</v>
      </c>
      <c r="H11" s="18">
        <f t="shared" ref="H11:H16" si="0">(G11-F11)*E11</f>
        <v>69627.60000000037</v>
      </c>
      <c r="I11" s="19"/>
      <c r="J11" s="20"/>
    </row>
    <row r="12" spans="1:10" ht="15.75" x14ac:dyDescent="0.25">
      <c r="A12" s="27" t="s">
        <v>22</v>
      </c>
      <c r="B12" s="189" t="s">
        <v>13</v>
      </c>
      <c r="C12" s="189">
        <v>51217292</v>
      </c>
      <c r="D12" s="190" t="s">
        <v>21</v>
      </c>
      <c r="E12" s="189">
        <v>21000</v>
      </c>
      <c r="F12" s="28">
        <v>3.0028000000000001</v>
      </c>
      <c r="G12" s="28">
        <v>3.0291000000000001</v>
      </c>
      <c r="H12" s="18">
        <f>(G12-F12)*E12</f>
        <v>552.29999999999984</v>
      </c>
      <c r="I12" s="19"/>
      <c r="J12" s="20"/>
    </row>
    <row r="13" spans="1:10" ht="15.75" x14ac:dyDescent="0.25">
      <c r="A13" s="27" t="s">
        <v>23</v>
      </c>
      <c r="B13" s="189" t="s">
        <v>13</v>
      </c>
      <c r="C13" s="189">
        <v>51217271</v>
      </c>
      <c r="D13" s="190" t="s">
        <v>21</v>
      </c>
      <c r="E13" s="189">
        <v>21000</v>
      </c>
      <c r="F13" s="21">
        <v>544.86919999999998</v>
      </c>
      <c r="G13" s="21">
        <v>547.63660000000004</v>
      </c>
      <c r="H13" s="18">
        <f t="shared" si="0"/>
        <v>58115.400000001384</v>
      </c>
      <c r="I13" s="19"/>
      <c r="J13" s="20"/>
    </row>
    <row r="14" spans="1:10" ht="15.75" x14ac:dyDescent="0.25">
      <c r="A14" s="27" t="s">
        <v>24</v>
      </c>
      <c r="B14" s="189" t="s">
        <v>13</v>
      </c>
      <c r="C14" s="189">
        <v>51217276</v>
      </c>
      <c r="D14" s="190" t="s">
        <v>21</v>
      </c>
      <c r="E14" s="189">
        <v>21000</v>
      </c>
      <c r="F14" s="28">
        <v>0.41489999999999999</v>
      </c>
      <c r="G14" s="28">
        <v>0.41920000000000002</v>
      </c>
      <c r="H14" s="18">
        <f>(G14-F14)*E14</f>
        <v>90.300000000000551</v>
      </c>
      <c r="I14" s="19"/>
      <c r="J14" s="20"/>
    </row>
    <row r="15" spans="1:10" ht="15.75" x14ac:dyDescent="0.25">
      <c r="A15" s="27" t="s">
        <v>25</v>
      </c>
      <c r="B15" s="189" t="s">
        <v>13</v>
      </c>
      <c r="C15" s="189">
        <v>51100990</v>
      </c>
      <c r="D15" s="190" t="s">
        <v>21</v>
      </c>
      <c r="E15" s="189">
        <v>21000</v>
      </c>
      <c r="F15" s="29">
        <v>594.64189999999996</v>
      </c>
      <c r="G15" s="29">
        <v>597.39779999999996</v>
      </c>
      <c r="H15" s="18">
        <f t="shared" si="0"/>
        <v>57873.899999999936</v>
      </c>
      <c r="I15" s="19"/>
      <c r="J15" s="20"/>
    </row>
    <row r="16" spans="1:10" ht="15.75" x14ac:dyDescent="0.25">
      <c r="A16" s="27" t="s">
        <v>26</v>
      </c>
      <c r="B16" s="189" t="s">
        <v>13</v>
      </c>
      <c r="C16" s="189">
        <v>51097622</v>
      </c>
      <c r="D16" s="190" t="s">
        <v>21</v>
      </c>
      <c r="E16" s="189">
        <v>21000</v>
      </c>
      <c r="F16" s="21">
        <v>2.6099000000000001</v>
      </c>
      <c r="G16" s="21">
        <v>2.6230000000000002</v>
      </c>
      <c r="H16" s="18">
        <f t="shared" si="0"/>
        <v>275.10000000000235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89"/>
      <c r="D17" s="190"/>
      <c r="E17" s="189"/>
      <c r="F17" s="21"/>
      <c r="G17" s="21"/>
      <c r="H17" s="23">
        <f>H11+H12+H13+H14+H15+H16</f>
        <v>186534.60000000169</v>
      </c>
      <c r="I17" s="19"/>
      <c r="J17" s="20"/>
    </row>
    <row r="18" spans="1:10" ht="15.75" x14ac:dyDescent="0.25">
      <c r="A18" s="26" t="s">
        <v>29</v>
      </c>
      <c r="B18" s="189" t="s">
        <v>13</v>
      </c>
      <c r="C18" s="189">
        <v>51097617</v>
      </c>
      <c r="D18" s="190" t="s">
        <v>30</v>
      </c>
      <c r="E18" s="189">
        <v>18000</v>
      </c>
      <c r="F18" s="30">
        <v>699.84410000000003</v>
      </c>
      <c r="G18" s="30">
        <v>704.27049999999997</v>
      </c>
      <c r="H18" s="18">
        <f>(G18-F18)*E18</f>
        <v>79675.199999998993</v>
      </c>
      <c r="I18" s="19"/>
      <c r="J18" s="20"/>
    </row>
    <row r="19" spans="1:10" ht="15.75" x14ac:dyDescent="0.25">
      <c r="A19" s="26" t="s">
        <v>31</v>
      </c>
      <c r="B19" s="189" t="s">
        <v>13</v>
      </c>
      <c r="C19" s="189">
        <v>51097655</v>
      </c>
      <c r="D19" s="190" t="s">
        <v>30</v>
      </c>
      <c r="E19" s="189">
        <v>18000</v>
      </c>
      <c r="F19" s="30">
        <v>6.1279000000000003</v>
      </c>
      <c r="G19" s="30">
        <v>6.1279000000000003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89"/>
      <c r="D20" s="190"/>
      <c r="E20" s="189"/>
      <c r="F20" s="30"/>
      <c r="G20" s="30"/>
      <c r="H20" s="23">
        <f>H18+H19</f>
        <v>79675.199999998993</v>
      </c>
      <c r="I20" s="24">
        <f>H20-H35</f>
        <v>4478.4599999992497</v>
      </c>
      <c r="J20" s="25">
        <f>I20/H20</f>
        <v>5.6208958370977495E-2</v>
      </c>
    </row>
    <row r="21" spans="1:10" ht="15.75" x14ac:dyDescent="0.25">
      <c r="A21" s="15" t="s">
        <v>33</v>
      </c>
      <c r="B21" s="189" t="s">
        <v>13</v>
      </c>
      <c r="C21" s="189">
        <v>51217282</v>
      </c>
      <c r="D21" s="190" t="s">
        <v>34</v>
      </c>
      <c r="E21" s="189">
        <v>4800</v>
      </c>
      <c r="F21" s="21">
        <v>378.3732</v>
      </c>
      <c r="G21" s="21">
        <v>378.3732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89" t="s">
        <v>13</v>
      </c>
      <c r="C22" s="189">
        <v>51217274</v>
      </c>
      <c r="D22" s="190" t="s">
        <v>34</v>
      </c>
      <c r="E22" s="189">
        <v>4800</v>
      </c>
      <c r="F22" s="21">
        <v>1113.4844000000001</v>
      </c>
      <c r="G22" s="21">
        <v>1119.6804</v>
      </c>
      <c r="H22" s="18">
        <f t="shared" si="1"/>
        <v>29740.799999999581</v>
      </c>
      <c r="I22" s="19"/>
      <c r="J22" s="20"/>
    </row>
    <row r="23" spans="1:10" ht="15.75" x14ac:dyDescent="0.25">
      <c r="A23" s="15" t="s">
        <v>36</v>
      </c>
      <c r="B23" s="189" t="s">
        <v>13</v>
      </c>
      <c r="C23" s="189">
        <v>51097664</v>
      </c>
      <c r="D23" s="190" t="s">
        <v>37</v>
      </c>
      <c r="E23" s="189">
        <v>600</v>
      </c>
      <c r="F23" s="21">
        <v>4.0919999999999996</v>
      </c>
      <c r="G23" s="21">
        <v>4.1157000000000004</v>
      </c>
      <c r="H23" s="18">
        <f t="shared" si="1"/>
        <v>14.220000000000432</v>
      </c>
      <c r="I23" s="19"/>
      <c r="J23" s="20"/>
    </row>
    <row r="24" spans="1:10" ht="15.75" x14ac:dyDescent="0.25">
      <c r="A24" s="15" t="s">
        <v>38</v>
      </c>
      <c r="B24" s="189" t="s">
        <v>13</v>
      </c>
      <c r="C24" s="189">
        <v>51097615</v>
      </c>
      <c r="D24" s="190" t="s">
        <v>37</v>
      </c>
      <c r="E24" s="189">
        <v>600</v>
      </c>
      <c r="F24" s="21">
        <v>30.040700000000001</v>
      </c>
      <c r="G24" s="21">
        <v>30.429200000000002</v>
      </c>
      <c r="H24" s="18">
        <f t="shared" si="1"/>
        <v>233.10000000000031</v>
      </c>
      <c r="I24" s="19"/>
      <c r="J24" s="20"/>
    </row>
    <row r="25" spans="1:10" ht="15.75" x14ac:dyDescent="0.25">
      <c r="A25" s="15" t="s">
        <v>39</v>
      </c>
      <c r="B25" s="189" t="s">
        <v>13</v>
      </c>
      <c r="C25" s="189">
        <v>51217264</v>
      </c>
      <c r="D25" s="190" t="s">
        <v>37</v>
      </c>
      <c r="E25" s="189">
        <v>600</v>
      </c>
      <c r="F25" s="21">
        <v>76.404899999999998</v>
      </c>
      <c r="G25" s="21">
        <v>77.1511</v>
      </c>
      <c r="H25" s="18">
        <f t="shared" si="1"/>
        <v>447.72000000000105</v>
      </c>
      <c r="I25" s="19"/>
      <c r="J25" s="20"/>
    </row>
    <row r="26" spans="1:10" ht="15.75" x14ac:dyDescent="0.25">
      <c r="A26" s="15" t="s">
        <v>40</v>
      </c>
      <c r="B26" s="189" t="s">
        <v>13</v>
      </c>
      <c r="C26" s="189">
        <v>51217288</v>
      </c>
      <c r="D26" s="190" t="s">
        <v>37</v>
      </c>
      <c r="E26" s="189">
        <v>600</v>
      </c>
      <c r="F26" s="21">
        <v>19.253599999999999</v>
      </c>
      <c r="G26" s="21">
        <v>19.2851</v>
      </c>
      <c r="H26" s="18">
        <f t="shared" si="1"/>
        <v>18.900000000000716</v>
      </c>
      <c r="I26" s="19" t="s">
        <v>27</v>
      </c>
      <c r="J26" s="20"/>
    </row>
    <row r="27" spans="1:10" ht="15.75" x14ac:dyDescent="0.25">
      <c r="A27" s="15" t="s">
        <v>41</v>
      </c>
      <c r="B27" s="189" t="s">
        <v>13</v>
      </c>
      <c r="C27" s="189">
        <v>51217279</v>
      </c>
      <c r="D27" s="190" t="s">
        <v>37</v>
      </c>
      <c r="E27" s="189">
        <v>600</v>
      </c>
      <c r="F27" s="21">
        <v>13.1639</v>
      </c>
      <c r="G27" s="21">
        <v>13.219200000000001</v>
      </c>
      <c r="H27" s="18">
        <f t="shared" si="1"/>
        <v>33.180000000000476</v>
      </c>
      <c r="I27" s="19" t="s">
        <v>27</v>
      </c>
      <c r="J27" s="20"/>
    </row>
    <row r="28" spans="1:10" ht="15.75" x14ac:dyDescent="0.25">
      <c r="A28" s="15" t="s">
        <v>42</v>
      </c>
      <c r="B28" s="189" t="s">
        <v>13</v>
      </c>
      <c r="C28" s="189">
        <v>51217272</v>
      </c>
      <c r="D28" s="190" t="s">
        <v>37</v>
      </c>
      <c r="E28" s="189">
        <v>600</v>
      </c>
      <c r="F28" s="31">
        <v>12.914</v>
      </c>
      <c r="G28" s="31">
        <v>12.968299999999999</v>
      </c>
      <c r="H28" s="18">
        <f t="shared" si="1"/>
        <v>32.579999999999742</v>
      </c>
      <c r="I28" s="19"/>
      <c r="J28" s="20"/>
    </row>
    <row r="29" spans="1:10" ht="15.75" x14ac:dyDescent="0.25">
      <c r="A29" s="15" t="s">
        <v>43</v>
      </c>
      <c r="B29" s="189" t="s">
        <v>13</v>
      </c>
      <c r="C29" s="189">
        <v>51616744</v>
      </c>
      <c r="D29" s="190">
        <f>300/5</f>
        <v>60</v>
      </c>
      <c r="E29" s="189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89" t="s">
        <v>13</v>
      </c>
      <c r="C30" s="189">
        <v>51555226</v>
      </c>
      <c r="D30" s="190">
        <f>300/5</f>
        <v>60</v>
      </c>
      <c r="E30" s="189">
        <v>3600</v>
      </c>
      <c r="F30" s="31">
        <v>355.52030000000002</v>
      </c>
      <c r="G30" s="31">
        <v>359.87450000000001</v>
      </c>
      <c r="H30" s="18">
        <f>(G30-F30)*E30</f>
        <v>15675.11999999997</v>
      </c>
      <c r="I30" s="19"/>
      <c r="J30" s="20"/>
    </row>
    <row r="31" spans="1:10" ht="15.75" x14ac:dyDescent="0.25">
      <c r="A31" s="15" t="s">
        <v>45</v>
      </c>
      <c r="B31" s="189" t="s">
        <v>13</v>
      </c>
      <c r="C31" s="189">
        <v>51097658</v>
      </c>
      <c r="D31" s="190" t="s">
        <v>34</v>
      </c>
      <c r="E31" s="189">
        <v>4800</v>
      </c>
      <c r="F31" s="31">
        <v>531.83579999999995</v>
      </c>
      <c r="G31" s="31">
        <v>535.25959999999998</v>
      </c>
      <c r="H31" s="18">
        <f t="shared" si="1"/>
        <v>16434.240000000136</v>
      </c>
      <c r="I31" s="19"/>
      <c r="J31" s="20"/>
    </row>
    <row r="32" spans="1:10" ht="15.75" x14ac:dyDescent="0.25">
      <c r="A32" s="15" t="s">
        <v>46</v>
      </c>
      <c r="B32" s="189" t="s">
        <v>13</v>
      </c>
      <c r="C32" s="189">
        <v>51097635</v>
      </c>
      <c r="D32" s="190" t="s">
        <v>34</v>
      </c>
      <c r="E32" s="189">
        <v>4800</v>
      </c>
      <c r="F32" s="31">
        <v>48.437399999999997</v>
      </c>
      <c r="G32" s="31">
        <v>48.4375</v>
      </c>
      <c r="H32" s="18">
        <f t="shared" si="1"/>
        <v>0.48000000001593435</v>
      </c>
      <c r="I32" s="19"/>
      <c r="J32" s="20"/>
    </row>
    <row r="33" spans="1:10" ht="15.75" x14ac:dyDescent="0.25">
      <c r="A33" s="15" t="s">
        <v>47</v>
      </c>
      <c r="B33" s="189" t="s">
        <v>13</v>
      </c>
      <c r="C33" s="32">
        <v>51097633</v>
      </c>
      <c r="D33" s="190" t="s">
        <v>34</v>
      </c>
      <c r="E33" s="189">
        <v>4800</v>
      </c>
      <c r="F33" s="31">
        <v>93.2881</v>
      </c>
      <c r="G33" s="31">
        <v>95.834100000000007</v>
      </c>
      <c r="H33" s="33">
        <f t="shared" si="1"/>
        <v>12220.800000000032</v>
      </c>
      <c r="I33" s="34"/>
      <c r="J33" s="35"/>
    </row>
    <row r="34" spans="1:10" ht="15.75" x14ac:dyDescent="0.25">
      <c r="A34" s="15" t="s">
        <v>116</v>
      </c>
      <c r="B34" s="189" t="s">
        <v>13</v>
      </c>
      <c r="C34" s="32">
        <v>51097662</v>
      </c>
      <c r="D34" s="190" t="s">
        <v>34</v>
      </c>
      <c r="E34" s="189">
        <v>4800</v>
      </c>
      <c r="F34" s="31">
        <v>1.482</v>
      </c>
      <c r="G34" s="31">
        <v>1.554</v>
      </c>
      <c r="H34" s="33">
        <f t="shared" si="1"/>
        <v>345.60000000000031</v>
      </c>
      <c r="I34" s="34"/>
      <c r="J34" s="35"/>
    </row>
    <row r="35" spans="1:10" ht="15.75" x14ac:dyDescent="0.25">
      <c r="A35" s="219" t="s">
        <v>48</v>
      </c>
      <c r="B35" s="220"/>
      <c r="C35" s="189"/>
      <c r="D35" s="190"/>
      <c r="E35" s="189"/>
      <c r="F35" s="36"/>
      <c r="G35" s="36"/>
      <c r="H35" s="23">
        <f>H21+H22+H23+H24+H25+H26+H27+H28+H29+H30+H31+H32+H33+H34</f>
        <v>75196.739999999743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89" t="s">
        <v>51</v>
      </c>
      <c r="C37" s="189">
        <v>51555209</v>
      </c>
      <c r="D37" s="190" t="s">
        <v>52</v>
      </c>
      <c r="E37" s="189">
        <v>7000</v>
      </c>
      <c r="F37" s="17">
        <v>4.0529999999999999</v>
      </c>
      <c r="G37" s="17">
        <v>4.1067</v>
      </c>
      <c r="H37" s="41">
        <f>(G37-F37)*E37</f>
        <v>375.90000000000055</v>
      </c>
      <c r="I37" s="42"/>
      <c r="J37" s="14"/>
    </row>
    <row r="38" spans="1:10" ht="15.75" x14ac:dyDescent="0.25">
      <c r="A38" s="15" t="s">
        <v>53</v>
      </c>
      <c r="B38" s="189" t="s">
        <v>51</v>
      </c>
      <c r="C38" s="189">
        <v>51555209</v>
      </c>
      <c r="D38" s="190" t="s">
        <v>52</v>
      </c>
      <c r="E38" s="189">
        <v>7000</v>
      </c>
      <c r="F38" s="21">
        <v>8.7768999999999995</v>
      </c>
      <c r="G38" s="21">
        <v>8.8193999999999999</v>
      </c>
      <c r="H38" s="18">
        <f>(G38-F38)*E38</f>
        <v>297.50000000000296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89" t="s">
        <v>51</v>
      </c>
      <c r="C40" s="189">
        <v>51097674</v>
      </c>
      <c r="D40" s="189" t="s">
        <v>14</v>
      </c>
      <c r="E40" s="189">
        <v>7200</v>
      </c>
      <c r="F40" s="21">
        <v>505.36750000000001</v>
      </c>
      <c r="G40" s="21">
        <v>507.80470000000003</v>
      </c>
      <c r="H40" s="18">
        <f>(G40-F40)*E40</f>
        <v>17547.840000000135</v>
      </c>
      <c r="I40" s="47"/>
      <c r="J40" s="20"/>
    </row>
    <row r="41" spans="1:10" ht="15.75" x14ac:dyDescent="0.25">
      <c r="A41" s="27" t="s">
        <v>56</v>
      </c>
      <c r="B41" s="189" t="s">
        <v>51</v>
      </c>
      <c r="C41" s="189">
        <v>51259257</v>
      </c>
      <c r="D41" s="189" t="s">
        <v>14</v>
      </c>
      <c r="E41" s="189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89"/>
      <c r="C42" s="189"/>
      <c r="D42" s="189"/>
      <c r="E42" s="189"/>
      <c r="F42" s="21"/>
      <c r="G42" s="21"/>
      <c r="H42" s="48">
        <f>H40+H41</f>
        <v>17547.840000000135</v>
      </c>
      <c r="I42" s="24">
        <f>H42-H50</f>
        <v>-118.75999999988926</v>
      </c>
      <c r="J42" s="25">
        <f>I42/H42</f>
        <v>-6.767784525040595E-3</v>
      </c>
    </row>
    <row r="43" spans="1:10" ht="15.75" x14ac:dyDescent="0.25">
      <c r="A43" s="15" t="s">
        <v>58</v>
      </c>
      <c r="B43" s="189"/>
      <c r="C43" s="189"/>
      <c r="D43" s="190"/>
      <c r="E43" s="189"/>
      <c r="H43" s="18"/>
      <c r="I43" s="43"/>
      <c r="J43" s="20"/>
    </row>
    <row r="44" spans="1:10" ht="15.75" x14ac:dyDescent="0.25">
      <c r="A44" s="27" t="s">
        <v>59</v>
      </c>
      <c r="B44" s="189" t="s">
        <v>51</v>
      </c>
      <c r="C44" s="32">
        <v>51097648</v>
      </c>
      <c r="D44" s="189" t="s">
        <v>52</v>
      </c>
      <c r="E44" s="189">
        <v>1200</v>
      </c>
      <c r="F44" s="21">
        <v>413.54660000000001</v>
      </c>
      <c r="G44" s="21">
        <v>415.5453</v>
      </c>
      <c r="H44" s="33">
        <f>(G44-F44)*E44</f>
        <v>2398.4399999999823</v>
      </c>
      <c r="I44" s="43"/>
      <c r="J44" s="20"/>
    </row>
    <row r="45" spans="1:10" ht="15.75" x14ac:dyDescent="0.25">
      <c r="A45" s="27" t="s">
        <v>60</v>
      </c>
      <c r="B45" s="189" t="s">
        <v>51</v>
      </c>
      <c r="C45" s="32">
        <v>50555043</v>
      </c>
      <c r="D45" s="189" t="s">
        <v>52</v>
      </c>
      <c r="E45" s="189">
        <v>1200</v>
      </c>
      <c r="F45" s="21">
        <v>1733.1078</v>
      </c>
      <c r="G45" s="21">
        <v>1741.7364</v>
      </c>
      <c r="H45" s="33">
        <f>(G45-F45)*E45</f>
        <v>10354.320000000007</v>
      </c>
      <c r="I45" s="43"/>
      <c r="J45" s="20"/>
    </row>
    <row r="46" spans="1:10" ht="15.75" x14ac:dyDescent="0.25">
      <c r="A46" s="27" t="s">
        <v>61</v>
      </c>
      <c r="B46" s="189" t="s">
        <v>51</v>
      </c>
      <c r="C46" s="32">
        <v>51259336</v>
      </c>
      <c r="D46" s="189" t="s">
        <v>62</v>
      </c>
      <c r="E46" s="189">
        <v>2400</v>
      </c>
      <c r="F46" s="21">
        <v>3.6301000000000001</v>
      </c>
      <c r="G46" s="21">
        <v>3.6440999999999999</v>
      </c>
      <c r="H46" s="33">
        <f>(G46-F46)*E46</f>
        <v>33.599999999999497</v>
      </c>
      <c r="I46" s="43"/>
      <c r="J46" s="20"/>
    </row>
    <row r="47" spans="1:10" ht="15.75" x14ac:dyDescent="0.25">
      <c r="A47" s="27" t="s">
        <v>63</v>
      </c>
      <c r="B47" s="189" t="s">
        <v>51</v>
      </c>
      <c r="C47" s="32">
        <v>51259266</v>
      </c>
      <c r="D47" s="189" t="s">
        <v>52</v>
      </c>
      <c r="E47" s="189">
        <v>1200</v>
      </c>
      <c r="F47" s="21">
        <v>840.97879999999998</v>
      </c>
      <c r="G47" s="21">
        <v>844.6875</v>
      </c>
      <c r="H47" s="33">
        <f>(G47-F47)*E47</f>
        <v>4450.440000000026</v>
      </c>
      <c r="I47" s="43"/>
      <c r="J47" s="20"/>
    </row>
    <row r="48" spans="1:10" ht="15.75" x14ac:dyDescent="0.25">
      <c r="A48" s="27" t="s">
        <v>64</v>
      </c>
      <c r="B48" s="189" t="s">
        <v>51</v>
      </c>
      <c r="C48" s="32">
        <v>51431336</v>
      </c>
      <c r="D48" s="189" t="s">
        <v>52</v>
      </c>
      <c r="E48" s="189">
        <v>1200</v>
      </c>
      <c r="F48" s="21">
        <v>45.55</v>
      </c>
      <c r="G48" s="21">
        <v>45.866500000000002</v>
      </c>
      <c r="H48" s="33">
        <f>(G48-F48)*E48</f>
        <v>379.80000000000587</v>
      </c>
      <c r="I48" s="43"/>
      <c r="J48" s="20"/>
    </row>
    <row r="49" spans="1:10" ht="15.75" x14ac:dyDescent="0.25">
      <c r="A49" s="15" t="s">
        <v>65</v>
      </c>
      <c r="B49" s="189" t="s">
        <v>66</v>
      </c>
      <c r="C49" s="189">
        <v>49174</v>
      </c>
      <c r="D49" s="190" t="s">
        <v>52</v>
      </c>
      <c r="E49" s="189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17666.600000000024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89" t="s">
        <v>51</v>
      </c>
      <c r="C52" s="189">
        <v>51097603</v>
      </c>
      <c r="D52" s="190" t="s">
        <v>52</v>
      </c>
      <c r="E52" s="189">
        <v>7000</v>
      </c>
      <c r="F52" s="17">
        <v>1681.5771</v>
      </c>
      <c r="G52" s="17">
        <v>1688.8104000000001</v>
      </c>
      <c r="H52" s="18">
        <f>(G52-F52)*E52</f>
        <v>50633.100000000697</v>
      </c>
      <c r="I52" s="43"/>
      <c r="J52" s="20"/>
    </row>
    <row r="53" spans="1:10" ht="15.75" x14ac:dyDescent="0.25">
      <c r="A53" s="27" t="s">
        <v>71</v>
      </c>
      <c r="B53" s="189" t="s">
        <v>51</v>
      </c>
      <c r="C53" s="189">
        <v>51097590</v>
      </c>
      <c r="D53" s="190" t="s">
        <v>52</v>
      </c>
      <c r="E53" s="189">
        <v>7000</v>
      </c>
      <c r="F53" s="21">
        <v>9.9870000000000001</v>
      </c>
      <c r="G53" s="21">
        <v>10.065</v>
      </c>
      <c r="H53" s="18">
        <f>(G53-F53)*E53</f>
        <v>545.99999999999579</v>
      </c>
      <c r="I53" s="43"/>
      <c r="J53" s="20"/>
    </row>
    <row r="54" spans="1:10" ht="15.75" x14ac:dyDescent="0.25">
      <c r="A54" s="15" t="s">
        <v>65</v>
      </c>
      <c r="B54" s="189" t="s">
        <v>66</v>
      </c>
      <c r="C54" s="189">
        <v>49174</v>
      </c>
      <c r="D54" s="190" t="s">
        <v>52</v>
      </c>
      <c r="E54" s="189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89"/>
      <c r="D55" s="190"/>
      <c r="E55" s="189"/>
      <c r="F55" s="21"/>
      <c r="G55" s="21"/>
      <c r="H55" s="48">
        <f>H52+H53+H54</f>
        <v>51279.10000000069</v>
      </c>
      <c r="I55" s="47"/>
      <c r="J55" s="59"/>
    </row>
    <row r="56" spans="1:10" ht="15.75" x14ac:dyDescent="0.25">
      <c r="A56" s="27" t="s">
        <v>73</v>
      </c>
      <c r="B56" s="189" t="s">
        <v>51</v>
      </c>
      <c r="C56" s="189">
        <v>51100980</v>
      </c>
      <c r="D56" s="189" t="s">
        <v>74</v>
      </c>
      <c r="E56" s="189">
        <v>12000</v>
      </c>
      <c r="F56" s="21">
        <v>989.0847</v>
      </c>
      <c r="G56" s="21">
        <v>993.35230000000001</v>
      </c>
      <c r="H56" s="18">
        <f>(G56-F56)*E56</f>
        <v>51211.200000000186</v>
      </c>
      <c r="I56" s="47"/>
      <c r="J56" s="58"/>
    </row>
    <row r="57" spans="1:10" ht="15.75" x14ac:dyDescent="0.25">
      <c r="A57" s="27" t="s">
        <v>75</v>
      </c>
      <c r="B57" s="189" t="s">
        <v>51</v>
      </c>
      <c r="C57" s="189">
        <v>51097623</v>
      </c>
      <c r="D57" s="189" t="s">
        <v>74</v>
      </c>
      <c r="E57" s="189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89"/>
      <c r="C58" s="189"/>
      <c r="D58" s="189"/>
      <c r="E58" s="189"/>
      <c r="F58" s="21"/>
      <c r="G58" s="21"/>
      <c r="H58" s="48">
        <f>H56+H57</f>
        <v>51211.200000000186</v>
      </c>
      <c r="I58" s="61">
        <f>H55-H65-H54</f>
        <v>-103.8599999993603</v>
      </c>
      <c r="J58" s="25">
        <f>I58/H58</f>
        <v>-2.0280719842409459E-3</v>
      </c>
    </row>
    <row r="59" spans="1:10" ht="15.75" x14ac:dyDescent="0.25">
      <c r="A59" s="27" t="s">
        <v>77</v>
      </c>
      <c r="B59" s="189" t="s">
        <v>51</v>
      </c>
      <c r="C59" s="189">
        <v>51097675</v>
      </c>
      <c r="D59" s="189" t="s">
        <v>34</v>
      </c>
      <c r="E59" s="189">
        <v>4800</v>
      </c>
      <c r="F59" s="21">
        <v>395.11360000000002</v>
      </c>
      <c r="G59" s="21">
        <v>398.40159999999997</v>
      </c>
      <c r="H59" s="18">
        <f t="shared" ref="H59:H64" si="2">(G59-F59)*E59</f>
        <v>15782.39999999978</v>
      </c>
      <c r="I59" s="62"/>
      <c r="J59" s="59"/>
    </row>
    <row r="60" spans="1:10" ht="15.75" x14ac:dyDescent="0.25">
      <c r="A60" s="27" t="s">
        <v>78</v>
      </c>
      <c r="B60" s="189" t="s">
        <v>51</v>
      </c>
      <c r="C60" s="189">
        <v>51100997</v>
      </c>
      <c r="D60" s="189" t="s">
        <v>21</v>
      </c>
      <c r="E60" s="189">
        <v>3600</v>
      </c>
      <c r="F60" s="21">
        <v>1260.5019</v>
      </c>
      <c r="G60" s="21">
        <v>1263.5905</v>
      </c>
      <c r="H60" s="18">
        <f t="shared" si="2"/>
        <v>11118.960000000152</v>
      </c>
      <c r="I60" s="62"/>
      <c r="J60" s="59"/>
    </row>
    <row r="61" spans="1:10" ht="15.75" x14ac:dyDescent="0.25">
      <c r="A61" s="27" t="s">
        <v>79</v>
      </c>
      <c r="B61" s="189" t="s">
        <v>51</v>
      </c>
      <c r="C61" s="189">
        <v>51555218</v>
      </c>
      <c r="D61" s="189">
        <f>400/5</f>
        <v>80</v>
      </c>
      <c r="E61" s="189">
        <v>4800</v>
      </c>
      <c r="F61" s="21">
        <v>44.986800000000002</v>
      </c>
      <c r="G61" s="21">
        <v>45.570700000000002</v>
      </c>
      <c r="H61" s="18">
        <f t="shared" si="2"/>
        <v>2802.7199999999993</v>
      </c>
      <c r="I61" s="62"/>
      <c r="J61" s="59"/>
    </row>
    <row r="62" spans="1:10" ht="15.75" x14ac:dyDescent="0.25">
      <c r="A62" s="27" t="s">
        <v>80</v>
      </c>
      <c r="B62" s="189" t="s">
        <v>51</v>
      </c>
      <c r="C62" s="189">
        <v>51555151</v>
      </c>
      <c r="D62" s="189">
        <f>400/5</f>
        <v>80</v>
      </c>
      <c r="E62" s="189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89" t="s">
        <v>51</v>
      </c>
      <c r="C63" s="189">
        <v>51097599</v>
      </c>
      <c r="D63" s="189" t="s">
        <v>21</v>
      </c>
      <c r="E63" s="189">
        <v>3600</v>
      </c>
      <c r="F63" s="21">
        <v>878.45759999999996</v>
      </c>
      <c r="G63" s="21">
        <v>880.85519999999997</v>
      </c>
      <c r="H63" s="18">
        <f t="shared" si="2"/>
        <v>8631.3600000000406</v>
      </c>
      <c r="I63" s="62"/>
      <c r="J63" s="59"/>
    </row>
    <row r="64" spans="1:10" ht="15.75" x14ac:dyDescent="0.25">
      <c r="A64" s="27" t="s">
        <v>82</v>
      </c>
      <c r="B64" s="189" t="s">
        <v>51</v>
      </c>
      <c r="C64" s="189">
        <v>51097620</v>
      </c>
      <c r="D64" s="189" t="s">
        <v>34</v>
      </c>
      <c r="E64" s="189">
        <v>4800</v>
      </c>
      <c r="F64" s="21">
        <v>417.28399999999999</v>
      </c>
      <c r="G64" s="21">
        <v>419.98140000000001</v>
      </c>
      <c r="H64" s="18">
        <f t="shared" si="2"/>
        <v>12947.520000000077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51282.96000000005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89" t="s">
        <v>51</v>
      </c>
      <c r="C67" s="9">
        <v>51259238</v>
      </c>
      <c r="D67" s="74" t="s">
        <v>52</v>
      </c>
      <c r="E67" s="74">
        <v>7000</v>
      </c>
      <c r="F67" s="75">
        <v>456.79180000000002</v>
      </c>
      <c r="G67" s="75">
        <v>459.87459999999999</v>
      </c>
      <c r="H67" s="76">
        <f>(G67-F67)*E67</f>
        <v>21579.599999999744</v>
      </c>
      <c r="I67" s="77"/>
      <c r="J67" s="78"/>
    </row>
    <row r="68" spans="1:10" ht="15.75" x14ac:dyDescent="0.25">
      <c r="A68" s="27" t="s">
        <v>85</v>
      </c>
      <c r="B68" s="189" t="s">
        <v>51</v>
      </c>
      <c r="C68" s="189">
        <v>51259324</v>
      </c>
      <c r="D68" s="190" t="s">
        <v>52</v>
      </c>
      <c r="E68" s="190">
        <v>7000</v>
      </c>
      <c r="F68" s="21">
        <v>350.86559999999997</v>
      </c>
      <c r="G68" s="21">
        <v>353.13380000000001</v>
      </c>
      <c r="H68" s="18">
        <f>(G68-F68)*E68</f>
        <v>15877.400000000251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89">
        <v>51491618</v>
      </c>
      <c r="D69" s="190" t="s">
        <v>62</v>
      </c>
      <c r="E69" s="189">
        <v>40</v>
      </c>
      <c r="F69" s="28">
        <v>860.88300000000004</v>
      </c>
      <c r="G69" s="28">
        <v>872.35350000000005</v>
      </c>
      <c r="H69" s="18">
        <f>(G69-F69)*E69</f>
        <v>458.82000000000062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89">
        <v>51491624</v>
      </c>
      <c r="D70" s="190" t="s">
        <v>62</v>
      </c>
      <c r="E70" s="189">
        <v>40</v>
      </c>
      <c r="F70" s="28">
        <v>118.048</v>
      </c>
      <c r="G70" s="28">
        <v>119.16800000000001</v>
      </c>
      <c r="H70" s="18">
        <f>(G70-F70)*E70</f>
        <v>44.800000000000182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37456.999999999993</v>
      </c>
      <c r="I71" s="85">
        <f>H71-H74-H69-H70</f>
        <v>-1037.419999999931</v>
      </c>
      <c r="J71" s="25">
        <f>I71/H71</f>
        <v>-2.7696291747869053E-2</v>
      </c>
    </row>
    <row r="72" spans="1:10" ht="15.75" x14ac:dyDescent="0.25">
      <c r="A72" s="27" t="s">
        <v>90</v>
      </c>
      <c r="B72" s="189" t="s">
        <v>51</v>
      </c>
      <c r="C72" s="86">
        <v>51097588</v>
      </c>
      <c r="D72" s="190" t="s">
        <v>74</v>
      </c>
      <c r="E72" s="189">
        <v>12000</v>
      </c>
      <c r="F72" s="21">
        <v>276.31139999999999</v>
      </c>
      <c r="G72" s="21">
        <v>278.1053</v>
      </c>
      <c r="H72" s="18">
        <f>(G72-F72)*E72</f>
        <v>21526.800000000094</v>
      </c>
      <c r="I72" s="51"/>
      <c r="J72" s="58"/>
    </row>
    <row r="73" spans="1:10" ht="15.75" x14ac:dyDescent="0.25">
      <c r="A73" s="27" t="s">
        <v>91</v>
      </c>
      <c r="B73" s="189" t="s">
        <v>51</v>
      </c>
      <c r="C73" s="86">
        <v>51431335</v>
      </c>
      <c r="D73" s="190" t="s">
        <v>74</v>
      </c>
      <c r="E73" s="189">
        <v>12000</v>
      </c>
      <c r="F73" s="21">
        <v>215.48480000000001</v>
      </c>
      <c r="G73" s="21">
        <v>216.85679999999999</v>
      </c>
      <c r="H73" s="18">
        <f>(G73-F73)*E73</f>
        <v>16463.999999999829</v>
      </c>
      <c r="I73" s="51"/>
      <c r="J73" s="58"/>
    </row>
    <row r="74" spans="1:10" ht="15.75" x14ac:dyDescent="0.25">
      <c r="A74" s="87" t="s">
        <v>92</v>
      </c>
      <c r="B74" s="189" t="s">
        <v>27</v>
      </c>
      <c r="C74" s="189"/>
      <c r="D74" s="190"/>
      <c r="E74" s="189"/>
      <c r="F74" s="21"/>
      <c r="G74" s="21"/>
      <c r="H74" s="48">
        <f>H72+ H73</f>
        <v>37990.799999999923</v>
      </c>
      <c r="I74" s="85">
        <f>H74-H82</f>
        <v>-102.59999999977299</v>
      </c>
      <c r="J74" s="25">
        <f>I74/H74</f>
        <v>-2.7006538425032693E-3</v>
      </c>
    </row>
    <row r="75" spans="1:10" ht="15.75" x14ac:dyDescent="0.25">
      <c r="A75" s="27" t="s">
        <v>93</v>
      </c>
      <c r="B75" s="189" t="s">
        <v>51</v>
      </c>
      <c r="C75" s="86">
        <v>51097676</v>
      </c>
      <c r="D75" s="88" t="s">
        <v>62</v>
      </c>
      <c r="E75" s="189">
        <v>2400</v>
      </c>
      <c r="F75" s="21">
        <v>560.92690000000005</v>
      </c>
      <c r="G75" s="21">
        <v>565.45360000000005</v>
      </c>
      <c r="H75" s="18">
        <f>(G75-F75)*E75</f>
        <v>10864.080000000013</v>
      </c>
      <c r="I75" s="51"/>
      <c r="J75" s="58"/>
    </row>
    <row r="76" spans="1:10" ht="15.75" x14ac:dyDescent="0.25">
      <c r="A76" s="27" t="s">
        <v>94</v>
      </c>
      <c r="B76" s="189" t="s">
        <v>51</v>
      </c>
      <c r="C76" s="86">
        <v>51431355</v>
      </c>
      <c r="D76" s="190" t="s">
        <v>21</v>
      </c>
      <c r="E76" s="190">
        <v>3600</v>
      </c>
      <c r="F76" s="21">
        <v>316.21449999999999</v>
      </c>
      <c r="G76" s="21">
        <v>317.3433</v>
      </c>
      <c r="H76" s="18">
        <f>(G76-F76)*E76</f>
        <v>4063.6800000000449</v>
      </c>
      <c r="I76" s="51"/>
      <c r="J76" s="52"/>
    </row>
    <row r="77" spans="1:10" ht="15.75" x14ac:dyDescent="0.25">
      <c r="A77" s="27" t="s">
        <v>95</v>
      </c>
      <c r="B77" s="189" t="s">
        <v>51</v>
      </c>
      <c r="C77" s="86">
        <v>51259331</v>
      </c>
      <c r="D77" s="88" t="s">
        <v>37</v>
      </c>
      <c r="E77" s="189">
        <v>600</v>
      </c>
      <c r="F77" s="21">
        <v>130.42689999999999</v>
      </c>
      <c r="G77" s="21">
        <v>131.68870000000001</v>
      </c>
      <c r="H77" s="18">
        <f>(G77-F77)*E77</f>
        <v>757.08000000001334</v>
      </c>
      <c r="I77" s="51"/>
      <c r="J77" s="52"/>
    </row>
    <row r="78" spans="1:10" ht="15.75" x14ac:dyDescent="0.25">
      <c r="A78" s="27" t="s">
        <v>96</v>
      </c>
      <c r="B78" s="189" t="s">
        <v>51</v>
      </c>
      <c r="C78" s="86">
        <v>51259326</v>
      </c>
      <c r="D78" s="88" t="s">
        <v>14</v>
      </c>
      <c r="E78" s="189">
        <v>7200</v>
      </c>
      <c r="F78" s="21">
        <v>277.99360000000001</v>
      </c>
      <c r="G78" s="21">
        <v>279.48989999999998</v>
      </c>
      <c r="H78" s="18">
        <f>(G78-F78)*E78</f>
        <v>10773.35999999973</v>
      </c>
      <c r="I78" s="51"/>
      <c r="J78" s="52"/>
    </row>
    <row r="79" spans="1:10" ht="15.75" x14ac:dyDescent="0.25">
      <c r="A79" s="27" t="s">
        <v>97</v>
      </c>
      <c r="B79" s="189" t="s">
        <v>51</v>
      </c>
      <c r="C79" s="86">
        <v>51431351</v>
      </c>
      <c r="D79" s="88" t="s">
        <v>14</v>
      </c>
      <c r="E79" s="189">
        <v>7200</v>
      </c>
      <c r="F79" s="21">
        <v>187.2124</v>
      </c>
      <c r="G79" s="21">
        <v>188.82839999999999</v>
      </c>
      <c r="H79" s="18">
        <f>(G79-F79)*E79</f>
        <v>11635.199999999895</v>
      </c>
      <c r="I79" s="51"/>
      <c r="J79" s="52"/>
    </row>
    <row r="80" spans="1:10" ht="15.75" x14ac:dyDescent="0.25">
      <c r="A80" s="89" t="s">
        <v>98</v>
      </c>
      <c r="B80" s="189" t="s">
        <v>51</v>
      </c>
      <c r="C80" s="90">
        <v>51097666</v>
      </c>
      <c r="D80" s="88" t="s">
        <v>62</v>
      </c>
      <c r="E80" s="189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89" t="s">
        <v>51</v>
      </c>
      <c r="C81" s="90">
        <v>51259323</v>
      </c>
      <c r="D81" s="88" t="s">
        <v>62</v>
      </c>
      <c r="E81" s="189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38093.399999999696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89" t="s">
        <v>51</v>
      </c>
      <c r="C84" s="106">
        <v>51431297</v>
      </c>
      <c r="D84" s="190" t="s">
        <v>52</v>
      </c>
      <c r="E84" s="100">
        <v>7000</v>
      </c>
      <c r="F84" s="17">
        <v>232.6833</v>
      </c>
      <c r="G84" s="17">
        <v>233.57320000000001</v>
      </c>
      <c r="H84" s="18">
        <f>(G84-F84)*E84</f>
        <v>6229.3000000000802</v>
      </c>
      <c r="I84" s="107"/>
      <c r="J84" s="108"/>
    </row>
    <row r="85" spans="1:10" ht="15.75" x14ac:dyDescent="0.25">
      <c r="A85" s="105" t="s">
        <v>85</v>
      </c>
      <c r="B85" s="189" t="s">
        <v>51</v>
      </c>
      <c r="C85" s="106">
        <v>51431332</v>
      </c>
      <c r="D85" s="190" t="s">
        <v>52</v>
      </c>
      <c r="E85" s="100">
        <v>7000</v>
      </c>
      <c r="F85" s="21">
        <v>307.90089999999998</v>
      </c>
      <c r="G85" s="21">
        <v>309.66370000000001</v>
      </c>
      <c r="H85" s="18">
        <f>(G85-F85)*E85</f>
        <v>12339.60000000019</v>
      </c>
      <c r="I85" s="189"/>
      <c r="J85" s="58"/>
    </row>
    <row r="86" spans="1:10" ht="15.75" x14ac:dyDescent="0.25">
      <c r="A86" s="27" t="s">
        <v>86</v>
      </c>
      <c r="B86" s="189" t="s">
        <v>102</v>
      </c>
      <c r="C86" s="109">
        <v>150773</v>
      </c>
      <c r="D86" s="190" t="s">
        <v>52</v>
      </c>
      <c r="E86" s="109">
        <v>20</v>
      </c>
      <c r="F86" s="17">
        <v>15356.9</v>
      </c>
      <c r="G86" s="17">
        <v>15366.2</v>
      </c>
      <c r="H86" s="18">
        <f>(G86-F86)*E86</f>
        <v>186.00000000002183</v>
      </c>
      <c r="I86" s="51"/>
      <c r="J86" s="58"/>
    </row>
    <row r="87" spans="1:10" ht="15.75" x14ac:dyDescent="0.25">
      <c r="A87" s="27" t="s">
        <v>88</v>
      </c>
      <c r="B87" s="189" t="s">
        <v>102</v>
      </c>
      <c r="C87" s="109">
        <v>150791</v>
      </c>
      <c r="D87" s="190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91"/>
      <c r="C88" s="32"/>
      <c r="D88" s="82"/>
      <c r="E88" s="82"/>
      <c r="F88" s="21"/>
      <c r="G88" s="21"/>
      <c r="H88" s="48">
        <f>H84+H85</f>
        <v>18568.900000000271</v>
      </c>
      <c r="I88" s="85">
        <f>H88-H91-H86-H87</f>
        <v>473.62000000012267</v>
      </c>
      <c r="J88" s="25">
        <f>I88/H88</f>
        <v>2.5506088136621759E-2</v>
      </c>
    </row>
    <row r="89" spans="1:10" ht="15.75" x14ac:dyDescent="0.25">
      <c r="A89" s="27" t="s">
        <v>103</v>
      </c>
      <c r="B89" s="189" t="s">
        <v>51</v>
      </c>
      <c r="C89" s="106">
        <v>51431342</v>
      </c>
      <c r="D89" s="88" t="s">
        <v>34</v>
      </c>
      <c r="E89" s="189">
        <v>4800</v>
      </c>
      <c r="F89" s="21">
        <v>329.64109999999999</v>
      </c>
      <c r="G89" s="21">
        <v>330.89890000000003</v>
      </c>
      <c r="H89" s="18">
        <f>(G89-F89)*E89</f>
        <v>6037.4400000001515</v>
      </c>
      <c r="I89" s="51"/>
      <c r="J89" s="52"/>
    </row>
    <row r="90" spans="1:10" ht="15.75" x14ac:dyDescent="0.25">
      <c r="A90" s="27" t="s">
        <v>104</v>
      </c>
      <c r="B90" s="189" t="s">
        <v>51</v>
      </c>
      <c r="C90" s="106">
        <v>51431343</v>
      </c>
      <c r="D90" s="88" t="s">
        <v>34</v>
      </c>
      <c r="E90" s="189">
        <v>4800</v>
      </c>
      <c r="F90" s="21">
        <v>436.01920000000001</v>
      </c>
      <c r="G90" s="21">
        <v>438.49250000000001</v>
      </c>
      <c r="H90" s="18">
        <f>(G90-F90)*E90</f>
        <v>11871.839999999975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17909.280000000126</v>
      </c>
      <c r="I91" s="85">
        <f>H91-H99</f>
        <v>-154.19999999986976</v>
      </c>
      <c r="J91" s="25">
        <f>I91/H91</f>
        <v>-8.6100613759943819E-3</v>
      </c>
    </row>
    <row r="92" spans="1:10" ht="15.75" x14ac:dyDescent="0.25">
      <c r="A92" s="27" t="s">
        <v>106</v>
      </c>
      <c r="B92" s="189" t="s">
        <v>51</v>
      </c>
      <c r="C92" s="106">
        <v>51431347</v>
      </c>
      <c r="D92" s="190" t="s">
        <v>52</v>
      </c>
      <c r="E92" s="189">
        <v>1200</v>
      </c>
      <c r="F92" s="21">
        <v>964.54690000000005</v>
      </c>
      <c r="G92" s="21">
        <v>972.99009999999998</v>
      </c>
      <c r="H92" s="18">
        <f t="shared" ref="H92:H100" si="4">(G92-F92)*E92</f>
        <v>10131.83999999992</v>
      </c>
      <c r="I92" s="51"/>
      <c r="J92" s="52"/>
    </row>
    <row r="93" spans="1:10" ht="15.75" x14ac:dyDescent="0.25">
      <c r="A93" s="27" t="s">
        <v>107</v>
      </c>
      <c r="B93" s="189" t="s">
        <v>51</v>
      </c>
      <c r="C93" s="106">
        <v>51431339</v>
      </c>
      <c r="D93" s="190" t="s">
        <v>52</v>
      </c>
      <c r="E93" s="189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89" t="s">
        <v>51</v>
      </c>
      <c r="C94" s="106">
        <v>51217244</v>
      </c>
      <c r="D94" s="189" t="s">
        <v>37</v>
      </c>
      <c r="E94" s="189">
        <v>600</v>
      </c>
      <c r="F94" s="30">
        <v>261.43610000000001</v>
      </c>
      <c r="G94" s="30">
        <v>264.21190000000001</v>
      </c>
      <c r="H94" s="18">
        <f t="shared" si="4"/>
        <v>1665.4800000000023</v>
      </c>
      <c r="I94" s="51"/>
      <c r="J94" s="52"/>
    </row>
    <row r="95" spans="1:10" ht="15.75" x14ac:dyDescent="0.25">
      <c r="A95" s="27" t="s">
        <v>109</v>
      </c>
      <c r="B95" s="189" t="s">
        <v>51</v>
      </c>
      <c r="C95" s="106">
        <v>51217267</v>
      </c>
      <c r="D95" s="88" t="s">
        <v>62</v>
      </c>
      <c r="E95" s="189">
        <v>2400</v>
      </c>
      <c r="F95" s="30">
        <v>19.135300000000001</v>
      </c>
      <c r="G95" s="30">
        <v>19.167200000000001</v>
      </c>
      <c r="H95" s="18">
        <f t="shared" si="4"/>
        <v>76.560000000000628</v>
      </c>
      <c r="I95" s="51"/>
      <c r="J95" s="52"/>
    </row>
    <row r="96" spans="1:10" ht="15.75" x14ac:dyDescent="0.25">
      <c r="A96" s="27" t="s">
        <v>110</v>
      </c>
      <c r="B96" s="189" t="s">
        <v>51</v>
      </c>
      <c r="C96" s="189">
        <v>51555165</v>
      </c>
      <c r="D96" s="190" t="s">
        <v>52</v>
      </c>
      <c r="E96" s="189">
        <v>1200</v>
      </c>
      <c r="F96" s="30">
        <v>771.62789999999995</v>
      </c>
      <c r="G96" s="30">
        <v>771.62789999999995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189" t="s">
        <v>51</v>
      </c>
      <c r="C97" s="106">
        <v>51431346</v>
      </c>
      <c r="D97" s="114" t="s">
        <v>37</v>
      </c>
      <c r="E97" s="114">
        <v>600</v>
      </c>
      <c r="F97" s="30">
        <v>311.3897</v>
      </c>
      <c r="G97" s="30">
        <v>311.82810000000001</v>
      </c>
      <c r="H97" s="115">
        <f t="shared" si="4"/>
        <v>263.04000000000087</v>
      </c>
      <c r="I97" s="116"/>
      <c r="J97" s="117"/>
    </row>
    <row r="98" spans="1:10" ht="15.75" x14ac:dyDescent="0.25">
      <c r="A98" s="27" t="s">
        <v>112</v>
      </c>
      <c r="B98" s="189" t="s">
        <v>51</v>
      </c>
      <c r="C98" s="106">
        <v>51431352</v>
      </c>
      <c r="D98" s="88" t="s">
        <v>21</v>
      </c>
      <c r="E98" s="189">
        <v>3600</v>
      </c>
      <c r="F98" s="21">
        <v>170.80619999999999</v>
      </c>
      <c r="G98" s="21">
        <v>172.4008</v>
      </c>
      <c r="H98" s="18">
        <f t="shared" si="4"/>
        <v>5740.5600000000504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18063.479999999996</v>
      </c>
      <c r="I99" s="51"/>
      <c r="J99" s="52"/>
    </row>
    <row r="100" spans="1:10" ht="15.75" x14ac:dyDescent="0.25">
      <c r="A100" s="45" t="s">
        <v>113</v>
      </c>
      <c r="B100" s="189" t="s">
        <v>51</v>
      </c>
      <c r="C100" s="120">
        <v>51431357</v>
      </c>
      <c r="D100" s="190" t="s">
        <v>62</v>
      </c>
      <c r="E100" s="190">
        <v>14000</v>
      </c>
      <c r="F100" s="28">
        <v>703.75080000000003</v>
      </c>
      <c r="G100" s="28">
        <v>707.58960000000002</v>
      </c>
      <c r="H100" s="121">
        <f t="shared" si="4"/>
        <v>53743.199999999888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145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149</v>
      </c>
      <c r="G3" s="4" t="s">
        <v>150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92" t="s">
        <v>13</v>
      </c>
      <c r="C5" s="192">
        <v>51555166</v>
      </c>
      <c r="D5" s="192" t="s">
        <v>14</v>
      </c>
      <c r="E5" s="192">
        <v>132000</v>
      </c>
      <c r="F5" s="17">
        <v>2.4729999999999999</v>
      </c>
      <c r="G5" s="17">
        <v>2.484</v>
      </c>
      <c r="H5" s="18">
        <f>(G5-F5)*E5</f>
        <v>1452.0000000000159</v>
      </c>
      <c r="I5" s="19"/>
      <c r="J5" s="20"/>
    </row>
    <row r="6" spans="1:10" ht="15.75" x14ac:dyDescent="0.25">
      <c r="A6" s="15" t="s">
        <v>15</v>
      </c>
      <c r="B6" s="192" t="s">
        <v>13</v>
      </c>
      <c r="C6" s="192">
        <v>51555191</v>
      </c>
      <c r="D6" s="192" t="s">
        <v>14</v>
      </c>
      <c r="E6" s="192">
        <v>132000</v>
      </c>
      <c r="F6" s="21">
        <v>300.8569</v>
      </c>
      <c r="G6" s="21">
        <v>302.87400000000002</v>
      </c>
      <c r="H6" s="18">
        <f>(G6-F6)*E6</f>
        <v>266257.20000000368</v>
      </c>
      <c r="I6" s="19"/>
      <c r="J6" s="20"/>
    </row>
    <row r="7" spans="1:10" ht="15.75" x14ac:dyDescent="0.25">
      <c r="A7" s="219" t="s">
        <v>16</v>
      </c>
      <c r="B7" s="220"/>
      <c r="C7" s="192"/>
      <c r="D7" s="193"/>
      <c r="E7" s="192"/>
      <c r="H7" s="23">
        <f>H5+H6</f>
        <v>267709.20000000368</v>
      </c>
      <c r="I7" s="24">
        <f>H7-H10-H20</f>
        <v>2221.2000000001426</v>
      </c>
      <c r="J7" s="25">
        <f>I7/H7</f>
        <v>8.2970626336342276E-3</v>
      </c>
    </row>
    <row r="8" spans="1:10" ht="15.75" x14ac:dyDescent="0.25">
      <c r="A8" s="26" t="s">
        <v>17</v>
      </c>
      <c r="B8" s="192" t="s">
        <v>13</v>
      </c>
      <c r="C8" s="192">
        <v>51097629</v>
      </c>
      <c r="D8" s="193" t="s">
        <v>14</v>
      </c>
      <c r="E8" s="192">
        <v>42000</v>
      </c>
      <c r="F8" s="21">
        <v>946.55399999999997</v>
      </c>
      <c r="G8" s="21">
        <v>950.97400000000005</v>
      </c>
      <c r="H8" s="18">
        <f>(G8-F8)*E8</f>
        <v>185640.00000000306</v>
      </c>
      <c r="I8" s="19"/>
      <c r="J8" s="20"/>
    </row>
    <row r="9" spans="1:10" ht="15.75" x14ac:dyDescent="0.25">
      <c r="A9" s="26" t="s">
        <v>18</v>
      </c>
      <c r="B9" s="192" t="s">
        <v>13</v>
      </c>
      <c r="C9" s="192">
        <v>51616820</v>
      </c>
      <c r="D9" s="193" t="s">
        <v>14</v>
      </c>
      <c r="E9" s="192">
        <v>42000</v>
      </c>
      <c r="F9" s="21">
        <v>4.0594999999999999</v>
      </c>
      <c r="G9" s="21">
        <v>4.0819999999999999</v>
      </c>
      <c r="H9" s="18">
        <f>(G9-F9)*E9</f>
        <v>944.99999999999852</v>
      </c>
      <c r="I9" s="19"/>
      <c r="J9" s="20"/>
    </row>
    <row r="10" spans="1:10" ht="15.75" x14ac:dyDescent="0.25">
      <c r="A10" s="219" t="s">
        <v>19</v>
      </c>
      <c r="B10" s="220"/>
      <c r="C10" s="192"/>
      <c r="D10" s="193"/>
      <c r="E10" s="192"/>
      <c r="F10" s="21"/>
      <c r="G10" s="21"/>
      <c r="H10" s="23">
        <f>H8+H9</f>
        <v>186585.00000000306</v>
      </c>
      <c r="I10" s="24">
        <f>H10-H17</f>
        <v>35.700000001263106</v>
      </c>
      <c r="J10" s="25">
        <f>I10/H10</f>
        <v>1.9133370850423412E-4</v>
      </c>
    </row>
    <row r="11" spans="1:10" ht="15.75" x14ac:dyDescent="0.25">
      <c r="A11" s="27" t="s">
        <v>20</v>
      </c>
      <c r="B11" s="192" t="s">
        <v>13</v>
      </c>
      <c r="C11" s="192">
        <v>51217286</v>
      </c>
      <c r="D11" s="193" t="s">
        <v>21</v>
      </c>
      <c r="E11" s="192">
        <v>21000</v>
      </c>
      <c r="F11" s="21">
        <v>752.65499999999997</v>
      </c>
      <c r="G11" s="21">
        <v>755.98500000000001</v>
      </c>
      <c r="H11" s="18">
        <f t="shared" ref="H11:H16" si="0">(G11-F11)*E11</f>
        <v>69930.000000000859</v>
      </c>
      <c r="I11" s="19"/>
      <c r="J11" s="20"/>
    </row>
    <row r="12" spans="1:10" ht="15.75" x14ac:dyDescent="0.25">
      <c r="A12" s="27" t="s">
        <v>22</v>
      </c>
      <c r="B12" s="192" t="s">
        <v>13</v>
      </c>
      <c r="C12" s="192">
        <v>51217292</v>
      </c>
      <c r="D12" s="193" t="s">
        <v>21</v>
      </c>
      <c r="E12" s="192">
        <v>21000</v>
      </c>
      <c r="F12" s="28">
        <v>3.0291000000000001</v>
      </c>
      <c r="G12" s="28">
        <v>3.0539999999999998</v>
      </c>
      <c r="H12" s="18">
        <f>(G12-F12)*E12</f>
        <v>522.89999999999372</v>
      </c>
      <c r="I12" s="19"/>
      <c r="J12" s="20"/>
    </row>
    <row r="13" spans="1:10" ht="15.75" x14ac:dyDescent="0.25">
      <c r="A13" s="27" t="s">
        <v>23</v>
      </c>
      <c r="B13" s="192" t="s">
        <v>13</v>
      </c>
      <c r="C13" s="192">
        <v>51217271</v>
      </c>
      <c r="D13" s="193" t="s">
        <v>21</v>
      </c>
      <c r="E13" s="192">
        <v>21000</v>
      </c>
      <c r="F13" s="21">
        <v>547.63660000000004</v>
      </c>
      <c r="G13" s="21">
        <v>550.33000000000004</v>
      </c>
      <c r="H13" s="18">
        <f t="shared" si="0"/>
        <v>56561.399999999936</v>
      </c>
      <c r="I13" s="19"/>
      <c r="J13" s="20"/>
    </row>
    <row r="14" spans="1:10" ht="15.75" x14ac:dyDescent="0.25">
      <c r="A14" s="27" t="s">
        <v>24</v>
      </c>
      <c r="B14" s="192" t="s">
        <v>13</v>
      </c>
      <c r="C14" s="192">
        <v>51217276</v>
      </c>
      <c r="D14" s="193" t="s">
        <v>21</v>
      </c>
      <c r="E14" s="192">
        <v>21000</v>
      </c>
      <c r="F14" s="28">
        <v>0.41920000000000002</v>
      </c>
      <c r="G14" s="28">
        <v>0.42299999999999999</v>
      </c>
      <c r="H14" s="18">
        <f>(G14-F14)*E14</f>
        <v>79.799999999999372</v>
      </c>
      <c r="I14" s="19"/>
      <c r="J14" s="20"/>
    </row>
    <row r="15" spans="1:10" ht="15.75" x14ac:dyDescent="0.25">
      <c r="A15" s="27" t="s">
        <v>25</v>
      </c>
      <c r="B15" s="192" t="s">
        <v>13</v>
      </c>
      <c r="C15" s="192">
        <v>51100990</v>
      </c>
      <c r="D15" s="193" t="s">
        <v>21</v>
      </c>
      <c r="E15" s="192">
        <v>21000</v>
      </c>
      <c r="F15" s="29">
        <v>597.39779999999996</v>
      </c>
      <c r="G15" s="29">
        <v>600.21600000000001</v>
      </c>
      <c r="H15" s="18">
        <f t="shared" si="0"/>
        <v>59182.200000000987</v>
      </c>
      <c r="I15" s="19"/>
      <c r="J15" s="20"/>
    </row>
    <row r="16" spans="1:10" ht="15.75" x14ac:dyDescent="0.25">
      <c r="A16" s="27" t="s">
        <v>26</v>
      </c>
      <c r="B16" s="192" t="s">
        <v>13</v>
      </c>
      <c r="C16" s="192">
        <v>51097622</v>
      </c>
      <c r="D16" s="193" t="s">
        <v>21</v>
      </c>
      <c r="E16" s="192">
        <v>21000</v>
      </c>
      <c r="F16" s="21">
        <v>2.6230000000000002</v>
      </c>
      <c r="G16" s="21">
        <v>2.6360000000000001</v>
      </c>
      <c r="H16" s="18">
        <f t="shared" si="0"/>
        <v>272.9999999999979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92"/>
      <c r="D17" s="193"/>
      <c r="E17" s="192"/>
      <c r="F17" s="21"/>
      <c r="G17" s="21"/>
      <c r="H17" s="23">
        <f>H11+H12+H13+H14+H15+H16</f>
        <v>186549.30000000179</v>
      </c>
      <c r="I17" s="19"/>
      <c r="J17" s="20"/>
    </row>
    <row r="18" spans="1:10" ht="15.75" x14ac:dyDescent="0.25">
      <c r="A18" s="26" t="s">
        <v>29</v>
      </c>
      <c r="B18" s="192" t="s">
        <v>13</v>
      </c>
      <c r="C18" s="192">
        <v>51097617</v>
      </c>
      <c r="D18" s="193" t="s">
        <v>30</v>
      </c>
      <c r="E18" s="192">
        <v>18000</v>
      </c>
      <c r="F18" s="30">
        <v>704.27049999999997</v>
      </c>
      <c r="G18" s="30">
        <v>708.654</v>
      </c>
      <c r="H18" s="18">
        <f>(G18-F18)*E18</f>
        <v>78903.00000000048</v>
      </c>
      <c r="I18" s="19"/>
      <c r="J18" s="20"/>
    </row>
    <row r="19" spans="1:10" ht="15.75" x14ac:dyDescent="0.25">
      <c r="A19" s="26" t="s">
        <v>31</v>
      </c>
      <c r="B19" s="192" t="s">
        <v>13</v>
      </c>
      <c r="C19" s="192">
        <v>51097655</v>
      </c>
      <c r="D19" s="193" t="s">
        <v>30</v>
      </c>
      <c r="E19" s="192">
        <v>18000</v>
      </c>
      <c r="F19" s="30">
        <v>6.1279000000000003</v>
      </c>
      <c r="G19" s="30">
        <v>6.1279000000000003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92"/>
      <c r="D20" s="193"/>
      <c r="E20" s="192"/>
      <c r="F20" s="30"/>
      <c r="G20" s="30"/>
      <c r="H20" s="23">
        <f>H18+H19</f>
        <v>78903.00000000048</v>
      </c>
      <c r="I20" s="24">
        <f>H20-H35</f>
        <v>4816.4400000006281</v>
      </c>
      <c r="J20" s="25">
        <f>I20/H20</f>
        <v>6.1042545910809459E-2</v>
      </c>
    </row>
    <row r="21" spans="1:10" ht="15.75" x14ac:dyDescent="0.25">
      <c r="A21" s="15" t="s">
        <v>33</v>
      </c>
      <c r="B21" s="192" t="s">
        <v>13</v>
      </c>
      <c r="C21" s="192">
        <v>51217282</v>
      </c>
      <c r="D21" s="193" t="s">
        <v>34</v>
      </c>
      <c r="E21" s="192">
        <v>4800</v>
      </c>
      <c r="F21" s="21">
        <v>378.3732</v>
      </c>
      <c r="G21" s="21">
        <v>378.3732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92" t="s">
        <v>13</v>
      </c>
      <c r="C22" s="192">
        <v>51217274</v>
      </c>
      <c r="D22" s="193" t="s">
        <v>34</v>
      </c>
      <c r="E22" s="192">
        <v>4800</v>
      </c>
      <c r="F22" s="21">
        <v>1119.6804</v>
      </c>
      <c r="G22" s="21">
        <v>1125.76</v>
      </c>
      <c r="H22" s="18">
        <f t="shared" si="1"/>
        <v>29182.080000000133</v>
      </c>
      <c r="I22" s="19"/>
      <c r="J22" s="20"/>
    </row>
    <row r="23" spans="1:10" ht="15.75" x14ac:dyDescent="0.25">
      <c r="A23" s="15" t="s">
        <v>36</v>
      </c>
      <c r="B23" s="192" t="s">
        <v>13</v>
      </c>
      <c r="C23" s="192">
        <v>51097664</v>
      </c>
      <c r="D23" s="193" t="s">
        <v>37</v>
      </c>
      <c r="E23" s="192">
        <v>600</v>
      </c>
      <c r="F23" s="21">
        <v>4.1157000000000004</v>
      </c>
      <c r="G23" s="21">
        <v>4.1390000000000002</v>
      </c>
      <c r="H23" s="18">
        <f t="shared" si="1"/>
        <v>13.979999999999926</v>
      </c>
      <c r="I23" s="19"/>
      <c r="J23" s="20"/>
    </row>
    <row r="24" spans="1:10" ht="15.75" x14ac:dyDescent="0.25">
      <c r="A24" s="15" t="s">
        <v>38</v>
      </c>
      <c r="B24" s="192" t="s">
        <v>13</v>
      </c>
      <c r="C24" s="192">
        <v>51097615</v>
      </c>
      <c r="D24" s="193" t="s">
        <v>37</v>
      </c>
      <c r="E24" s="192">
        <v>600</v>
      </c>
      <c r="F24" s="21">
        <v>30.429200000000002</v>
      </c>
      <c r="G24" s="21">
        <v>30.809000000000001</v>
      </c>
      <c r="H24" s="18">
        <f t="shared" si="1"/>
        <v>227.87999999999968</v>
      </c>
      <c r="I24" s="19"/>
      <c r="J24" s="20"/>
    </row>
    <row r="25" spans="1:10" ht="15.75" x14ac:dyDescent="0.25">
      <c r="A25" s="15" t="s">
        <v>39</v>
      </c>
      <c r="B25" s="192" t="s">
        <v>13</v>
      </c>
      <c r="C25" s="192">
        <v>51217264</v>
      </c>
      <c r="D25" s="193" t="s">
        <v>37</v>
      </c>
      <c r="E25" s="192">
        <v>600</v>
      </c>
      <c r="F25" s="21">
        <v>77.1511</v>
      </c>
      <c r="G25" s="21">
        <v>77.900999999999996</v>
      </c>
      <c r="H25" s="18">
        <f t="shared" si="1"/>
        <v>449.93999999999801</v>
      </c>
      <c r="I25" s="19"/>
      <c r="J25" s="20"/>
    </row>
    <row r="26" spans="1:10" ht="15.75" x14ac:dyDescent="0.25">
      <c r="A26" s="15" t="s">
        <v>40</v>
      </c>
      <c r="B26" s="192" t="s">
        <v>13</v>
      </c>
      <c r="C26" s="192">
        <v>51217288</v>
      </c>
      <c r="D26" s="193" t="s">
        <v>37</v>
      </c>
      <c r="E26" s="192">
        <v>600</v>
      </c>
      <c r="F26" s="21">
        <v>19.2851</v>
      </c>
      <c r="G26" s="21">
        <v>19.315000000000001</v>
      </c>
      <c r="H26" s="18">
        <f t="shared" si="1"/>
        <v>17.940000000000822</v>
      </c>
      <c r="I26" s="19" t="s">
        <v>27</v>
      </c>
      <c r="J26" s="20"/>
    </row>
    <row r="27" spans="1:10" ht="15.75" x14ac:dyDescent="0.25">
      <c r="A27" s="15" t="s">
        <v>41</v>
      </c>
      <c r="B27" s="192" t="s">
        <v>13</v>
      </c>
      <c r="C27" s="192">
        <v>51217279</v>
      </c>
      <c r="D27" s="193" t="s">
        <v>37</v>
      </c>
      <c r="E27" s="192">
        <v>600</v>
      </c>
      <c r="F27" s="21">
        <v>13.219200000000001</v>
      </c>
      <c r="G27" s="21">
        <v>13.272</v>
      </c>
      <c r="H27" s="18">
        <f t="shared" si="1"/>
        <v>31.679999999999708</v>
      </c>
      <c r="I27" s="19" t="s">
        <v>27</v>
      </c>
      <c r="J27" s="20"/>
    </row>
    <row r="28" spans="1:10" ht="15.75" x14ac:dyDescent="0.25">
      <c r="A28" s="15" t="s">
        <v>42</v>
      </c>
      <c r="B28" s="192" t="s">
        <v>13</v>
      </c>
      <c r="C28" s="192">
        <v>51217272</v>
      </c>
      <c r="D28" s="193" t="s">
        <v>37</v>
      </c>
      <c r="E28" s="192">
        <v>600</v>
      </c>
      <c r="F28" s="31">
        <v>12.968299999999999</v>
      </c>
      <c r="G28" s="31">
        <v>13.02</v>
      </c>
      <c r="H28" s="18">
        <f t="shared" si="1"/>
        <v>31.020000000000181</v>
      </c>
      <c r="I28" s="19"/>
      <c r="J28" s="20"/>
    </row>
    <row r="29" spans="1:10" ht="15.75" x14ac:dyDescent="0.25">
      <c r="A29" s="15" t="s">
        <v>43</v>
      </c>
      <c r="B29" s="192" t="s">
        <v>13</v>
      </c>
      <c r="C29" s="192">
        <v>51616744</v>
      </c>
      <c r="D29" s="193">
        <f>300/5</f>
        <v>60</v>
      </c>
      <c r="E29" s="192">
        <v>3600</v>
      </c>
      <c r="F29" s="31">
        <v>109.78489999999999</v>
      </c>
      <c r="G29" s="31">
        <v>109.78489999999999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92" t="s">
        <v>13</v>
      </c>
      <c r="C30" s="192">
        <v>51555226</v>
      </c>
      <c r="D30" s="193">
        <f>300/5</f>
        <v>60</v>
      </c>
      <c r="E30" s="192">
        <v>3600</v>
      </c>
      <c r="F30" s="31">
        <v>359.87450000000001</v>
      </c>
      <c r="G30" s="31">
        <v>364.08499999999998</v>
      </c>
      <c r="H30" s="18">
        <f>(G30-F30)*E30</f>
        <v>15157.799999999883</v>
      </c>
      <c r="I30" s="19"/>
      <c r="J30" s="20"/>
    </row>
    <row r="31" spans="1:10" ht="15.75" x14ac:dyDescent="0.25">
      <c r="A31" s="15" t="s">
        <v>45</v>
      </c>
      <c r="B31" s="192" t="s">
        <v>13</v>
      </c>
      <c r="C31" s="192">
        <v>51097658</v>
      </c>
      <c r="D31" s="193" t="s">
        <v>34</v>
      </c>
      <c r="E31" s="192">
        <v>4800</v>
      </c>
      <c r="F31" s="31">
        <v>535.25959999999998</v>
      </c>
      <c r="G31" s="31">
        <v>538.67999999999995</v>
      </c>
      <c r="H31" s="18">
        <f t="shared" si="1"/>
        <v>16417.919999999867</v>
      </c>
      <c r="I31" s="19"/>
      <c r="J31" s="20"/>
    </row>
    <row r="32" spans="1:10" ht="15.75" x14ac:dyDescent="0.25">
      <c r="A32" s="15" t="s">
        <v>46</v>
      </c>
      <c r="B32" s="192" t="s">
        <v>13</v>
      </c>
      <c r="C32" s="192">
        <v>51097635</v>
      </c>
      <c r="D32" s="193" t="s">
        <v>34</v>
      </c>
      <c r="E32" s="192">
        <v>4800</v>
      </c>
      <c r="F32" s="31">
        <v>48.4375</v>
      </c>
      <c r="G32" s="31">
        <v>48.4375</v>
      </c>
      <c r="H32" s="18">
        <f t="shared" si="1"/>
        <v>0</v>
      </c>
      <c r="I32" s="19"/>
      <c r="J32" s="20"/>
    </row>
    <row r="33" spans="1:10" ht="15.75" x14ac:dyDescent="0.25">
      <c r="A33" s="15" t="s">
        <v>47</v>
      </c>
      <c r="B33" s="192" t="s">
        <v>13</v>
      </c>
      <c r="C33" s="32">
        <v>51097633</v>
      </c>
      <c r="D33" s="193" t="s">
        <v>34</v>
      </c>
      <c r="E33" s="192">
        <v>4800</v>
      </c>
      <c r="F33" s="31">
        <v>95.834100000000007</v>
      </c>
      <c r="G33" s="31">
        <v>98.372</v>
      </c>
      <c r="H33" s="33">
        <f t="shared" si="1"/>
        <v>12181.919999999969</v>
      </c>
      <c r="I33" s="34"/>
      <c r="J33" s="35"/>
    </row>
    <row r="34" spans="1:10" ht="15.75" x14ac:dyDescent="0.25">
      <c r="A34" s="15" t="s">
        <v>116</v>
      </c>
      <c r="B34" s="192" t="s">
        <v>13</v>
      </c>
      <c r="C34" s="32">
        <v>51097662</v>
      </c>
      <c r="D34" s="193" t="s">
        <v>34</v>
      </c>
      <c r="E34" s="192">
        <v>4800</v>
      </c>
      <c r="F34" s="31">
        <v>1.554</v>
      </c>
      <c r="G34" s="31">
        <v>1.6319999999999999</v>
      </c>
      <c r="H34" s="33">
        <f t="shared" si="1"/>
        <v>374.3999999999993</v>
      </c>
      <c r="I34" s="34"/>
      <c r="J34" s="35"/>
    </row>
    <row r="35" spans="1:10" ht="15.75" x14ac:dyDescent="0.25">
      <c r="A35" s="219" t="s">
        <v>48</v>
      </c>
      <c r="B35" s="220"/>
      <c r="C35" s="192"/>
      <c r="D35" s="193"/>
      <c r="E35" s="192"/>
      <c r="F35" s="36"/>
      <c r="G35" s="36"/>
      <c r="H35" s="23">
        <f>H21+H22+H23+H24+H25+H26+H27+H28+H29+H30+H31+H32+H33+H34</f>
        <v>74086.559999999852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92" t="s">
        <v>51</v>
      </c>
      <c r="C37" s="192">
        <v>51555209</v>
      </c>
      <c r="D37" s="193" t="s">
        <v>52</v>
      </c>
      <c r="E37" s="192">
        <v>7000</v>
      </c>
      <c r="F37" s="17">
        <v>4.1067</v>
      </c>
      <c r="G37" s="17">
        <v>4.16</v>
      </c>
      <c r="H37" s="41">
        <f>(G37-F37)*E37</f>
        <v>373.10000000000088</v>
      </c>
      <c r="I37" s="42"/>
      <c r="J37" s="14"/>
    </row>
    <row r="38" spans="1:10" ht="15.75" x14ac:dyDescent="0.25">
      <c r="A38" s="15" t="s">
        <v>53</v>
      </c>
      <c r="B38" s="192" t="s">
        <v>51</v>
      </c>
      <c r="C38" s="192">
        <v>51555209</v>
      </c>
      <c r="D38" s="193" t="s">
        <v>52</v>
      </c>
      <c r="E38" s="192">
        <v>7000</v>
      </c>
      <c r="F38" s="21">
        <v>8.8193999999999999</v>
      </c>
      <c r="G38" s="21">
        <v>8.859</v>
      </c>
      <c r="H38" s="18">
        <f>(G38-F38)*E38</f>
        <v>277.20000000000056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92" t="s">
        <v>51</v>
      </c>
      <c r="C40" s="192">
        <v>51097674</v>
      </c>
      <c r="D40" s="192" t="s">
        <v>14</v>
      </c>
      <c r="E40" s="192">
        <v>7200</v>
      </c>
      <c r="F40" s="21">
        <v>507.80470000000003</v>
      </c>
      <c r="G40" s="21">
        <v>510.25099999999998</v>
      </c>
      <c r="H40" s="18">
        <f>(G40-F40)*E40</f>
        <v>17613.359999999648</v>
      </c>
      <c r="I40" s="47"/>
      <c r="J40" s="20"/>
    </row>
    <row r="41" spans="1:10" ht="15.75" x14ac:dyDescent="0.25">
      <c r="A41" s="27" t="s">
        <v>56</v>
      </c>
      <c r="B41" s="192" t="s">
        <v>51</v>
      </c>
      <c r="C41" s="192">
        <v>51259257</v>
      </c>
      <c r="D41" s="192" t="s">
        <v>14</v>
      </c>
      <c r="E41" s="192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92"/>
      <c r="C42" s="192"/>
      <c r="D42" s="192"/>
      <c r="E42" s="192"/>
      <c r="F42" s="21"/>
      <c r="G42" s="21"/>
      <c r="H42" s="48">
        <f>H40+H41</f>
        <v>17613.359999999648</v>
      </c>
      <c r="I42" s="24">
        <f>H42-H50</f>
        <v>-113.96000000043205</v>
      </c>
      <c r="J42" s="25">
        <f>I42/H42</f>
        <v>-6.47008861457634E-3</v>
      </c>
    </row>
    <row r="43" spans="1:10" ht="15.75" x14ac:dyDescent="0.25">
      <c r="A43" s="15" t="s">
        <v>58</v>
      </c>
      <c r="B43" s="192"/>
      <c r="C43" s="192"/>
      <c r="D43" s="193"/>
      <c r="E43" s="192"/>
      <c r="H43" s="18"/>
      <c r="I43" s="43"/>
      <c r="J43" s="20"/>
    </row>
    <row r="44" spans="1:10" ht="15.75" x14ac:dyDescent="0.25">
      <c r="A44" s="27" t="s">
        <v>59</v>
      </c>
      <c r="B44" s="192" t="s">
        <v>51</v>
      </c>
      <c r="C44" s="32">
        <v>51097648</v>
      </c>
      <c r="D44" s="192" t="s">
        <v>52</v>
      </c>
      <c r="E44" s="192">
        <v>1200</v>
      </c>
      <c r="F44" s="21">
        <v>415.5453</v>
      </c>
      <c r="G44" s="21">
        <v>417.53199999999998</v>
      </c>
      <c r="H44" s="33">
        <f>(G44-F44)*E44</f>
        <v>2384.0399999999818</v>
      </c>
      <c r="I44" s="43"/>
      <c r="J44" s="20"/>
    </row>
    <row r="45" spans="1:10" ht="15.75" x14ac:dyDescent="0.25">
      <c r="A45" s="27" t="s">
        <v>60</v>
      </c>
      <c r="B45" s="192" t="s">
        <v>51</v>
      </c>
      <c r="C45" s="32">
        <v>50555043</v>
      </c>
      <c r="D45" s="192" t="s">
        <v>52</v>
      </c>
      <c r="E45" s="192">
        <v>1200</v>
      </c>
      <c r="F45" s="21">
        <v>1741.7364</v>
      </c>
      <c r="G45" s="21">
        <v>1750.268</v>
      </c>
      <c r="H45" s="33">
        <f>(G45-F45)*E45</f>
        <v>10237.920000000031</v>
      </c>
      <c r="I45" s="43"/>
      <c r="J45" s="20"/>
    </row>
    <row r="46" spans="1:10" ht="15.75" x14ac:dyDescent="0.25">
      <c r="A46" s="27" t="s">
        <v>61</v>
      </c>
      <c r="B46" s="192" t="s">
        <v>51</v>
      </c>
      <c r="C46" s="32">
        <v>51259336</v>
      </c>
      <c r="D46" s="192" t="s">
        <v>62</v>
      </c>
      <c r="E46" s="192">
        <v>2400</v>
      </c>
      <c r="F46" s="21">
        <v>3.6440999999999999</v>
      </c>
      <c r="G46" s="21">
        <v>3.657</v>
      </c>
      <c r="H46" s="33">
        <f>(G46-F46)*E46</f>
        <v>30.960000000000321</v>
      </c>
      <c r="I46" s="43"/>
      <c r="J46" s="20"/>
    </row>
    <row r="47" spans="1:10" ht="15.75" x14ac:dyDescent="0.25">
      <c r="A47" s="27" t="s">
        <v>63</v>
      </c>
      <c r="B47" s="192" t="s">
        <v>51</v>
      </c>
      <c r="C47" s="32">
        <v>51259266</v>
      </c>
      <c r="D47" s="192" t="s">
        <v>52</v>
      </c>
      <c r="E47" s="192">
        <v>1200</v>
      </c>
      <c r="F47" s="21">
        <v>844.6875</v>
      </c>
      <c r="G47" s="21">
        <v>848.56500000000005</v>
      </c>
      <c r="H47" s="33">
        <f>(G47-F47)*E47</f>
        <v>4653.0000000000655</v>
      </c>
      <c r="I47" s="43"/>
      <c r="J47" s="20"/>
    </row>
    <row r="48" spans="1:10" ht="15.75" x14ac:dyDescent="0.25">
      <c r="A48" s="27" t="s">
        <v>64</v>
      </c>
      <c r="B48" s="192" t="s">
        <v>51</v>
      </c>
      <c r="C48" s="32">
        <v>51431336</v>
      </c>
      <c r="D48" s="192" t="s">
        <v>52</v>
      </c>
      <c r="E48" s="192">
        <v>1200</v>
      </c>
      <c r="F48" s="21">
        <v>45.866500000000002</v>
      </c>
      <c r="G48" s="21">
        <v>46.176000000000002</v>
      </c>
      <c r="H48" s="33">
        <f>(G48-F48)*E48</f>
        <v>371.39999999999986</v>
      </c>
      <c r="I48" s="43"/>
      <c r="J48" s="20"/>
    </row>
    <row r="49" spans="1:10" ht="15.75" x14ac:dyDescent="0.25">
      <c r="A49" s="15" t="s">
        <v>65</v>
      </c>
      <c r="B49" s="192" t="s">
        <v>66</v>
      </c>
      <c r="C49" s="192">
        <v>49174</v>
      </c>
      <c r="D49" s="193" t="s">
        <v>52</v>
      </c>
      <c r="E49" s="192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17727.32000000008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92" t="s">
        <v>51</v>
      </c>
      <c r="C52" s="192">
        <v>51097603</v>
      </c>
      <c r="D52" s="193" t="s">
        <v>52</v>
      </c>
      <c r="E52" s="192">
        <v>7000</v>
      </c>
      <c r="F52" s="17">
        <v>1688.8104000000001</v>
      </c>
      <c r="G52" s="17">
        <v>1696.076</v>
      </c>
      <c r="H52" s="18">
        <f>(G52-F52)*E52</f>
        <v>50859.199999999648</v>
      </c>
      <c r="I52" s="43"/>
      <c r="J52" s="20"/>
    </row>
    <row r="53" spans="1:10" ht="15.75" x14ac:dyDescent="0.25">
      <c r="A53" s="27" t="s">
        <v>71</v>
      </c>
      <c r="B53" s="192" t="s">
        <v>51</v>
      </c>
      <c r="C53" s="192">
        <v>51097590</v>
      </c>
      <c r="D53" s="193" t="s">
        <v>52</v>
      </c>
      <c r="E53" s="192">
        <v>7000</v>
      </c>
      <c r="F53" s="21">
        <v>10.065</v>
      </c>
      <c r="G53" s="21">
        <v>10.141</v>
      </c>
      <c r="H53" s="18">
        <f>(G53-F53)*E53</f>
        <v>532.00000000000364</v>
      </c>
      <c r="I53" s="43"/>
      <c r="J53" s="20"/>
    </row>
    <row r="54" spans="1:10" ht="15.75" x14ac:dyDescent="0.25">
      <c r="A54" s="15" t="s">
        <v>65</v>
      </c>
      <c r="B54" s="192" t="s">
        <v>66</v>
      </c>
      <c r="C54" s="192">
        <v>49174</v>
      </c>
      <c r="D54" s="193" t="s">
        <v>52</v>
      </c>
      <c r="E54" s="192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92"/>
      <c r="D55" s="193"/>
      <c r="E55" s="192"/>
      <c r="F55" s="21"/>
      <c r="G55" s="21"/>
      <c r="H55" s="48">
        <f>H52+H53+H54</f>
        <v>51491.199999999648</v>
      </c>
      <c r="I55" s="47"/>
      <c r="J55" s="59"/>
    </row>
    <row r="56" spans="1:10" ht="15.75" x14ac:dyDescent="0.25">
      <c r="A56" s="27" t="s">
        <v>73</v>
      </c>
      <c r="B56" s="192" t="s">
        <v>51</v>
      </c>
      <c r="C56" s="192">
        <v>51100980</v>
      </c>
      <c r="D56" s="192" t="s">
        <v>74</v>
      </c>
      <c r="E56" s="192">
        <v>12000</v>
      </c>
      <c r="F56" s="21">
        <v>993.35230000000001</v>
      </c>
      <c r="G56" s="21">
        <v>997.64</v>
      </c>
      <c r="H56" s="18">
        <f>(G56-F56)*E56</f>
        <v>51452.399999999674</v>
      </c>
      <c r="I56" s="47"/>
      <c r="J56" s="58"/>
    </row>
    <row r="57" spans="1:10" ht="15.75" x14ac:dyDescent="0.25">
      <c r="A57" s="27" t="s">
        <v>75</v>
      </c>
      <c r="B57" s="192" t="s">
        <v>51</v>
      </c>
      <c r="C57" s="192">
        <v>51097623</v>
      </c>
      <c r="D57" s="192" t="s">
        <v>74</v>
      </c>
      <c r="E57" s="192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92"/>
      <c r="C58" s="192"/>
      <c r="D58" s="192"/>
      <c r="E58" s="192"/>
      <c r="F58" s="21"/>
      <c r="G58" s="21"/>
      <c r="H58" s="48">
        <f>H56+H57</f>
        <v>51452.399999999674</v>
      </c>
      <c r="I58" s="61">
        <f>H55-H65-H54</f>
        <v>-134.52000000065163</v>
      </c>
      <c r="J58" s="25">
        <f>I58/H58</f>
        <v>-2.6144553023892468E-3</v>
      </c>
    </row>
    <row r="59" spans="1:10" ht="15.75" x14ac:dyDescent="0.25">
      <c r="A59" s="27" t="s">
        <v>77</v>
      </c>
      <c r="B59" s="192" t="s">
        <v>51</v>
      </c>
      <c r="C59" s="192">
        <v>51097675</v>
      </c>
      <c r="D59" s="192" t="s">
        <v>34</v>
      </c>
      <c r="E59" s="192">
        <v>4800</v>
      </c>
      <c r="F59" s="21">
        <v>398.40159999999997</v>
      </c>
      <c r="G59" s="21">
        <v>401.76799999999997</v>
      </c>
      <c r="H59" s="18">
        <f t="shared" ref="H59:H64" si="2">(G59-F59)*E59</f>
        <v>16158.719999999994</v>
      </c>
      <c r="I59" s="62"/>
      <c r="J59" s="59"/>
    </row>
    <row r="60" spans="1:10" ht="15.75" x14ac:dyDescent="0.25">
      <c r="A60" s="27" t="s">
        <v>78</v>
      </c>
      <c r="B60" s="192" t="s">
        <v>51</v>
      </c>
      <c r="C60" s="192">
        <v>51100997</v>
      </c>
      <c r="D60" s="192" t="s">
        <v>21</v>
      </c>
      <c r="E60" s="192">
        <v>3600</v>
      </c>
      <c r="F60" s="21">
        <v>1263.5905</v>
      </c>
      <c r="G60" s="21">
        <v>1266.681</v>
      </c>
      <c r="H60" s="18">
        <f t="shared" si="2"/>
        <v>11125.800000000072</v>
      </c>
      <c r="I60" s="62"/>
      <c r="J60" s="59"/>
    </row>
    <row r="61" spans="1:10" ht="15.75" x14ac:dyDescent="0.25">
      <c r="A61" s="27" t="s">
        <v>79</v>
      </c>
      <c r="B61" s="192" t="s">
        <v>51</v>
      </c>
      <c r="C61" s="192">
        <v>51555218</v>
      </c>
      <c r="D61" s="192">
        <f>400/5</f>
        <v>80</v>
      </c>
      <c r="E61" s="192">
        <v>4800</v>
      </c>
      <c r="F61" s="21">
        <v>45.570700000000002</v>
      </c>
      <c r="G61" s="21">
        <v>46.125</v>
      </c>
      <c r="H61" s="18">
        <f t="shared" si="2"/>
        <v>2660.6399999999894</v>
      </c>
      <c r="I61" s="62"/>
      <c r="J61" s="59"/>
    </row>
    <row r="62" spans="1:10" ht="15.75" x14ac:dyDescent="0.25">
      <c r="A62" s="27" t="s">
        <v>80</v>
      </c>
      <c r="B62" s="192" t="s">
        <v>51</v>
      </c>
      <c r="C62" s="192">
        <v>51555151</v>
      </c>
      <c r="D62" s="192">
        <f>400/5</f>
        <v>80</v>
      </c>
      <c r="E62" s="192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92" t="s">
        <v>51</v>
      </c>
      <c r="C63" s="192">
        <v>51097599</v>
      </c>
      <c r="D63" s="192" t="s">
        <v>21</v>
      </c>
      <c r="E63" s="192">
        <v>3600</v>
      </c>
      <c r="F63" s="21">
        <v>880.85519999999997</v>
      </c>
      <c r="G63" s="21">
        <v>883.22900000000004</v>
      </c>
      <c r="H63" s="18">
        <f t="shared" si="2"/>
        <v>8545.6800000002659</v>
      </c>
      <c r="I63" s="62"/>
      <c r="J63" s="59"/>
    </row>
    <row r="64" spans="1:10" ht="15.75" x14ac:dyDescent="0.25">
      <c r="A64" s="27" t="s">
        <v>82</v>
      </c>
      <c r="B64" s="192" t="s">
        <v>51</v>
      </c>
      <c r="C64" s="192">
        <v>51097620</v>
      </c>
      <c r="D64" s="192" t="s">
        <v>34</v>
      </c>
      <c r="E64" s="192">
        <v>4800</v>
      </c>
      <c r="F64" s="21">
        <v>419.98140000000001</v>
      </c>
      <c r="G64" s="21">
        <v>422.697</v>
      </c>
      <c r="H64" s="18">
        <f t="shared" si="2"/>
        <v>13034.879999999976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51525.720000000299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92" t="s">
        <v>51</v>
      </c>
      <c r="C67" s="9">
        <v>51259238</v>
      </c>
      <c r="D67" s="74" t="s">
        <v>52</v>
      </c>
      <c r="E67" s="74">
        <v>7000</v>
      </c>
      <c r="F67" s="75">
        <v>459.87459999999999</v>
      </c>
      <c r="G67" s="75">
        <v>462.84300000000002</v>
      </c>
      <c r="H67" s="76">
        <f>(G67-F67)*E67</f>
        <v>20778.800000000218</v>
      </c>
      <c r="I67" s="77"/>
      <c r="J67" s="78"/>
    </row>
    <row r="68" spans="1:10" ht="15.75" x14ac:dyDescent="0.25">
      <c r="A68" s="27" t="s">
        <v>85</v>
      </c>
      <c r="B68" s="192" t="s">
        <v>51</v>
      </c>
      <c r="C68" s="192">
        <v>51259324</v>
      </c>
      <c r="D68" s="193" t="s">
        <v>52</v>
      </c>
      <c r="E68" s="193">
        <v>7000</v>
      </c>
      <c r="F68" s="21">
        <v>353.13380000000001</v>
      </c>
      <c r="G68" s="21">
        <v>355.33699999999999</v>
      </c>
      <c r="H68" s="18">
        <f>(G68-F68)*E68</f>
        <v>15422.399999999869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92">
        <v>51491618</v>
      </c>
      <c r="D69" s="193" t="s">
        <v>62</v>
      </c>
      <c r="E69" s="192">
        <v>40</v>
      </c>
      <c r="F69" s="28">
        <v>872.35350000000005</v>
      </c>
      <c r="G69" s="28">
        <v>883.61800000000005</v>
      </c>
      <c r="H69" s="18">
        <f>(G69-F69)*E69</f>
        <v>450.57999999999993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92">
        <v>51491624</v>
      </c>
      <c r="D70" s="193" t="s">
        <v>62</v>
      </c>
      <c r="E70" s="192">
        <v>40</v>
      </c>
      <c r="F70" s="28">
        <v>119.16800000000001</v>
      </c>
      <c r="G70" s="28">
        <v>120.20699999999999</v>
      </c>
      <c r="H70" s="18">
        <f>(G70-F70)*E70</f>
        <v>41.559999999999491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36201.200000000084</v>
      </c>
      <c r="I71" s="85">
        <f>H71-H74-H69-H70</f>
        <v>-1141.7400000001944</v>
      </c>
      <c r="J71" s="25">
        <f>I71/H71</f>
        <v>-3.1538733522650957E-2</v>
      </c>
    </row>
    <row r="72" spans="1:10" ht="15.75" x14ac:dyDescent="0.25">
      <c r="A72" s="27" t="s">
        <v>90</v>
      </c>
      <c r="B72" s="192" t="s">
        <v>51</v>
      </c>
      <c r="C72" s="86">
        <v>51097588</v>
      </c>
      <c r="D72" s="193" t="s">
        <v>74</v>
      </c>
      <c r="E72" s="192">
        <v>12000</v>
      </c>
      <c r="F72" s="21">
        <v>278.1053</v>
      </c>
      <c r="G72" s="21">
        <v>279.84300000000002</v>
      </c>
      <c r="H72" s="18">
        <f>(G72-F72)*E72</f>
        <v>20852.400000000216</v>
      </c>
      <c r="I72" s="51"/>
      <c r="J72" s="58"/>
    </row>
    <row r="73" spans="1:10" ht="15.75" x14ac:dyDescent="0.25">
      <c r="A73" s="27" t="s">
        <v>91</v>
      </c>
      <c r="B73" s="192" t="s">
        <v>51</v>
      </c>
      <c r="C73" s="86">
        <v>51431335</v>
      </c>
      <c r="D73" s="193" t="s">
        <v>74</v>
      </c>
      <c r="E73" s="192">
        <v>12000</v>
      </c>
      <c r="F73" s="21">
        <v>216.85679999999999</v>
      </c>
      <c r="G73" s="21">
        <v>218.19</v>
      </c>
      <c r="H73" s="18">
        <f>(G73-F73)*E73</f>
        <v>15998.40000000006</v>
      </c>
      <c r="I73" s="51"/>
      <c r="J73" s="58"/>
    </row>
    <row r="74" spans="1:10" ht="15.75" x14ac:dyDescent="0.25">
      <c r="A74" s="87" t="s">
        <v>92</v>
      </c>
      <c r="B74" s="192" t="s">
        <v>27</v>
      </c>
      <c r="C74" s="192"/>
      <c r="D74" s="193"/>
      <c r="E74" s="192"/>
      <c r="F74" s="21"/>
      <c r="G74" s="21"/>
      <c r="H74" s="48">
        <f>H72+ H73</f>
        <v>36850.800000000279</v>
      </c>
      <c r="I74" s="85">
        <f>H74-H82</f>
        <v>-77.10000000007858</v>
      </c>
      <c r="J74" s="25">
        <f>I74/H74</f>
        <v>-2.092220521673288E-3</v>
      </c>
    </row>
    <row r="75" spans="1:10" ht="15.75" x14ac:dyDescent="0.25">
      <c r="A75" s="27" t="s">
        <v>93</v>
      </c>
      <c r="B75" s="192" t="s">
        <v>51</v>
      </c>
      <c r="C75" s="86">
        <v>51097676</v>
      </c>
      <c r="D75" s="88" t="s">
        <v>62</v>
      </c>
      <c r="E75" s="192">
        <v>2400</v>
      </c>
      <c r="F75" s="21">
        <v>565.45360000000005</v>
      </c>
      <c r="G75" s="21">
        <v>569.79600000000005</v>
      </c>
      <c r="H75" s="18">
        <f>(G75-F75)*E75</f>
        <v>10421.759999999995</v>
      </c>
      <c r="I75" s="51"/>
      <c r="J75" s="58"/>
    </row>
    <row r="76" spans="1:10" ht="15.75" x14ac:dyDescent="0.25">
      <c r="A76" s="27" t="s">
        <v>94</v>
      </c>
      <c r="B76" s="192" t="s">
        <v>51</v>
      </c>
      <c r="C76" s="86">
        <v>51431355</v>
      </c>
      <c r="D76" s="193" t="s">
        <v>21</v>
      </c>
      <c r="E76" s="193">
        <v>3600</v>
      </c>
      <c r="F76" s="21">
        <v>317.3433</v>
      </c>
      <c r="G76" s="21">
        <v>318.44799999999998</v>
      </c>
      <c r="H76" s="18">
        <f>(G76-F76)*E76</f>
        <v>3976.9199999999273</v>
      </c>
      <c r="I76" s="51"/>
      <c r="J76" s="52"/>
    </row>
    <row r="77" spans="1:10" ht="15.75" x14ac:dyDescent="0.25">
      <c r="A77" s="27" t="s">
        <v>95</v>
      </c>
      <c r="B77" s="192" t="s">
        <v>51</v>
      </c>
      <c r="C77" s="86">
        <v>51259331</v>
      </c>
      <c r="D77" s="88" t="s">
        <v>37</v>
      </c>
      <c r="E77" s="192">
        <v>600</v>
      </c>
      <c r="F77" s="21">
        <v>131.68870000000001</v>
      </c>
      <c r="G77" s="21">
        <v>132.917</v>
      </c>
      <c r="H77" s="18">
        <f>(G77-F77)*E77</f>
        <v>736.97999999999411</v>
      </c>
      <c r="I77" s="51"/>
      <c r="J77" s="52"/>
    </row>
    <row r="78" spans="1:10" ht="15.75" x14ac:dyDescent="0.25">
      <c r="A78" s="27" t="s">
        <v>96</v>
      </c>
      <c r="B78" s="192" t="s">
        <v>51</v>
      </c>
      <c r="C78" s="86">
        <v>51259326</v>
      </c>
      <c r="D78" s="88" t="s">
        <v>14</v>
      </c>
      <c r="E78" s="192">
        <v>7200</v>
      </c>
      <c r="F78" s="21">
        <v>279.48989999999998</v>
      </c>
      <c r="G78" s="21">
        <v>280.95100000000002</v>
      </c>
      <c r="H78" s="18">
        <f>(G78-F78)*E78</f>
        <v>10519.92000000032</v>
      </c>
      <c r="I78" s="51"/>
      <c r="J78" s="52"/>
    </row>
    <row r="79" spans="1:10" ht="15.75" x14ac:dyDescent="0.25">
      <c r="A79" s="27" t="s">
        <v>97</v>
      </c>
      <c r="B79" s="192" t="s">
        <v>51</v>
      </c>
      <c r="C79" s="86">
        <v>51431351</v>
      </c>
      <c r="D79" s="88" t="s">
        <v>14</v>
      </c>
      <c r="E79" s="192">
        <v>7200</v>
      </c>
      <c r="F79" s="21">
        <v>188.82839999999999</v>
      </c>
      <c r="G79" s="21">
        <v>190.39400000000001</v>
      </c>
      <c r="H79" s="18">
        <f>(G79-F79)*E79</f>
        <v>11272.320000000127</v>
      </c>
      <c r="I79" s="51"/>
      <c r="J79" s="52"/>
    </row>
    <row r="80" spans="1:10" ht="15.75" x14ac:dyDescent="0.25">
      <c r="A80" s="89" t="s">
        <v>98</v>
      </c>
      <c r="B80" s="192" t="s">
        <v>51</v>
      </c>
      <c r="C80" s="90">
        <v>51097666</v>
      </c>
      <c r="D80" s="88" t="s">
        <v>62</v>
      </c>
      <c r="E80" s="192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92" t="s">
        <v>51</v>
      </c>
      <c r="C81" s="90">
        <v>51259323</v>
      </c>
      <c r="D81" s="88" t="s">
        <v>62</v>
      </c>
      <c r="E81" s="192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36927.900000000358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92" t="s">
        <v>51</v>
      </c>
      <c r="C84" s="106">
        <v>51431297</v>
      </c>
      <c r="D84" s="193" t="s">
        <v>52</v>
      </c>
      <c r="E84" s="100">
        <v>7000</v>
      </c>
      <c r="F84" s="17">
        <v>233.57320000000001</v>
      </c>
      <c r="G84" s="17">
        <v>234.42500000000001</v>
      </c>
      <c r="H84" s="18">
        <f>(G84-F84)*E84</f>
        <v>5962.5999999999804</v>
      </c>
      <c r="I84" s="107"/>
      <c r="J84" s="108"/>
    </row>
    <row r="85" spans="1:10" ht="15.75" x14ac:dyDescent="0.25">
      <c r="A85" s="105" t="s">
        <v>85</v>
      </c>
      <c r="B85" s="192" t="s">
        <v>51</v>
      </c>
      <c r="C85" s="106">
        <v>51431332</v>
      </c>
      <c r="D85" s="193" t="s">
        <v>52</v>
      </c>
      <c r="E85" s="100">
        <v>7000</v>
      </c>
      <c r="F85" s="21">
        <v>309.66370000000001</v>
      </c>
      <c r="G85" s="21">
        <v>311.42</v>
      </c>
      <c r="H85" s="18">
        <f>(G85-F85)*E85</f>
        <v>12294.100000000071</v>
      </c>
      <c r="I85" s="192"/>
      <c r="J85" s="58"/>
    </row>
    <row r="86" spans="1:10" ht="15.75" x14ac:dyDescent="0.25">
      <c r="A86" s="27" t="s">
        <v>86</v>
      </c>
      <c r="B86" s="192" t="s">
        <v>102</v>
      </c>
      <c r="C86" s="109">
        <v>150773</v>
      </c>
      <c r="D86" s="193" t="s">
        <v>52</v>
      </c>
      <c r="E86" s="109">
        <v>20</v>
      </c>
      <c r="F86" s="17">
        <v>15366.2</v>
      </c>
      <c r="G86" s="17">
        <v>15374.8</v>
      </c>
      <c r="H86" s="18">
        <f>(G86-F86)*E86</f>
        <v>171.9999999999709</v>
      </c>
      <c r="I86" s="51"/>
      <c r="J86" s="58"/>
    </row>
    <row r="87" spans="1:10" ht="15.75" x14ac:dyDescent="0.25">
      <c r="A87" s="27" t="s">
        <v>88</v>
      </c>
      <c r="B87" s="192" t="s">
        <v>102</v>
      </c>
      <c r="C87" s="109">
        <v>150791</v>
      </c>
      <c r="D87" s="193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94"/>
      <c r="C88" s="32"/>
      <c r="D88" s="82"/>
      <c r="E88" s="82"/>
      <c r="F88" s="21"/>
      <c r="G88" s="21"/>
      <c r="H88" s="48">
        <f>H84+H85</f>
        <v>18256.700000000052</v>
      </c>
      <c r="I88" s="85">
        <f>H88-H91-H86-H87</f>
        <v>465.82000000045446</v>
      </c>
      <c r="J88" s="25">
        <f>I88/H88</f>
        <v>2.551501640496109E-2</v>
      </c>
    </row>
    <row r="89" spans="1:10" ht="15.75" x14ac:dyDescent="0.25">
      <c r="A89" s="27" t="s">
        <v>103</v>
      </c>
      <c r="B89" s="192" t="s">
        <v>51</v>
      </c>
      <c r="C89" s="106">
        <v>51431342</v>
      </c>
      <c r="D89" s="88" t="s">
        <v>34</v>
      </c>
      <c r="E89" s="192">
        <v>4800</v>
      </c>
      <c r="F89" s="21">
        <v>330.89890000000003</v>
      </c>
      <c r="G89" s="21">
        <v>332.10199999999998</v>
      </c>
      <c r="H89" s="18">
        <f>(G89-F89)*E89</f>
        <v>5774.8799999997573</v>
      </c>
      <c r="I89" s="51"/>
      <c r="J89" s="52"/>
    </row>
    <row r="90" spans="1:10" ht="15.75" x14ac:dyDescent="0.25">
      <c r="A90" s="27" t="s">
        <v>104</v>
      </c>
      <c r="B90" s="192" t="s">
        <v>51</v>
      </c>
      <c r="C90" s="106">
        <v>51431343</v>
      </c>
      <c r="D90" s="88" t="s">
        <v>34</v>
      </c>
      <c r="E90" s="192">
        <v>4800</v>
      </c>
      <c r="F90" s="21">
        <v>438.49250000000001</v>
      </c>
      <c r="G90" s="21">
        <v>440.96</v>
      </c>
      <c r="H90" s="18">
        <f>(G90-F90)*E90</f>
        <v>11843.999999999869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17618.879999999626</v>
      </c>
      <c r="I91" s="85">
        <f>H91-H99</f>
        <v>-142.8400000003312</v>
      </c>
      <c r="J91" s="25">
        <f>I91/H91</f>
        <v>-8.1072122632275274E-3</v>
      </c>
    </row>
    <row r="92" spans="1:10" ht="15.75" x14ac:dyDescent="0.25">
      <c r="A92" s="27" t="s">
        <v>106</v>
      </c>
      <c r="B92" s="192" t="s">
        <v>51</v>
      </c>
      <c r="C92" s="106">
        <v>51431347</v>
      </c>
      <c r="D92" s="193" t="s">
        <v>52</v>
      </c>
      <c r="E92" s="192">
        <v>1200</v>
      </c>
      <c r="F92" s="21">
        <v>972.99009999999998</v>
      </c>
      <c r="G92" s="21">
        <v>981.39499999999998</v>
      </c>
      <c r="H92" s="18">
        <f t="shared" ref="H92:H100" si="4">(G92-F92)*E92</f>
        <v>10085.879999999997</v>
      </c>
      <c r="I92" s="51"/>
      <c r="J92" s="52"/>
    </row>
    <row r="93" spans="1:10" ht="15.75" x14ac:dyDescent="0.25">
      <c r="A93" s="27" t="s">
        <v>107</v>
      </c>
      <c r="B93" s="192" t="s">
        <v>51</v>
      </c>
      <c r="C93" s="106">
        <v>51431339</v>
      </c>
      <c r="D93" s="193" t="s">
        <v>52</v>
      </c>
      <c r="E93" s="192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92" t="s">
        <v>51</v>
      </c>
      <c r="C94" s="106">
        <v>51217244</v>
      </c>
      <c r="D94" s="192" t="s">
        <v>37</v>
      </c>
      <c r="E94" s="192">
        <v>600</v>
      </c>
      <c r="F94" s="30">
        <v>264.21190000000001</v>
      </c>
      <c r="G94" s="30">
        <v>267.02699999999999</v>
      </c>
      <c r="H94" s="18">
        <f t="shared" si="4"/>
        <v>1689.0599999999836</v>
      </c>
      <c r="I94" s="51"/>
      <c r="J94" s="52"/>
    </row>
    <row r="95" spans="1:10" ht="15.75" x14ac:dyDescent="0.25">
      <c r="A95" s="27" t="s">
        <v>109</v>
      </c>
      <c r="B95" s="192" t="s">
        <v>51</v>
      </c>
      <c r="C95" s="106">
        <v>51217267</v>
      </c>
      <c r="D95" s="88" t="s">
        <v>62</v>
      </c>
      <c r="E95" s="192">
        <v>2400</v>
      </c>
      <c r="F95" s="30">
        <v>19.167200000000001</v>
      </c>
      <c r="G95" s="30">
        <v>19.198</v>
      </c>
      <c r="H95" s="18">
        <f t="shared" si="4"/>
        <v>73.919999999998254</v>
      </c>
      <c r="I95" s="51"/>
      <c r="J95" s="52"/>
    </row>
    <row r="96" spans="1:10" ht="15.75" x14ac:dyDescent="0.25">
      <c r="A96" s="27" t="s">
        <v>110</v>
      </c>
      <c r="B96" s="192" t="s">
        <v>51</v>
      </c>
      <c r="C96" s="192">
        <v>51555165</v>
      </c>
      <c r="D96" s="193" t="s">
        <v>52</v>
      </c>
      <c r="E96" s="192">
        <v>1200</v>
      </c>
      <c r="F96" s="30">
        <v>771.62789999999995</v>
      </c>
      <c r="G96" s="30">
        <v>771.62789999999995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192" t="s">
        <v>51</v>
      </c>
      <c r="C97" s="106">
        <v>51431346</v>
      </c>
      <c r="D97" s="114" t="s">
        <v>37</v>
      </c>
      <c r="E97" s="114">
        <v>600</v>
      </c>
      <c r="F97" s="30">
        <v>311.82810000000001</v>
      </c>
      <c r="G97" s="30">
        <v>312.25700000000001</v>
      </c>
      <c r="H97" s="115">
        <f t="shared" si="4"/>
        <v>257.33999999999924</v>
      </c>
      <c r="I97" s="116"/>
      <c r="J97" s="117"/>
    </row>
    <row r="98" spans="1:10" ht="15.75" x14ac:dyDescent="0.25">
      <c r="A98" s="27" t="s">
        <v>112</v>
      </c>
      <c r="B98" s="192" t="s">
        <v>51</v>
      </c>
      <c r="C98" s="106">
        <v>51431352</v>
      </c>
      <c r="D98" s="88" t="s">
        <v>21</v>
      </c>
      <c r="E98" s="192">
        <v>3600</v>
      </c>
      <c r="F98" s="21">
        <v>172.4008</v>
      </c>
      <c r="G98" s="21">
        <v>173.92400000000001</v>
      </c>
      <c r="H98" s="18">
        <f t="shared" si="4"/>
        <v>5483.5200000000095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17761.719999999958</v>
      </c>
      <c r="I99" s="51"/>
      <c r="J99" s="52"/>
    </row>
    <row r="100" spans="1:10" ht="15.75" x14ac:dyDescent="0.25">
      <c r="A100" s="45" t="s">
        <v>113</v>
      </c>
      <c r="B100" s="192" t="s">
        <v>51</v>
      </c>
      <c r="C100" s="120">
        <v>51431357</v>
      </c>
      <c r="D100" s="193" t="s">
        <v>62</v>
      </c>
      <c r="E100" s="193">
        <v>14000</v>
      </c>
      <c r="F100" s="28">
        <v>707.58960000000002</v>
      </c>
      <c r="G100" s="28">
        <v>711.35</v>
      </c>
      <c r="H100" s="121">
        <f t="shared" si="4"/>
        <v>52645.600000000057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zoomScaleNormal="100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145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150</v>
      </c>
      <c r="G3" s="4" t="s">
        <v>151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95" t="s">
        <v>13</v>
      </c>
      <c r="C5" s="195">
        <v>51555166</v>
      </c>
      <c r="D5" s="195" t="s">
        <v>14</v>
      </c>
      <c r="E5" s="195">
        <v>132000</v>
      </c>
      <c r="F5" s="17">
        <v>2.484</v>
      </c>
      <c r="G5" s="17">
        <v>2.496</v>
      </c>
      <c r="H5" s="18">
        <f>(G5-F5)*E5</f>
        <v>1584.0000000000014</v>
      </c>
      <c r="I5" s="19"/>
      <c r="J5" s="20"/>
    </row>
    <row r="6" spans="1:10" ht="15.75" x14ac:dyDescent="0.25">
      <c r="A6" s="15" t="s">
        <v>15</v>
      </c>
      <c r="B6" s="195" t="s">
        <v>13</v>
      </c>
      <c r="C6" s="195">
        <v>51555191</v>
      </c>
      <c r="D6" s="195" t="s">
        <v>14</v>
      </c>
      <c r="E6" s="195">
        <v>132000</v>
      </c>
      <c r="F6" s="21">
        <v>302.87400000000002</v>
      </c>
      <c r="G6" s="21">
        <v>304.88499999999999</v>
      </c>
      <c r="H6" s="18">
        <f>(G6-F6)*E6</f>
        <v>265451.99999999569</v>
      </c>
      <c r="I6" s="19"/>
      <c r="J6" s="20"/>
    </row>
    <row r="7" spans="1:10" ht="15.75" x14ac:dyDescent="0.25">
      <c r="A7" s="219" t="s">
        <v>16</v>
      </c>
      <c r="B7" s="220"/>
      <c r="C7" s="195"/>
      <c r="D7" s="196"/>
      <c r="E7" s="195"/>
      <c r="H7" s="23">
        <f>H5+H6</f>
        <v>267035.99999999569</v>
      </c>
      <c r="I7" s="24">
        <f>H7-H10-H20</f>
        <v>2519.9999999966094</v>
      </c>
      <c r="J7" s="25">
        <f>I7/H7</f>
        <v>9.4369298521422215E-3</v>
      </c>
    </row>
    <row r="8" spans="1:10" ht="15.75" x14ac:dyDescent="0.25">
      <c r="A8" s="26" t="s">
        <v>17</v>
      </c>
      <c r="B8" s="195" t="s">
        <v>13</v>
      </c>
      <c r="C8" s="195">
        <v>51097629</v>
      </c>
      <c r="D8" s="196" t="s">
        <v>14</v>
      </c>
      <c r="E8" s="195">
        <v>42000</v>
      </c>
      <c r="F8" s="21">
        <v>950.97400000000005</v>
      </c>
      <c r="G8" s="21">
        <v>955.35900000000004</v>
      </c>
      <c r="H8" s="18">
        <f>(G8-F8)*E8</f>
        <v>184169.99999999962</v>
      </c>
      <c r="I8" s="19"/>
      <c r="J8" s="20"/>
    </row>
    <row r="9" spans="1:10" ht="15.75" x14ac:dyDescent="0.25">
      <c r="A9" s="26" t="s">
        <v>18</v>
      </c>
      <c r="B9" s="195" t="s">
        <v>13</v>
      </c>
      <c r="C9" s="195">
        <v>51616820</v>
      </c>
      <c r="D9" s="196" t="s">
        <v>14</v>
      </c>
      <c r="E9" s="195">
        <v>42000</v>
      </c>
      <c r="F9" s="21">
        <v>4.0819999999999999</v>
      </c>
      <c r="G9" s="21">
        <v>4.1050000000000004</v>
      </c>
      <c r="H9" s="18">
        <f>(G9-F9)*E9</f>
        <v>966.00000000002422</v>
      </c>
      <c r="I9" s="19"/>
      <c r="J9" s="20"/>
    </row>
    <row r="10" spans="1:10" ht="15.75" x14ac:dyDescent="0.25">
      <c r="A10" s="219" t="s">
        <v>19</v>
      </c>
      <c r="B10" s="220"/>
      <c r="C10" s="195"/>
      <c r="D10" s="196"/>
      <c r="E10" s="195"/>
      <c r="F10" s="21"/>
      <c r="G10" s="21"/>
      <c r="H10" s="23">
        <f>H8+H9</f>
        <v>185135.99999999965</v>
      </c>
      <c r="I10" s="24">
        <f>H10-H17</f>
        <v>-83.999999999359716</v>
      </c>
      <c r="J10" s="25">
        <f>I10/H10</f>
        <v>-4.5372050816351155E-4</v>
      </c>
    </row>
    <row r="11" spans="1:10" ht="15.75" x14ac:dyDescent="0.25">
      <c r="A11" s="27" t="s">
        <v>20</v>
      </c>
      <c r="B11" s="195" t="s">
        <v>13</v>
      </c>
      <c r="C11" s="195">
        <v>51217286</v>
      </c>
      <c r="D11" s="196" t="s">
        <v>21</v>
      </c>
      <c r="E11" s="195">
        <v>21000</v>
      </c>
      <c r="F11" s="21">
        <v>755.98500000000001</v>
      </c>
      <c r="G11" s="21">
        <v>759.25900000000001</v>
      </c>
      <c r="H11" s="18">
        <f t="shared" ref="H11:H16" si="0">(G11-F11)*E11</f>
        <v>68754.000000000015</v>
      </c>
      <c r="I11" s="19"/>
      <c r="J11" s="20"/>
    </row>
    <row r="12" spans="1:10" ht="15.75" x14ac:dyDescent="0.25">
      <c r="A12" s="27" t="s">
        <v>22</v>
      </c>
      <c r="B12" s="195" t="s">
        <v>13</v>
      </c>
      <c r="C12" s="195">
        <v>51217292</v>
      </c>
      <c r="D12" s="196" t="s">
        <v>21</v>
      </c>
      <c r="E12" s="195">
        <v>21000</v>
      </c>
      <c r="F12" s="28">
        <v>3.0539999999999998</v>
      </c>
      <c r="G12" s="28">
        <v>3.081</v>
      </c>
      <c r="H12" s="18">
        <f>(G12-F12)*E12</f>
        <v>567.00000000000284</v>
      </c>
      <c r="I12" s="19"/>
      <c r="J12" s="20"/>
    </row>
    <row r="13" spans="1:10" ht="15.75" x14ac:dyDescent="0.25">
      <c r="A13" s="27" t="s">
        <v>23</v>
      </c>
      <c r="B13" s="195" t="s">
        <v>13</v>
      </c>
      <c r="C13" s="195">
        <v>51217271</v>
      </c>
      <c r="D13" s="196" t="s">
        <v>21</v>
      </c>
      <c r="E13" s="195">
        <v>21000</v>
      </c>
      <c r="F13" s="21">
        <v>550.33000000000004</v>
      </c>
      <c r="G13" s="21">
        <v>552.995</v>
      </c>
      <c r="H13" s="18">
        <f t="shared" si="0"/>
        <v>55964.999999999236</v>
      </c>
      <c r="I13" s="19"/>
      <c r="J13" s="20"/>
    </row>
    <row r="14" spans="1:10" ht="15.75" x14ac:dyDescent="0.25">
      <c r="A14" s="27" t="s">
        <v>24</v>
      </c>
      <c r="B14" s="195" t="s">
        <v>13</v>
      </c>
      <c r="C14" s="195">
        <v>51217276</v>
      </c>
      <c r="D14" s="196" t="s">
        <v>21</v>
      </c>
      <c r="E14" s="195">
        <v>21000</v>
      </c>
      <c r="F14" s="28">
        <v>0.42299999999999999</v>
      </c>
      <c r="G14" s="28">
        <v>0.42699999999999999</v>
      </c>
      <c r="H14" s="18">
        <f>(G14-F14)*E14</f>
        <v>84.000000000000071</v>
      </c>
      <c r="I14" s="19"/>
      <c r="J14" s="20"/>
    </row>
    <row r="15" spans="1:10" ht="15.75" x14ac:dyDescent="0.25">
      <c r="A15" s="27" t="s">
        <v>25</v>
      </c>
      <c r="B15" s="195" t="s">
        <v>13</v>
      </c>
      <c r="C15" s="195">
        <v>51100990</v>
      </c>
      <c r="D15" s="196" t="s">
        <v>21</v>
      </c>
      <c r="E15" s="195">
        <v>21000</v>
      </c>
      <c r="F15" s="29">
        <v>600.21600000000001</v>
      </c>
      <c r="G15" s="29">
        <v>603.053</v>
      </c>
      <c r="H15" s="18">
        <f t="shared" si="0"/>
        <v>59576.999999999767</v>
      </c>
      <c r="I15" s="19"/>
      <c r="J15" s="20"/>
    </row>
    <row r="16" spans="1:10" ht="15.75" x14ac:dyDescent="0.25">
      <c r="A16" s="27" t="s">
        <v>26</v>
      </c>
      <c r="B16" s="195" t="s">
        <v>13</v>
      </c>
      <c r="C16" s="195">
        <v>51097622</v>
      </c>
      <c r="D16" s="196" t="s">
        <v>21</v>
      </c>
      <c r="E16" s="195">
        <v>21000</v>
      </c>
      <c r="F16" s="21">
        <v>2.6360000000000001</v>
      </c>
      <c r="G16" s="21">
        <v>2.649</v>
      </c>
      <c r="H16" s="18">
        <f t="shared" si="0"/>
        <v>272.9999999999979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95"/>
      <c r="D17" s="196"/>
      <c r="E17" s="195"/>
      <c r="F17" s="21"/>
      <c r="G17" s="21"/>
      <c r="H17" s="23">
        <f>H11+H12+H13+H14+H15+H16</f>
        <v>185219.99999999901</v>
      </c>
      <c r="I17" s="19"/>
      <c r="J17" s="20"/>
    </row>
    <row r="18" spans="1:10" ht="15.75" x14ac:dyDescent="0.25">
      <c r="A18" s="26" t="s">
        <v>29</v>
      </c>
      <c r="B18" s="195" t="s">
        <v>13</v>
      </c>
      <c r="C18" s="195">
        <v>51097617</v>
      </c>
      <c r="D18" s="196" t="s">
        <v>30</v>
      </c>
      <c r="E18" s="195">
        <v>18000</v>
      </c>
      <c r="F18" s="30">
        <v>708.654</v>
      </c>
      <c r="G18" s="30">
        <v>713.06399999999996</v>
      </c>
      <c r="H18" s="18">
        <f>(G18-F18)*E18</f>
        <v>79379.999999999432</v>
      </c>
      <c r="I18" s="19"/>
      <c r="J18" s="20"/>
    </row>
    <row r="19" spans="1:10" ht="15.75" x14ac:dyDescent="0.25">
      <c r="A19" s="26" t="s">
        <v>31</v>
      </c>
      <c r="B19" s="195" t="s">
        <v>13</v>
      </c>
      <c r="C19" s="195">
        <v>51097655</v>
      </c>
      <c r="D19" s="196" t="s">
        <v>30</v>
      </c>
      <c r="E19" s="195">
        <v>18000</v>
      </c>
      <c r="F19" s="30">
        <v>6.1269999999999998</v>
      </c>
      <c r="G19" s="30">
        <v>6.1269999999999998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95"/>
      <c r="D20" s="196"/>
      <c r="E20" s="195"/>
      <c r="F20" s="30"/>
      <c r="G20" s="30"/>
      <c r="H20" s="23">
        <f>H18+H19</f>
        <v>79379.999999999432</v>
      </c>
      <c r="I20" s="24">
        <f>H20-H35</f>
        <v>4428.359999999273</v>
      </c>
      <c r="J20" s="25">
        <f>I20/H20</f>
        <v>5.5786848072553595E-2</v>
      </c>
    </row>
    <row r="21" spans="1:10" ht="15.75" x14ac:dyDescent="0.25">
      <c r="A21" s="15" t="s">
        <v>33</v>
      </c>
      <c r="B21" s="195" t="s">
        <v>13</v>
      </c>
      <c r="C21" s="195">
        <v>51217282</v>
      </c>
      <c r="D21" s="196" t="s">
        <v>34</v>
      </c>
      <c r="E21" s="195">
        <v>4800</v>
      </c>
      <c r="F21" s="21">
        <v>378.3732</v>
      </c>
      <c r="G21" s="21">
        <v>378.37299999999999</v>
      </c>
      <c r="H21" s="18">
        <f t="shared" ref="H21:H34" si="1">(G21-F21)*E21</f>
        <v>-0.96000000003186869</v>
      </c>
      <c r="I21" s="19" t="s">
        <v>27</v>
      </c>
      <c r="J21" s="20"/>
    </row>
    <row r="22" spans="1:10" ht="15.75" x14ac:dyDescent="0.25">
      <c r="A22" s="15" t="s">
        <v>35</v>
      </c>
      <c r="B22" s="195" t="s">
        <v>13</v>
      </c>
      <c r="C22" s="195">
        <v>51217274</v>
      </c>
      <c r="D22" s="196" t="s">
        <v>34</v>
      </c>
      <c r="E22" s="195">
        <v>4800</v>
      </c>
      <c r="F22" s="21">
        <v>1125.76</v>
      </c>
      <c r="G22" s="21">
        <v>1131.962</v>
      </c>
      <c r="H22" s="18">
        <f t="shared" si="1"/>
        <v>29769.599999999991</v>
      </c>
      <c r="I22" s="19"/>
      <c r="J22" s="20"/>
    </row>
    <row r="23" spans="1:10" ht="15.75" x14ac:dyDescent="0.25">
      <c r="A23" s="15" t="s">
        <v>36</v>
      </c>
      <c r="B23" s="195" t="s">
        <v>13</v>
      </c>
      <c r="C23" s="195">
        <v>51097664</v>
      </c>
      <c r="D23" s="196" t="s">
        <v>37</v>
      </c>
      <c r="E23" s="195">
        <v>600</v>
      </c>
      <c r="F23" s="21">
        <v>4.1390000000000002</v>
      </c>
      <c r="G23" s="21">
        <v>4.1630000000000003</v>
      </c>
      <c r="H23" s="18">
        <f t="shared" si="1"/>
        <v>14.400000000000013</v>
      </c>
      <c r="I23" s="19"/>
      <c r="J23" s="20"/>
    </row>
    <row r="24" spans="1:10" ht="15.75" x14ac:dyDescent="0.25">
      <c r="A24" s="15" t="s">
        <v>38</v>
      </c>
      <c r="B24" s="195" t="s">
        <v>13</v>
      </c>
      <c r="C24" s="195">
        <v>51097615</v>
      </c>
      <c r="D24" s="196" t="s">
        <v>37</v>
      </c>
      <c r="E24" s="195">
        <v>600</v>
      </c>
      <c r="F24" s="21">
        <v>30.809000000000001</v>
      </c>
      <c r="G24" s="21">
        <v>31.187999999999999</v>
      </c>
      <c r="H24" s="18">
        <f t="shared" si="1"/>
        <v>227.39999999999867</v>
      </c>
      <c r="I24" s="19"/>
      <c r="J24" s="20"/>
    </row>
    <row r="25" spans="1:10" ht="15.75" x14ac:dyDescent="0.25">
      <c r="A25" s="15" t="s">
        <v>39</v>
      </c>
      <c r="B25" s="195" t="s">
        <v>13</v>
      </c>
      <c r="C25" s="195">
        <v>51217264</v>
      </c>
      <c r="D25" s="196" t="s">
        <v>37</v>
      </c>
      <c r="E25" s="195">
        <v>600</v>
      </c>
      <c r="F25" s="21">
        <v>77.900999999999996</v>
      </c>
      <c r="G25" s="21">
        <v>78.646000000000001</v>
      </c>
      <c r="H25" s="18">
        <f t="shared" si="1"/>
        <v>447.00000000000273</v>
      </c>
      <c r="I25" s="19"/>
      <c r="J25" s="20"/>
    </row>
    <row r="26" spans="1:10" ht="15.75" x14ac:dyDescent="0.25">
      <c r="A26" s="15" t="s">
        <v>40</v>
      </c>
      <c r="B26" s="195" t="s">
        <v>13</v>
      </c>
      <c r="C26" s="195">
        <v>51217288</v>
      </c>
      <c r="D26" s="196" t="s">
        <v>37</v>
      </c>
      <c r="E26" s="195">
        <v>600</v>
      </c>
      <c r="F26" s="21">
        <v>19.315000000000001</v>
      </c>
      <c r="G26" s="21">
        <v>19.344999999999999</v>
      </c>
      <c r="H26" s="18">
        <f t="shared" si="1"/>
        <v>17.99999999999855</v>
      </c>
      <c r="I26" s="19" t="s">
        <v>27</v>
      </c>
      <c r="J26" s="20"/>
    </row>
    <row r="27" spans="1:10" ht="15.75" x14ac:dyDescent="0.25">
      <c r="A27" s="15" t="s">
        <v>41</v>
      </c>
      <c r="B27" s="195" t="s">
        <v>13</v>
      </c>
      <c r="C27" s="195">
        <v>51217279</v>
      </c>
      <c r="D27" s="196" t="s">
        <v>37</v>
      </c>
      <c r="E27" s="195">
        <v>600</v>
      </c>
      <c r="F27" s="21">
        <v>13.272</v>
      </c>
      <c r="G27" s="21">
        <v>13.324999999999999</v>
      </c>
      <c r="H27" s="18">
        <f t="shared" si="1"/>
        <v>31.799999999999429</v>
      </c>
      <c r="I27" s="19" t="s">
        <v>27</v>
      </c>
      <c r="J27" s="20"/>
    </row>
    <row r="28" spans="1:10" ht="15.75" x14ac:dyDescent="0.25">
      <c r="A28" s="15" t="s">
        <v>42</v>
      </c>
      <c r="B28" s="195" t="s">
        <v>13</v>
      </c>
      <c r="C28" s="195">
        <v>51217272</v>
      </c>
      <c r="D28" s="196" t="s">
        <v>37</v>
      </c>
      <c r="E28" s="195">
        <v>600</v>
      </c>
      <c r="F28" s="31">
        <v>13.02</v>
      </c>
      <c r="G28" s="31">
        <v>13.071999999999999</v>
      </c>
      <c r="H28" s="18">
        <f t="shared" si="1"/>
        <v>31.199999999999761</v>
      </c>
      <c r="I28" s="19"/>
      <c r="J28" s="20"/>
    </row>
    <row r="29" spans="1:10" ht="15.75" x14ac:dyDescent="0.25">
      <c r="A29" s="15" t="s">
        <v>43</v>
      </c>
      <c r="B29" s="195" t="s">
        <v>13</v>
      </c>
      <c r="C29" s="195">
        <v>51616744</v>
      </c>
      <c r="D29" s="196">
        <f>300/5</f>
        <v>60</v>
      </c>
      <c r="E29" s="195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95" t="s">
        <v>13</v>
      </c>
      <c r="C30" s="195">
        <v>51555226</v>
      </c>
      <c r="D30" s="196">
        <f>300/5</f>
        <v>60</v>
      </c>
      <c r="E30" s="195">
        <v>3600</v>
      </c>
      <c r="F30" s="31">
        <v>364.08499999999998</v>
      </c>
      <c r="G30" s="31">
        <v>368.31400000000002</v>
      </c>
      <c r="H30" s="18">
        <f>(G30-F30)*E30</f>
        <v>15224.400000000151</v>
      </c>
      <c r="I30" s="19"/>
      <c r="J30" s="20"/>
    </row>
    <row r="31" spans="1:10" ht="15.75" x14ac:dyDescent="0.25">
      <c r="A31" s="15" t="s">
        <v>45</v>
      </c>
      <c r="B31" s="195" t="s">
        <v>13</v>
      </c>
      <c r="C31" s="195">
        <v>51097658</v>
      </c>
      <c r="D31" s="196" t="s">
        <v>34</v>
      </c>
      <c r="E31" s="195">
        <v>4800</v>
      </c>
      <c r="F31" s="31">
        <v>538.67999999999995</v>
      </c>
      <c r="G31" s="31">
        <v>542.16499999999996</v>
      </c>
      <c r="H31" s="18">
        <f t="shared" si="1"/>
        <v>16728.000000000065</v>
      </c>
      <c r="I31" s="19"/>
      <c r="J31" s="20"/>
    </row>
    <row r="32" spans="1:10" ht="15.75" x14ac:dyDescent="0.25">
      <c r="A32" s="15" t="s">
        <v>46</v>
      </c>
      <c r="B32" s="195" t="s">
        <v>13</v>
      </c>
      <c r="C32" s="195">
        <v>51097635</v>
      </c>
      <c r="D32" s="196" t="s">
        <v>34</v>
      </c>
      <c r="E32" s="195">
        <v>4800</v>
      </c>
      <c r="F32" s="31">
        <v>48.436999999999998</v>
      </c>
      <c r="G32" s="31">
        <v>48.436999999999998</v>
      </c>
      <c r="H32" s="18">
        <f t="shared" si="1"/>
        <v>0</v>
      </c>
      <c r="I32" s="19"/>
      <c r="J32" s="20"/>
    </row>
    <row r="33" spans="1:10" ht="15.75" x14ac:dyDescent="0.25">
      <c r="A33" s="15" t="s">
        <v>47</v>
      </c>
      <c r="B33" s="195" t="s">
        <v>13</v>
      </c>
      <c r="C33" s="32">
        <v>51097633</v>
      </c>
      <c r="D33" s="196" t="s">
        <v>34</v>
      </c>
      <c r="E33" s="195">
        <v>4800</v>
      </c>
      <c r="F33" s="31">
        <v>98.372</v>
      </c>
      <c r="G33" s="31">
        <v>100.892</v>
      </c>
      <c r="H33" s="33">
        <f t="shared" si="1"/>
        <v>12095.999999999982</v>
      </c>
      <c r="I33" s="34"/>
      <c r="J33" s="35"/>
    </row>
    <row r="34" spans="1:10" ht="15.75" x14ac:dyDescent="0.25">
      <c r="A34" s="15" t="s">
        <v>116</v>
      </c>
      <c r="B34" s="195" t="s">
        <v>13</v>
      </c>
      <c r="C34" s="32">
        <v>51097662</v>
      </c>
      <c r="D34" s="196" t="s">
        <v>34</v>
      </c>
      <c r="E34" s="195">
        <v>4800</v>
      </c>
      <c r="F34" s="31">
        <v>1.6319999999999999</v>
      </c>
      <c r="G34" s="31">
        <v>1.708</v>
      </c>
      <c r="H34" s="33">
        <f t="shared" si="1"/>
        <v>364.8000000000003</v>
      </c>
      <c r="I34" s="34"/>
      <c r="J34" s="35"/>
    </row>
    <row r="35" spans="1:10" ht="15.75" x14ac:dyDescent="0.25">
      <c r="A35" s="219" t="s">
        <v>48</v>
      </c>
      <c r="B35" s="220"/>
      <c r="C35" s="195"/>
      <c r="D35" s="196"/>
      <c r="E35" s="195"/>
      <c r="F35" s="36"/>
      <c r="G35" s="36"/>
      <c r="H35" s="23">
        <f>H21+H22+H23+H24+H25+H26+H27+H28+H29+H30+H31+H32+H33+H34</f>
        <v>74951.640000000159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95" t="s">
        <v>51</v>
      </c>
      <c r="C37" s="195">
        <v>51555209</v>
      </c>
      <c r="D37" s="196" t="s">
        <v>52</v>
      </c>
      <c r="E37" s="195">
        <v>7000</v>
      </c>
      <c r="F37" s="17">
        <v>4.16</v>
      </c>
      <c r="G37" s="17">
        <v>4.2140000000000004</v>
      </c>
      <c r="H37" s="41">
        <f>(G37-F37)*E37</f>
        <v>378.00000000000188</v>
      </c>
      <c r="I37" s="42"/>
      <c r="J37" s="14"/>
    </row>
    <row r="38" spans="1:10" ht="15.75" x14ac:dyDescent="0.25">
      <c r="A38" s="15" t="s">
        <v>53</v>
      </c>
      <c r="B38" s="195" t="s">
        <v>51</v>
      </c>
      <c r="C38" s="195">
        <v>51555209</v>
      </c>
      <c r="D38" s="196" t="s">
        <v>52</v>
      </c>
      <c r="E38" s="195">
        <v>7000</v>
      </c>
      <c r="F38" s="21">
        <v>8.859</v>
      </c>
      <c r="G38" s="21">
        <v>8.8979999999999997</v>
      </c>
      <c r="H38" s="18">
        <f>(G38-F38)*E38</f>
        <v>272.9999999999979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95" t="s">
        <v>51</v>
      </c>
      <c r="C40" s="195">
        <v>51097674</v>
      </c>
      <c r="D40" s="195" t="s">
        <v>14</v>
      </c>
      <c r="E40" s="195">
        <v>7200</v>
      </c>
      <c r="F40" s="21">
        <v>510.25099999999998</v>
      </c>
      <c r="G40" s="21">
        <v>512.67700000000002</v>
      </c>
      <c r="H40" s="18">
        <f>(G40-F40)*E40</f>
        <v>17467.200000000321</v>
      </c>
      <c r="I40" s="47"/>
      <c r="J40" s="20"/>
    </row>
    <row r="41" spans="1:10" ht="15.75" x14ac:dyDescent="0.25">
      <c r="A41" s="27" t="s">
        <v>56</v>
      </c>
      <c r="B41" s="195" t="s">
        <v>51</v>
      </c>
      <c r="C41" s="195">
        <v>51259257</v>
      </c>
      <c r="D41" s="195" t="s">
        <v>14</v>
      </c>
      <c r="E41" s="195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95"/>
      <c r="C42" s="195"/>
      <c r="D42" s="195"/>
      <c r="E42" s="195"/>
      <c r="F42" s="21"/>
      <c r="G42" s="21"/>
      <c r="H42" s="48">
        <f>H40+H41</f>
        <v>17467.200000000321</v>
      </c>
      <c r="I42" s="24">
        <f>H42-H50</f>
        <v>-123.19999999973879</v>
      </c>
      <c r="J42" s="25">
        <f>I42/H42</f>
        <v>-7.0532197490002137E-3</v>
      </c>
    </row>
    <row r="43" spans="1:10" ht="15.75" x14ac:dyDescent="0.25">
      <c r="A43" s="15" t="s">
        <v>58</v>
      </c>
      <c r="B43" s="195"/>
      <c r="C43" s="195"/>
      <c r="D43" s="196"/>
      <c r="E43" s="195"/>
      <c r="H43" s="18"/>
      <c r="I43" s="43"/>
      <c r="J43" s="20"/>
    </row>
    <row r="44" spans="1:10" ht="15.75" x14ac:dyDescent="0.25">
      <c r="A44" s="27" t="s">
        <v>59</v>
      </c>
      <c r="B44" s="195" t="s">
        <v>51</v>
      </c>
      <c r="C44" s="32">
        <v>51097648</v>
      </c>
      <c r="D44" s="195" t="s">
        <v>52</v>
      </c>
      <c r="E44" s="195">
        <v>1200</v>
      </c>
      <c r="F44" s="21">
        <v>417.53199999999998</v>
      </c>
      <c r="G44" s="21">
        <v>419.53399999999999</v>
      </c>
      <c r="H44" s="33">
        <f>(G44-F44)*E44</f>
        <v>2402.4000000000115</v>
      </c>
      <c r="I44" s="43"/>
      <c r="J44" s="20"/>
    </row>
    <row r="45" spans="1:10" ht="15.75" x14ac:dyDescent="0.25">
      <c r="A45" s="27" t="s">
        <v>60</v>
      </c>
      <c r="B45" s="195" t="s">
        <v>51</v>
      </c>
      <c r="C45" s="32">
        <v>50555043</v>
      </c>
      <c r="D45" s="195" t="s">
        <v>52</v>
      </c>
      <c r="E45" s="195">
        <v>1200</v>
      </c>
      <c r="F45" s="21">
        <v>1750.268</v>
      </c>
      <c r="G45" s="21">
        <v>1758.7940000000001</v>
      </c>
      <c r="H45" s="33">
        <f>(G45-F45)*E45</f>
        <v>10231.200000000081</v>
      </c>
      <c r="I45" s="43"/>
      <c r="J45" s="20"/>
    </row>
    <row r="46" spans="1:10" ht="15.75" x14ac:dyDescent="0.25">
      <c r="A46" s="27" t="s">
        <v>61</v>
      </c>
      <c r="B46" s="195" t="s">
        <v>51</v>
      </c>
      <c r="C46" s="32">
        <v>51259336</v>
      </c>
      <c r="D46" s="195" t="s">
        <v>62</v>
      </c>
      <c r="E46" s="195">
        <v>2400</v>
      </c>
      <c r="F46" s="21">
        <v>3.657</v>
      </c>
      <c r="G46" s="21">
        <v>3.6709999999999998</v>
      </c>
      <c r="H46" s="33">
        <f>(G46-F46)*E46</f>
        <v>33.599999999999497</v>
      </c>
      <c r="I46" s="43"/>
      <c r="J46" s="20"/>
    </row>
    <row r="47" spans="1:10" ht="15.75" x14ac:dyDescent="0.25">
      <c r="A47" s="27" t="s">
        <v>63</v>
      </c>
      <c r="B47" s="195" t="s">
        <v>51</v>
      </c>
      <c r="C47" s="32">
        <v>51259266</v>
      </c>
      <c r="D47" s="195" t="s">
        <v>52</v>
      </c>
      <c r="E47" s="195">
        <v>1200</v>
      </c>
      <c r="F47" s="21">
        <v>848.56500000000005</v>
      </c>
      <c r="G47" s="21">
        <v>852.31600000000003</v>
      </c>
      <c r="H47" s="33">
        <f>(G47-F47)*E47</f>
        <v>4501.1999999999716</v>
      </c>
      <c r="I47" s="43"/>
      <c r="J47" s="20"/>
    </row>
    <row r="48" spans="1:10" ht="15.75" x14ac:dyDescent="0.25">
      <c r="A48" s="27" t="s">
        <v>64</v>
      </c>
      <c r="B48" s="195" t="s">
        <v>51</v>
      </c>
      <c r="C48" s="32">
        <v>51431336</v>
      </c>
      <c r="D48" s="195" t="s">
        <v>52</v>
      </c>
      <c r="E48" s="195">
        <v>1200</v>
      </c>
      <c r="F48" s="21">
        <v>46.176000000000002</v>
      </c>
      <c r="G48" s="21">
        <v>46.485999999999997</v>
      </c>
      <c r="H48" s="33">
        <f>(G48-F48)*E48</f>
        <v>371.9999999999942</v>
      </c>
      <c r="I48" s="43"/>
      <c r="J48" s="20"/>
    </row>
    <row r="49" spans="1:10" ht="15.75" x14ac:dyDescent="0.25">
      <c r="A49" s="15" t="s">
        <v>65</v>
      </c>
      <c r="B49" s="195" t="s">
        <v>66</v>
      </c>
      <c r="C49" s="195">
        <v>49174</v>
      </c>
      <c r="D49" s="196" t="s">
        <v>52</v>
      </c>
      <c r="E49" s="195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17590.40000000006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95" t="s">
        <v>51</v>
      </c>
      <c r="C52" s="195">
        <v>51097603</v>
      </c>
      <c r="D52" s="196" t="s">
        <v>52</v>
      </c>
      <c r="E52" s="195">
        <v>7000</v>
      </c>
      <c r="F52" s="17">
        <v>1696.076</v>
      </c>
      <c r="G52" s="17">
        <v>1703.1980000000001</v>
      </c>
      <c r="H52" s="18">
        <f>(G52-F52)*E52</f>
        <v>49854.000000000495</v>
      </c>
      <c r="I52" s="43"/>
      <c r="J52" s="20"/>
    </row>
    <row r="53" spans="1:10" ht="15.75" x14ac:dyDescent="0.25">
      <c r="A53" s="27" t="s">
        <v>71</v>
      </c>
      <c r="B53" s="195" t="s">
        <v>51</v>
      </c>
      <c r="C53" s="195">
        <v>51097590</v>
      </c>
      <c r="D53" s="196" t="s">
        <v>52</v>
      </c>
      <c r="E53" s="195">
        <v>7000</v>
      </c>
      <c r="F53" s="21">
        <v>10.141</v>
      </c>
      <c r="G53" s="21">
        <v>10.221</v>
      </c>
      <c r="H53" s="18">
        <f>(G53-F53)*E53</f>
        <v>560.00000000000045</v>
      </c>
      <c r="I53" s="43"/>
      <c r="J53" s="20"/>
    </row>
    <row r="54" spans="1:10" ht="15.75" x14ac:dyDescent="0.25">
      <c r="A54" s="15" t="s">
        <v>65</v>
      </c>
      <c r="B54" s="195" t="s">
        <v>66</v>
      </c>
      <c r="C54" s="195">
        <v>49174</v>
      </c>
      <c r="D54" s="196" t="s">
        <v>52</v>
      </c>
      <c r="E54" s="195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95"/>
      <c r="D55" s="196"/>
      <c r="E55" s="195"/>
      <c r="F55" s="21"/>
      <c r="G55" s="21"/>
      <c r="H55" s="48">
        <f>H52+H53+H54</f>
        <v>50514.000000000495</v>
      </c>
      <c r="I55" s="47"/>
      <c r="J55" s="59"/>
    </row>
    <row r="56" spans="1:10" ht="15.75" x14ac:dyDescent="0.25">
      <c r="A56" s="27" t="s">
        <v>73</v>
      </c>
      <c r="B56" s="195" t="s">
        <v>51</v>
      </c>
      <c r="C56" s="195">
        <v>51100980</v>
      </c>
      <c r="D56" s="195" t="s">
        <v>74</v>
      </c>
      <c r="E56" s="195">
        <v>12000</v>
      </c>
      <c r="F56" s="21">
        <v>997.64</v>
      </c>
      <c r="G56" s="21">
        <v>1001.8440000000001</v>
      </c>
      <c r="H56" s="18">
        <f>(G56-F56)*E56</f>
        <v>50448.000000000771</v>
      </c>
      <c r="I56" s="47"/>
      <c r="J56" s="58"/>
    </row>
    <row r="57" spans="1:10" ht="15.75" x14ac:dyDescent="0.25">
      <c r="A57" s="27" t="s">
        <v>75</v>
      </c>
      <c r="B57" s="195" t="s">
        <v>51</v>
      </c>
      <c r="C57" s="195">
        <v>51097623</v>
      </c>
      <c r="D57" s="195" t="s">
        <v>74</v>
      </c>
      <c r="E57" s="195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95"/>
      <c r="C58" s="195"/>
      <c r="D58" s="195"/>
      <c r="E58" s="195"/>
      <c r="F58" s="21"/>
      <c r="G58" s="21"/>
      <c r="H58" s="48">
        <f>H56+H57</f>
        <v>50448.000000000771</v>
      </c>
      <c r="I58" s="61">
        <f>H55-H65-H54</f>
        <v>-101.19999999957508</v>
      </c>
      <c r="J58" s="25">
        <f>I58/H58</f>
        <v>-2.0060260069690284E-3</v>
      </c>
    </row>
    <row r="59" spans="1:10" ht="15.75" x14ac:dyDescent="0.25">
      <c r="A59" s="27" t="s">
        <v>77</v>
      </c>
      <c r="B59" s="195" t="s">
        <v>51</v>
      </c>
      <c r="C59" s="195">
        <v>51097675</v>
      </c>
      <c r="D59" s="195" t="s">
        <v>34</v>
      </c>
      <c r="E59" s="195">
        <v>4800</v>
      </c>
      <c r="F59" s="21">
        <v>401.76799999999997</v>
      </c>
      <c r="G59" s="21">
        <v>405.1</v>
      </c>
      <c r="H59" s="18">
        <f t="shared" ref="H59:H64" si="2">(G59-F59)*E59</f>
        <v>15993.600000000242</v>
      </c>
      <c r="I59" s="62"/>
      <c r="J59" s="59"/>
    </row>
    <row r="60" spans="1:10" ht="15.75" x14ac:dyDescent="0.25">
      <c r="A60" s="27" t="s">
        <v>78</v>
      </c>
      <c r="B60" s="195" t="s">
        <v>51</v>
      </c>
      <c r="C60" s="195">
        <v>51100997</v>
      </c>
      <c r="D60" s="195" t="s">
        <v>21</v>
      </c>
      <c r="E60" s="195">
        <v>3600</v>
      </c>
      <c r="F60" s="21">
        <v>1266.681</v>
      </c>
      <c r="G60" s="21">
        <v>1269.672</v>
      </c>
      <c r="H60" s="18">
        <f t="shared" si="2"/>
        <v>10767.599999999948</v>
      </c>
      <c r="I60" s="62"/>
      <c r="J60" s="59"/>
    </row>
    <row r="61" spans="1:10" ht="15.75" x14ac:dyDescent="0.25">
      <c r="A61" s="27" t="s">
        <v>79</v>
      </c>
      <c r="B61" s="195" t="s">
        <v>51</v>
      </c>
      <c r="C61" s="195">
        <v>51555218</v>
      </c>
      <c r="D61" s="195">
        <f>400/5</f>
        <v>80</v>
      </c>
      <c r="E61" s="195">
        <v>4800</v>
      </c>
      <c r="F61" s="21">
        <v>46.125</v>
      </c>
      <c r="G61" s="21">
        <v>46.688000000000002</v>
      </c>
      <c r="H61" s="18">
        <f t="shared" si="2"/>
        <v>2702.4000000000115</v>
      </c>
      <c r="I61" s="62"/>
      <c r="J61" s="59"/>
    </row>
    <row r="62" spans="1:10" ht="15.75" x14ac:dyDescent="0.25">
      <c r="A62" s="27" t="s">
        <v>80</v>
      </c>
      <c r="B62" s="195" t="s">
        <v>51</v>
      </c>
      <c r="C62" s="195">
        <v>51555151</v>
      </c>
      <c r="D62" s="195">
        <f>400/5</f>
        <v>80</v>
      </c>
      <c r="E62" s="195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95" t="s">
        <v>51</v>
      </c>
      <c r="C63" s="195">
        <v>51097599</v>
      </c>
      <c r="D63" s="195" t="s">
        <v>21</v>
      </c>
      <c r="E63" s="195">
        <v>3600</v>
      </c>
      <c r="F63" s="21">
        <v>883.22900000000004</v>
      </c>
      <c r="G63" s="21">
        <v>885.55799999999999</v>
      </c>
      <c r="H63" s="18">
        <f t="shared" si="2"/>
        <v>8384.3999999998232</v>
      </c>
      <c r="I63" s="62"/>
      <c r="J63" s="59"/>
    </row>
    <row r="64" spans="1:10" ht="15.75" x14ac:dyDescent="0.25">
      <c r="A64" s="27" t="s">
        <v>82</v>
      </c>
      <c r="B64" s="195" t="s">
        <v>51</v>
      </c>
      <c r="C64" s="195">
        <v>51097620</v>
      </c>
      <c r="D64" s="195" t="s">
        <v>34</v>
      </c>
      <c r="E64" s="195">
        <v>4800</v>
      </c>
      <c r="F64" s="21">
        <v>422.697</v>
      </c>
      <c r="G64" s="21">
        <v>425.33600000000001</v>
      </c>
      <c r="H64" s="18">
        <f t="shared" si="2"/>
        <v>12667.200000000048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50515.20000000007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95" t="s">
        <v>51</v>
      </c>
      <c r="C67" s="9">
        <v>51259238</v>
      </c>
      <c r="D67" s="74" t="s">
        <v>52</v>
      </c>
      <c r="E67" s="74">
        <v>7000</v>
      </c>
      <c r="F67" s="75">
        <v>462.84300000000002</v>
      </c>
      <c r="G67" s="75">
        <v>465.71199999999999</v>
      </c>
      <c r="H67" s="76">
        <f>(G67-F67)*E67</f>
        <v>20082.9999999998</v>
      </c>
      <c r="I67" s="77"/>
      <c r="J67" s="78"/>
    </row>
    <row r="68" spans="1:10" ht="15.75" x14ac:dyDescent="0.25">
      <c r="A68" s="27" t="s">
        <v>85</v>
      </c>
      <c r="B68" s="195" t="s">
        <v>51</v>
      </c>
      <c r="C68" s="195">
        <v>51259324</v>
      </c>
      <c r="D68" s="196" t="s">
        <v>52</v>
      </c>
      <c r="E68" s="196">
        <v>7000</v>
      </c>
      <c r="F68" s="21">
        <v>355.33699999999999</v>
      </c>
      <c r="G68" s="21">
        <v>357.529</v>
      </c>
      <c r="H68" s="18">
        <f>(G68-F68)*E68</f>
        <v>15344.000000000051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95">
        <v>51491618</v>
      </c>
      <c r="D69" s="196" t="s">
        <v>62</v>
      </c>
      <c r="E69" s="195">
        <v>40</v>
      </c>
      <c r="F69" s="28">
        <v>883.61800000000005</v>
      </c>
      <c r="G69" s="28">
        <v>894.94399999999996</v>
      </c>
      <c r="H69" s="18">
        <f>(G69-F69)*E69</f>
        <v>453.03999999999633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95">
        <v>51491624</v>
      </c>
      <c r="D70" s="196" t="s">
        <v>62</v>
      </c>
      <c r="E70" s="195">
        <v>40</v>
      </c>
      <c r="F70" s="28">
        <v>120.20699999999999</v>
      </c>
      <c r="G70" s="28">
        <v>121.551</v>
      </c>
      <c r="H70" s="18">
        <f>(G70-F70)*E70</f>
        <v>53.760000000000332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35426.999999999854</v>
      </c>
      <c r="I71" s="85">
        <f>H71-H74-H69-H70</f>
        <v>-1139.7999999997492</v>
      </c>
      <c r="J71" s="25">
        <f>I71/H71</f>
        <v>-3.2173201230692804E-2</v>
      </c>
    </row>
    <row r="72" spans="1:10" ht="15.75" x14ac:dyDescent="0.25">
      <c r="A72" s="27" t="s">
        <v>90</v>
      </c>
      <c r="B72" s="195" t="s">
        <v>51</v>
      </c>
      <c r="C72" s="86">
        <v>51097588</v>
      </c>
      <c r="D72" s="196" t="s">
        <v>74</v>
      </c>
      <c r="E72" s="195">
        <v>12000</v>
      </c>
      <c r="F72" s="21">
        <v>279.84300000000002</v>
      </c>
      <c r="G72" s="21">
        <v>281.52199999999999</v>
      </c>
      <c r="H72" s="18">
        <f>(G72-F72)*E72</f>
        <v>20147.999999999683</v>
      </c>
      <c r="I72" s="51"/>
      <c r="J72" s="58"/>
    </row>
    <row r="73" spans="1:10" ht="15.75" x14ac:dyDescent="0.25">
      <c r="A73" s="27" t="s">
        <v>91</v>
      </c>
      <c r="B73" s="195" t="s">
        <v>51</v>
      </c>
      <c r="C73" s="86">
        <v>51431335</v>
      </c>
      <c r="D73" s="196" t="s">
        <v>74</v>
      </c>
      <c r="E73" s="195">
        <v>12000</v>
      </c>
      <c r="F73" s="21">
        <v>218.19</v>
      </c>
      <c r="G73" s="21">
        <v>219.51599999999999</v>
      </c>
      <c r="H73" s="18">
        <f>(G73-F73)*E73</f>
        <v>15911.99999999992</v>
      </c>
      <c r="I73" s="51"/>
      <c r="J73" s="58"/>
    </row>
    <row r="74" spans="1:10" ht="15.75" x14ac:dyDescent="0.25">
      <c r="A74" s="87" t="s">
        <v>92</v>
      </c>
      <c r="B74" s="195" t="s">
        <v>27</v>
      </c>
      <c r="C74" s="195"/>
      <c r="D74" s="196"/>
      <c r="E74" s="195"/>
      <c r="F74" s="21"/>
      <c r="G74" s="21"/>
      <c r="H74" s="48">
        <f>H72+ H73</f>
        <v>36059.999999999607</v>
      </c>
      <c r="I74" s="85">
        <f>H74-H82</f>
        <v>-76.200000000171713</v>
      </c>
      <c r="J74" s="25">
        <f>I74/H74</f>
        <v>-2.113144758740226E-3</v>
      </c>
    </row>
    <row r="75" spans="1:10" ht="15.75" x14ac:dyDescent="0.25">
      <c r="A75" s="27" t="s">
        <v>93</v>
      </c>
      <c r="B75" s="195" t="s">
        <v>51</v>
      </c>
      <c r="C75" s="86">
        <v>51097676</v>
      </c>
      <c r="D75" s="88" t="s">
        <v>62</v>
      </c>
      <c r="E75" s="195">
        <v>2400</v>
      </c>
      <c r="F75" s="21">
        <v>569.79600000000005</v>
      </c>
      <c r="G75" s="21">
        <v>573.91600000000005</v>
      </c>
      <c r="H75" s="18">
        <f>(G75-F75)*E75</f>
        <v>9888.0000000000109</v>
      </c>
      <c r="I75" s="51"/>
      <c r="J75" s="58"/>
    </row>
    <row r="76" spans="1:10" ht="15.75" x14ac:dyDescent="0.25">
      <c r="A76" s="27" t="s">
        <v>94</v>
      </c>
      <c r="B76" s="195" t="s">
        <v>51</v>
      </c>
      <c r="C76" s="86">
        <v>51431355</v>
      </c>
      <c r="D76" s="196" t="s">
        <v>21</v>
      </c>
      <c r="E76" s="196">
        <v>3600</v>
      </c>
      <c r="F76" s="21">
        <v>318.44799999999998</v>
      </c>
      <c r="G76" s="21">
        <v>319.55799999999999</v>
      </c>
      <c r="H76" s="18">
        <f>(G76-F76)*E76</f>
        <v>3996.0000000000491</v>
      </c>
      <c r="I76" s="51"/>
      <c r="J76" s="52"/>
    </row>
    <row r="77" spans="1:10" ht="15.75" x14ac:dyDescent="0.25">
      <c r="A77" s="27" t="s">
        <v>95</v>
      </c>
      <c r="B77" s="195" t="s">
        <v>51</v>
      </c>
      <c r="C77" s="86">
        <v>51259331</v>
      </c>
      <c r="D77" s="88" t="s">
        <v>37</v>
      </c>
      <c r="E77" s="195">
        <v>600</v>
      </c>
      <c r="F77" s="21">
        <v>132.917</v>
      </c>
      <c r="G77" s="21">
        <v>134.02799999999999</v>
      </c>
      <c r="H77" s="18">
        <f>(G77-F77)*E77</f>
        <v>666.599999999994</v>
      </c>
      <c r="I77" s="51"/>
      <c r="J77" s="52"/>
    </row>
    <row r="78" spans="1:10" ht="15.75" x14ac:dyDescent="0.25">
      <c r="A78" s="27" t="s">
        <v>96</v>
      </c>
      <c r="B78" s="195" t="s">
        <v>51</v>
      </c>
      <c r="C78" s="86">
        <v>51259326</v>
      </c>
      <c r="D78" s="88" t="s">
        <v>14</v>
      </c>
      <c r="E78" s="195">
        <v>7200</v>
      </c>
      <c r="F78" s="21">
        <v>280.95100000000002</v>
      </c>
      <c r="G78" s="21">
        <v>282.387</v>
      </c>
      <c r="H78" s="18">
        <f>(G78-F78)*E78</f>
        <v>10339.199999999846</v>
      </c>
      <c r="I78" s="51"/>
      <c r="J78" s="52"/>
    </row>
    <row r="79" spans="1:10" ht="15.75" x14ac:dyDescent="0.25">
      <c r="A79" s="27" t="s">
        <v>97</v>
      </c>
      <c r="B79" s="195" t="s">
        <v>51</v>
      </c>
      <c r="C79" s="86">
        <v>51431351</v>
      </c>
      <c r="D79" s="88" t="s">
        <v>14</v>
      </c>
      <c r="E79" s="195">
        <v>7200</v>
      </c>
      <c r="F79" s="21">
        <v>190.39400000000001</v>
      </c>
      <c r="G79" s="21">
        <v>191.95599999999999</v>
      </c>
      <c r="H79" s="18">
        <f>(G79-F79)*E79</f>
        <v>11246.399999999881</v>
      </c>
      <c r="I79" s="51"/>
      <c r="J79" s="52"/>
    </row>
    <row r="80" spans="1:10" ht="15.75" x14ac:dyDescent="0.25">
      <c r="A80" s="89" t="s">
        <v>98</v>
      </c>
      <c r="B80" s="195" t="s">
        <v>51</v>
      </c>
      <c r="C80" s="90">
        <v>51097666</v>
      </c>
      <c r="D80" s="88" t="s">
        <v>62</v>
      </c>
      <c r="E80" s="195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95" t="s">
        <v>51</v>
      </c>
      <c r="C81" s="90">
        <v>51259323</v>
      </c>
      <c r="D81" s="88" t="s">
        <v>62</v>
      </c>
      <c r="E81" s="195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36136.199999999779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95" t="s">
        <v>51</v>
      </c>
      <c r="C84" s="106">
        <v>51431297</v>
      </c>
      <c r="D84" s="196" t="s">
        <v>52</v>
      </c>
      <c r="E84" s="100">
        <v>7000</v>
      </c>
      <c r="F84" s="17">
        <v>234.42500000000001</v>
      </c>
      <c r="G84" s="17">
        <v>235.24</v>
      </c>
      <c r="H84" s="18">
        <f>(G84-F84)*E84</f>
        <v>5704.9999999999836</v>
      </c>
      <c r="I84" s="107"/>
      <c r="J84" s="108"/>
    </row>
    <row r="85" spans="1:10" ht="15.75" x14ac:dyDescent="0.25">
      <c r="A85" s="105" t="s">
        <v>85</v>
      </c>
      <c r="B85" s="195" t="s">
        <v>51</v>
      </c>
      <c r="C85" s="106">
        <v>51431332</v>
      </c>
      <c r="D85" s="196" t="s">
        <v>52</v>
      </c>
      <c r="E85" s="100">
        <v>7000</v>
      </c>
      <c r="F85" s="21">
        <v>311.42</v>
      </c>
      <c r="G85" s="21">
        <v>313.17500000000001</v>
      </c>
      <c r="H85" s="18">
        <f>(G85-F85)*E85</f>
        <v>12284.999999999967</v>
      </c>
      <c r="I85" s="195"/>
      <c r="J85" s="58"/>
    </row>
    <row r="86" spans="1:10" ht="15.75" x14ac:dyDescent="0.25">
      <c r="A86" s="27" t="s">
        <v>86</v>
      </c>
      <c r="B86" s="195" t="s">
        <v>102</v>
      </c>
      <c r="C86" s="109">
        <v>150773</v>
      </c>
      <c r="D86" s="196" t="s">
        <v>52</v>
      </c>
      <c r="E86" s="109">
        <v>20</v>
      </c>
      <c r="F86" s="17">
        <v>15374.8</v>
      </c>
      <c r="G86" s="17">
        <v>15384</v>
      </c>
      <c r="H86" s="18">
        <f>(G86-F86)*E86</f>
        <v>184.00000000001455</v>
      </c>
      <c r="I86" s="51"/>
      <c r="J86" s="58"/>
    </row>
    <row r="87" spans="1:10" ht="15.75" x14ac:dyDescent="0.25">
      <c r="A87" s="27" t="s">
        <v>88</v>
      </c>
      <c r="B87" s="195" t="s">
        <v>102</v>
      </c>
      <c r="C87" s="109">
        <v>150791</v>
      </c>
      <c r="D87" s="196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197"/>
      <c r="C88" s="32"/>
      <c r="D88" s="82"/>
      <c r="E88" s="82"/>
      <c r="F88" s="21"/>
      <c r="G88" s="21"/>
      <c r="H88" s="48">
        <f>H84+H85</f>
        <v>17989.999999999949</v>
      </c>
      <c r="I88" s="85">
        <f>H88-H91-H86-H87</f>
        <v>449.19999999973152</v>
      </c>
      <c r="J88" s="25">
        <f>I88/H88</f>
        <v>2.496942745968498E-2</v>
      </c>
    </row>
    <row r="89" spans="1:10" ht="15.75" x14ac:dyDescent="0.25">
      <c r="A89" s="27" t="s">
        <v>103</v>
      </c>
      <c r="B89" s="195" t="s">
        <v>51</v>
      </c>
      <c r="C89" s="106">
        <v>51431342</v>
      </c>
      <c r="D89" s="88" t="s">
        <v>34</v>
      </c>
      <c r="E89" s="195">
        <v>4800</v>
      </c>
      <c r="F89" s="21">
        <v>332.10199999999998</v>
      </c>
      <c r="G89" s="21">
        <v>333.25299999999999</v>
      </c>
      <c r="H89" s="18">
        <f>(G89-F89)*E89</f>
        <v>5524.8000000000502</v>
      </c>
      <c r="I89" s="51"/>
      <c r="J89" s="52"/>
    </row>
    <row r="90" spans="1:10" ht="15.75" x14ac:dyDescent="0.25">
      <c r="A90" s="27" t="s">
        <v>104</v>
      </c>
      <c r="B90" s="195" t="s">
        <v>51</v>
      </c>
      <c r="C90" s="106">
        <v>51431343</v>
      </c>
      <c r="D90" s="88" t="s">
        <v>34</v>
      </c>
      <c r="E90" s="195">
        <v>4800</v>
      </c>
      <c r="F90" s="21">
        <v>440.96</v>
      </c>
      <c r="G90" s="21">
        <v>443.42500000000001</v>
      </c>
      <c r="H90" s="18">
        <f>(G90-F90)*E90</f>
        <v>11832.000000000153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17356.800000000203</v>
      </c>
      <c r="I91" s="85">
        <f>H91-H99</f>
        <v>-143.19999999983702</v>
      </c>
      <c r="J91" s="25">
        <f>I91/H91</f>
        <v>-8.2503687315539347E-3</v>
      </c>
    </row>
    <row r="92" spans="1:10" ht="15.75" x14ac:dyDescent="0.25">
      <c r="A92" s="27" t="s">
        <v>106</v>
      </c>
      <c r="B92" s="195" t="s">
        <v>51</v>
      </c>
      <c r="C92" s="106">
        <v>51431347</v>
      </c>
      <c r="D92" s="196" t="s">
        <v>52</v>
      </c>
      <c r="E92" s="195">
        <v>1200</v>
      </c>
      <c r="F92" s="21">
        <v>981.39499999999998</v>
      </c>
      <c r="G92" s="21">
        <v>989.79399999999998</v>
      </c>
      <c r="H92" s="18">
        <f t="shared" ref="H92:H100" si="4">(G92-F92)*E92</f>
        <v>10078.800000000001</v>
      </c>
      <c r="I92" s="51"/>
      <c r="J92" s="52"/>
    </row>
    <row r="93" spans="1:10" ht="15.75" x14ac:dyDescent="0.25">
      <c r="A93" s="27" t="s">
        <v>107</v>
      </c>
      <c r="B93" s="195" t="s">
        <v>51</v>
      </c>
      <c r="C93" s="106">
        <v>51431339</v>
      </c>
      <c r="D93" s="196" t="s">
        <v>52</v>
      </c>
      <c r="E93" s="195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95" t="s">
        <v>51</v>
      </c>
      <c r="C94" s="106">
        <v>51217244</v>
      </c>
      <c r="D94" s="195" t="s">
        <v>37</v>
      </c>
      <c r="E94" s="195">
        <v>600</v>
      </c>
      <c r="F94" s="30">
        <v>267.02699999999999</v>
      </c>
      <c r="G94" s="30">
        <v>269.83300000000003</v>
      </c>
      <c r="H94" s="18">
        <f t="shared" si="4"/>
        <v>1683.600000000024</v>
      </c>
      <c r="I94" s="51"/>
      <c r="J94" s="52"/>
    </row>
    <row r="95" spans="1:10" ht="15.75" x14ac:dyDescent="0.25">
      <c r="A95" s="27" t="s">
        <v>109</v>
      </c>
      <c r="B95" s="195" t="s">
        <v>51</v>
      </c>
      <c r="C95" s="106">
        <v>51217267</v>
      </c>
      <c r="D95" s="88" t="s">
        <v>62</v>
      </c>
      <c r="E95" s="195">
        <v>2400</v>
      </c>
      <c r="F95" s="30">
        <v>19.198</v>
      </c>
      <c r="G95" s="30">
        <v>19.228999999999999</v>
      </c>
      <c r="H95" s="18">
        <f t="shared" si="4"/>
        <v>74.399999999997135</v>
      </c>
      <c r="I95" s="51"/>
      <c r="J95" s="52"/>
    </row>
    <row r="96" spans="1:10" ht="15.75" x14ac:dyDescent="0.25">
      <c r="A96" s="27" t="s">
        <v>110</v>
      </c>
      <c r="B96" s="195" t="s">
        <v>51</v>
      </c>
      <c r="C96" s="195">
        <v>51555165</v>
      </c>
      <c r="D96" s="196" t="s">
        <v>52</v>
      </c>
      <c r="E96" s="195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195" t="s">
        <v>51</v>
      </c>
      <c r="C97" s="106">
        <v>51431346</v>
      </c>
      <c r="D97" s="114" t="s">
        <v>37</v>
      </c>
      <c r="E97" s="114">
        <v>600</v>
      </c>
      <c r="F97" s="30">
        <v>312.25700000000001</v>
      </c>
      <c r="G97" s="30">
        <v>312.67700000000002</v>
      </c>
      <c r="H97" s="115">
        <f t="shared" si="4"/>
        <v>252.00000000000955</v>
      </c>
      <c r="I97" s="116"/>
      <c r="J97" s="117"/>
    </row>
    <row r="98" spans="1:10" ht="15.75" x14ac:dyDescent="0.25">
      <c r="A98" s="27" t="s">
        <v>112</v>
      </c>
      <c r="B98" s="195" t="s">
        <v>51</v>
      </c>
      <c r="C98" s="106">
        <v>51431352</v>
      </c>
      <c r="D98" s="88" t="s">
        <v>21</v>
      </c>
      <c r="E98" s="195">
        <v>3600</v>
      </c>
      <c r="F98" s="21">
        <v>173.92400000000001</v>
      </c>
      <c r="G98" s="21">
        <v>175.376</v>
      </c>
      <c r="H98" s="18">
        <f t="shared" si="4"/>
        <v>5227.1999999999935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17500.00000000004</v>
      </c>
      <c r="I99" s="51"/>
      <c r="J99" s="52"/>
    </row>
    <row r="100" spans="1:10" ht="15.75" x14ac:dyDescent="0.25">
      <c r="A100" s="45" t="s">
        <v>113</v>
      </c>
      <c r="B100" s="195" t="s">
        <v>51</v>
      </c>
      <c r="C100" s="120">
        <v>51431357</v>
      </c>
      <c r="D100" s="196" t="s">
        <v>62</v>
      </c>
      <c r="E100" s="196">
        <v>14000</v>
      </c>
      <c r="F100" s="28">
        <v>711.35</v>
      </c>
      <c r="G100" s="28">
        <v>715.06</v>
      </c>
      <c r="H100" s="121">
        <f t="shared" si="4"/>
        <v>51939.999999998916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zoomScaleNormal="100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145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151</v>
      </c>
      <c r="G3" s="4" t="s">
        <v>152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198" t="s">
        <v>13</v>
      </c>
      <c r="C5" s="198">
        <v>51555166</v>
      </c>
      <c r="D5" s="198" t="s">
        <v>14</v>
      </c>
      <c r="E5" s="198">
        <v>132000</v>
      </c>
      <c r="F5" s="17">
        <v>2.496</v>
      </c>
      <c r="G5" s="17">
        <v>2.508</v>
      </c>
      <c r="H5" s="18">
        <f>(G5-F5)*E5</f>
        <v>1584.0000000000014</v>
      </c>
      <c r="I5" s="19"/>
      <c r="J5" s="20"/>
    </row>
    <row r="6" spans="1:10" ht="15.75" x14ac:dyDescent="0.25">
      <c r="A6" s="15" t="s">
        <v>15</v>
      </c>
      <c r="B6" s="198" t="s">
        <v>13</v>
      </c>
      <c r="C6" s="198">
        <v>51555191</v>
      </c>
      <c r="D6" s="198" t="s">
        <v>14</v>
      </c>
      <c r="E6" s="198">
        <v>132000</v>
      </c>
      <c r="F6" s="21">
        <v>304.88499999999999</v>
      </c>
      <c r="G6" s="21">
        <v>306.90199999999999</v>
      </c>
      <c r="H6" s="18">
        <f>(G6-F6)*E6</f>
        <v>266243.99999999948</v>
      </c>
      <c r="I6" s="19"/>
      <c r="J6" s="20"/>
    </row>
    <row r="7" spans="1:10" ht="15.75" x14ac:dyDescent="0.25">
      <c r="A7" s="219" t="s">
        <v>16</v>
      </c>
      <c r="B7" s="220"/>
      <c r="C7" s="198"/>
      <c r="D7" s="199"/>
      <c r="E7" s="198"/>
      <c r="H7" s="23">
        <f>H5+H6</f>
        <v>267827.99999999948</v>
      </c>
      <c r="I7" s="24">
        <f>H7-H10-H20</f>
        <v>2334.0000000000728</v>
      </c>
      <c r="J7" s="25">
        <f>I7/H7</f>
        <v>8.7145481428382299E-3</v>
      </c>
    </row>
    <row r="8" spans="1:10" ht="15.75" x14ac:dyDescent="0.25">
      <c r="A8" s="26" t="s">
        <v>17</v>
      </c>
      <c r="B8" s="198" t="s">
        <v>13</v>
      </c>
      <c r="C8" s="198">
        <v>51097629</v>
      </c>
      <c r="D8" s="199" t="s">
        <v>14</v>
      </c>
      <c r="E8" s="198">
        <v>42000</v>
      </c>
      <c r="F8" s="21">
        <v>955.35900000000004</v>
      </c>
      <c r="G8" s="21">
        <v>959.774</v>
      </c>
      <c r="H8" s="18">
        <f>(G8-F8)*E8</f>
        <v>185429.99999999849</v>
      </c>
      <c r="I8" s="19"/>
      <c r="J8" s="20"/>
    </row>
    <row r="9" spans="1:10" ht="15.75" x14ac:dyDescent="0.25">
      <c r="A9" s="26" t="s">
        <v>18</v>
      </c>
      <c r="B9" s="198" t="s">
        <v>13</v>
      </c>
      <c r="C9" s="198">
        <v>51616820</v>
      </c>
      <c r="D9" s="199" t="s">
        <v>14</v>
      </c>
      <c r="E9" s="198">
        <v>42000</v>
      </c>
      <c r="F9" s="21">
        <v>4.1050000000000004</v>
      </c>
      <c r="G9" s="21">
        <v>4.1289999999999996</v>
      </c>
      <c r="H9" s="18">
        <f>(G9-F9)*E9</f>
        <v>1007.9999999999636</v>
      </c>
      <c r="I9" s="19"/>
      <c r="J9" s="20"/>
    </row>
    <row r="10" spans="1:10" ht="15.75" x14ac:dyDescent="0.25">
      <c r="A10" s="219" t="s">
        <v>19</v>
      </c>
      <c r="B10" s="220"/>
      <c r="C10" s="198"/>
      <c r="D10" s="199"/>
      <c r="E10" s="198"/>
      <c r="F10" s="21"/>
      <c r="G10" s="21"/>
      <c r="H10" s="23">
        <f>H8+H9</f>
        <v>186437.99999999846</v>
      </c>
      <c r="I10" s="24">
        <f>H10-H17</f>
        <v>62.999999999097781</v>
      </c>
      <c r="J10" s="25">
        <f>I10/H10</f>
        <v>3.3791394457727665E-4</v>
      </c>
    </row>
    <row r="11" spans="1:10" ht="15.75" x14ac:dyDescent="0.25">
      <c r="A11" s="27" t="s">
        <v>20</v>
      </c>
      <c r="B11" s="198" t="s">
        <v>13</v>
      </c>
      <c r="C11" s="198">
        <v>51217286</v>
      </c>
      <c r="D11" s="199" t="s">
        <v>21</v>
      </c>
      <c r="E11" s="198">
        <v>21000</v>
      </c>
      <c r="F11" s="21">
        <v>759.25900000000001</v>
      </c>
      <c r="G11" s="21">
        <v>762.59</v>
      </c>
      <c r="H11" s="18">
        <f t="shared" ref="H11:H16" si="0">(G11-F11)*E11</f>
        <v>69951.000000000364</v>
      </c>
      <c r="I11" s="19"/>
      <c r="J11" s="20"/>
    </row>
    <row r="12" spans="1:10" ht="15.75" x14ac:dyDescent="0.25">
      <c r="A12" s="27" t="s">
        <v>22</v>
      </c>
      <c r="B12" s="198" t="s">
        <v>13</v>
      </c>
      <c r="C12" s="198">
        <v>51217292</v>
      </c>
      <c r="D12" s="199" t="s">
        <v>21</v>
      </c>
      <c r="E12" s="198">
        <v>21000</v>
      </c>
      <c r="F12" s="28">
        <v>3.081</v>
      </c>
      <c r="G12" s="28">
        <v>3.1059999999999999</v>
      </c>
      <c r="H12" s="18">
        <f>(G12-F12)*E12</f>
        <v>524.99999999999818</v>
      </c>
      <c r="I12" s="19"/>
      <c r="J12" s="20"/>
    </row>
    <row r="13" spans="1:10" ht="15.75" x14ac:dyDescent="0.25">
      <c r="A13" s="27" t="s">
        <v>23</v>
      </c>
      <c r="B13" s="198" t="s">
        <v>13</v>
      </c>
      <c r="C13" s="198">
        <v>51217271</v>
      </c>
      <c r="D13" s="199" t="s">
        <v>21</v>
      </c>
      <c r="E13" s="198">
        <v>21000</v>
      </c>
      <c r="F13" s="21">
        <v>552.995</v>
      </c>
      <c r="G13" s="21">
        <v>555.69200000000001</v>
      </c>
      <c r="H13" s="18">
        <f t="shared" si="0"/>
        <v>56637.000000000058</v>
      </c>
      <c r="I13" s="19"/>
      <c r="J13" s="20"/>
    </row>
    <row r="14" spans="1:10" ht="15.75" x14ac:dyDescent="0.25">
      <c r="A14" s="27" t="s">
        <v>24</v>
      </c>
      <c r="B14" s="198" t="s">
        <v>13</v>
      </c>
      <c r="C14" s="198">
        <v>51217276</v>
      </c>
      <c r="D14" s="199" t="s">
        <v>21</v>
      </c>
      <c r="E14" s="198">
        <v>21000</v>
      </c>
      <c r="F14" s="28">
        <v>0.42699999999999999</v>
      </c>
      <c r="G14" s="28">
        <v>0.43099999999999999</v>
      </c>
      <c r="H14" s="18">
        <f>(G14-F14)*E14</f>
        <v>84.000000000000071</v>
      </c>
      <c r="I14" s="19"/>
      <c r="J14" s="20"/>
    </row>
    <row r="15" spans="1:10" ht="15.75" x14ac:dyDescent="0.25">
      <c r="A15" s="27" t="s">
        <v>25</v>
      </c>
      <c r="B15" s="198" t="s">
        <v>13</v>
      </c>
      <c r="C15" s="198">
        <v>51100990</v>
      </c>
      <c r="D15" s="199" t="s">
        <v>21</v>
      </c>
      <c r="E15" s="198">
        <v>21000</v>
      </c>
      <c r="F15" s="29">
        <v>603.053</v>
      </c>
      <c r="G15" s="29">
        <v>605.85799999999995</v>
      </c>
      <c r="H15" s="18">
        <f t="shared" si="0"/>
        <v>58904.999999998952</v>
      </c>
      <c r="I15" s="19"/>
      <c r="J15" s="20"/>
    </row>
    <row r="16" spans="1:10" ht="15.75" x14ac:dyDescent="0.25">
      <c r="A16" s="27" t="s">
        <v>26</v>
      </c>
      <c r="B16" s="198" t="s">
        <v>13</v>
      </c>
      <c r="C16" s="198">
        <v>51097622</v>
      </c>
      <c r="D16" s="199" t="s">
        <v>21</v>
      </c>
      <c r="E16" s="198">
        <v>21000</v>
      </c>
      <c r="F16" s="21">
        <v>2.649</v>
      </c>
      <c r="G16" s="21">
        <v>2.6619999999999999</v>
      </c>
      <c r="H16" s="18">
        <f t="shared" si="0"/>
        <v>272.9999999999979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198"/>
      <c r="D17" s="199"/>
      <c r="E17" s="198"/>
      <c r="F17" s="21"/>
      <c r="G17" s="21"/>
      <c r="H17" s="23">
        <f>H11+H12+H13+H14+H15+H16</f>
        <v>186374.99999999936</v>
      </c>
      <c r="I17" s="19"/>
      <c r="J17" s="20"/>
    </row>
    <row r="18" spans="1:10" ht="15.75" x14ac:dyDescent="0.25">
      <c r="A18" s="26" t="s">
        <v>29</v>
      </c>
      <c r="B18" s="198" t="s">
        <v>13</v>
      </c>
      <c r="C18" s="198">
        <v>51097617</v>
      </c>
      <c r="D18" s="199" t="s">
        <v>30</v>
      </c>
      <c r="E18" s="198">
        <v>18000</v>
      </c>
      <c r="F18" s="30">
        <v>713.06399999999996</v>
      </c>
      <c r="G18" s="30">
        <v>717.45600000000002</v>
      </c>
      <c r="H18" s="18">
        <f>(G18-F18)*E18</f>
        <v>79056.000000000946</v>
      </c>
      <c r="I18" s="19"/>
      <c r="J18" s="20"/>
    </row>
    <row r="19" spans="1:10" ht="15.75" x14ac:dyDescent="0.25">
      <c r="A19" s="26" t="s">
        <v>31</v>
      </c>
      <c r="B19" s="198" t="s">
        <v>13</v>
      </c>
      <c r="C19" s="198">
        <v>51097655</v>
      </c>
      <c r="D19" s="199" t="s">
        <v>30</v>
      </c>
      <c r="E19" s="198">
        <v>18000</v>
      </c>
      <c r="F19" s="30">
        <v>6.1269999999999998</v>
      </c>
      <c r="G19" s="30">
        <v>6.1269999999999998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198"/>
      <c r="D20" s="199"/>
      <c r="E20" s="198"/>
      <c r="F20" s="30"/>
      <c r="G20" s="30"/>
      <c r="H20" s="23">
        <f>H18+H19</f>
        <v>79056.000000000946</v>
      </c>
      <c r="I20" s="24">
        <f>H20-H35</f>
        <v>4666.800000000585</v>
      </c>
      <c r="J20" s="25">
        <f>I20/H20</f>
        <v>5.9031572556169414E-2</v>
      </c>
    </row>
    <row r="21" spans="1:10" ht="15.75" x14ac:dyDescent="0.25">
      <c r="A21" s="15" t="s">
        <v>33</v>
      </c>
      <c r="B21" s="198" t="s">
        <v>13</v>
      </c>
      <c r="C21" s="198">
        <v>51217282</v>
      </c>
      <c r="D21" s="199" t="s">
        <v>34</v>
      </c>
      <c r="E21" s="198">
        <v>4800</v>
      </c>
      <c r="F21" s="21">
        <v>378.37299999999999</v>
      </c>
      <c r="G21" s="21">
        <v>378.37299999999999</v>
      </c>
      <c r="H21" s="18">
        <f t="shared" ref="H21:H34" si="1">(G21-F21)*E21</f>
        <v>0</v>
      </c>
      <c r="I21" s="19" t="s">
        <v>27</v>
      </c>
      <c r="J21" s="20"/>
    </row>
    <row r="22" spans="1:10" ht="15.75" x14ac:dyDescent="0.25">
      <c r="A22" s="15" t="s">
        <v>35</v>
      </c>
      <c r="B22" s="198" t="s">
        <v>13</v>
      </c>
      <c r="C22" s="198">
        <v>51217274</v>
      </c>
      <c r="D22" s="199" t="s">
        <v>34</v>
      </c>
      <c r="E22" s="198">
        <v>4800</v>
      </c>
      <c r="F22" s="21">
        <v>1131.962</v>
      </c>
      <c r="G22" s="21">
        <v>1137.797</v>
      </c>
      <c r="H22" s="18">
        <f t="shared" si="1"/>
        <v>28008.000000000175</v>
      </c>
      <c r="I22" s="19"/>
      <c r="J22" s="20"/>
    </row>
    <row r="23" spans="1:10" ht="15.75" x14ac:dyDescent="0.25">
      <c r="A23" s="15" t="s">
        <v>36</v>
      </c>
      <c r="B23" s="198" t="s">
        <v>13</v>
      </c>
      <c r="C23" s="198">
        <v>51097664</v>
      </c>
      <c r="D23" s="199" t="s">
        <v>37</v>
      </c>
      <c r="E23" s="198">
        <v>600</v>
      </c>
      <c r="F23" s="21">
        <v>4.1630000000000003</v>
      </c>
      <c r="G23" s="21">
        <v>4.1859999999999999</v>
      </c>
      <c r="H23" s="18">
        <f t="shared" si="1"/>
        <v>13.799999999999812</v>
      </c>
      <c r="I23" s="19"/>
      <c r="J23" s="20"/>
    </row>
    <row r="24" spans="1:10" ht="15.75" x14ac:dyDescent="0.25">
      <c r="A24" s="15" t="s">
        <v>38</v>
      </c>
      <c r="B24" s="198" t="s">
        <v>13</v>
      </c>
      <c r="C24" s="198">
        <v>51097615</v>
      </c>
      <c r="D24" s="199" t="s">
        <v>37</v>
      </c>
      <c r="E24" s="198">
        <v>600</v>
      </c>
      <c r="F24" s="21">
        <v>31.187999999999999</v>
      </c>
      <c r="G24" s="21">
        <v>31.574999999999999</v>
      </c>
      <c r="H24" s="18">
        <f t="shared" si="1"/>
        <v>232.20000000000027</v>
      </c>
      <c r="I24" s="19"/>
      <c r="J24" s="20"/>
    </row>
    <row r="25" spans="1:10" ht="15.75" x14ac:dyDescent="0.25">
      <c r="A25" s="15" t="s">
        <v>39</v>
      </c>
      <c r="B25" s="198" t="s">
        <v>13</v>
      </c>
      <c r="C25" s="198">
        <v>51217264</v>
      </c>
      <c r="D25" s="199" t="s">
        <v>37</v>
      </c>
      <c r="E25" s="198">
        <v>600</v>
      </c>
      <c r="F25" s="21">
        <v>78.646000000000001</v>
      </c>
      <c r="G25" s="21">
        <v>79.432000000000002</v>
      </c>
      <c r="H25" s="18">
        <f t="shared" si="1"/>
        <v>471.60000000000082</v>
      </c>
      <c r="I25" s="19"/>
      <c r="J25" s="20"/>
    </row>
    <row r="26" spans="1:10" ht="15.75" x14ac:dyDescent="0.25">
      <c r="A26" s="15" t="s">
        <v>40</v>
      </c>
      <c r="B26" s="198" t="s">
        <v>13</v>
      </c>
      <c r="C26" s="198">
        <v>51217288</v>
      </c>
      <c r="D26" s="199" t="s">
        <v>37</v>
      </c>
      <c r="E26" s="198">
        <v>600</v>
      </c>
      <c r="F26" s="21">
        <v>19.344999999999999</v>
      </c>
      <c r="G26" s="21">
        <v>19.376000000000001</v>
      </c>
      <c r="H26" s="18">
        <f t="shared" si="1"/>
        <v>18.600000000001415</v>
      </c>
      <c r="I26" s="19" t="s">
        <v>27</v>
      </c>
      <c r="J26" s="20"/>
    </row>
    <row r="27" spans="1:10" ht="15.75" x14ac:dyDescent="0.25">
      <c r="A27" s="15" t="s">
        <v>41</v>
      </c>
      <c r="B27" s="198" t="s">
        <v>13</v>
      </c>
      <c r="C27" s="198">
        <v>51217279</v>
      </c>
      <c r="D27" s="199" t="s">
        <v>37</v>
      </c>
      <c r="E27" s="198">
        <v>600</v>
      </c>
      <c r="F27" s="21">
        <v>13.324999999999999</v>
      </c>
      <c r="G27" s="21">
        <v>13.379</v>
      </c>
      <c r="H27" s="18">
        <f t="shared" si="1"/>
        <v>32.400000000000162</v>
      </c>
      <c r="I27" s="19" t="s">
        <v>27</v>
      </c>
      <c r="J27" s="20"/>
    </row>
    <row r="28" spans="1:10" ht="15.75" x14ac:dyDescent="0.25">
      <c r="A28" s="15" t="s">
        <v>42</v>
      </c>
      <c r="B28" s="198" t="s">
        <v>13</v>
      </c>
      <c r="C28" s="198">
        <v>51217272</v>
      </c>
      <c r="D28" s="199" t="s">
        <v>37</v>
      </c>
      <c r="E28" s="198">
        <v>600</v>
      </c>
      <c r="F28" s="31">
        <v>13.071999999999999</v>
      </c>
      <c r="G28" s="31">
        <v>13.125</v>
      </c>
      <c r="H28" s="18">
        <f t="shared" si="1"/>
        <v>31.800000000000495</v>
      </c>
      <c r="I28" s="19"/>
      <c r="J28" s="20"/>
    </row>
    <row r="29" spans="1:10" ht="15.75" x14ac:dyDescent="0.25">
      <c r="A29" s="15" t="s">
        <v>43</v>
      </c>
      <c r="B29" s="198" t="s">
        <v>13</v>
      </c>
      <c r="C29" s="198">
        <v>51616744</v>
      </c>
      <c r="D29" s="199">
        <f>300/5</f>
        <v>60</v>
      </c>
      <c r="E29" s="198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198" t="s">
        <v>13</v>
      </c>
      <c r="C30" s="198">
        <v>51555226</v>
      </c>
      <c r="D30" s="199">
        <f>300/5</f>
        <v>60</v>
      </c>
      <c r="E30" s="198">
        <v>3600</v>
      </c>
      <c r="F30" s="31">
        <v>368.31400000000002</v>
      </c>
      <c r="G30" s="31">
        <v>372.85399999999998</v>
      </c>
      <c r="H30" s="18">
        <f>(G30-F30)*E30</f>
        <v>16343.999999999869</v>
      </c>
      <c r="I30" s="19"/>
      <c r="J30" s="20"/>
    </row>
    <row r="31" spans="1:10" ht="15.75" x14ac:dyDescent="0.25">
      <c r="A31" s="15" t="s">
        <v>45</v>
      </c>
      <c r="B31" s="198" t="s">
        <v>13</v>
      </c>
      <c r="C31" s="198">
        <v>51097658</v>
      </c>
      <c r="D31" s="199" t="s">
        <v>34</v>
      </c>
      <c r="E31" s="198">
        <v>4800</v>
      </c>
      <c r="F31" s="31">
        <v>542.16499999999996</v>
      </c>
      <c r="G31" s="31">
        <v>545.70100000000002</v>
      </c>
      <c r="H31" s="18">
        <f t="shared" si="1"/>
        <v>16972.800000000279</v>
      </c>
      <c r="I31" s="19"/>
      <c r="J31" s="20"/>
    </row>
    <row r="32" spans="1:10" ht="15.75" x14ac:dyDescent="0.25">
      <c r="A32" s="15" t="s">
        <v>46</v>
      </c>
      <c r="B32" s="198" t="s">
        <v>13</v>
      </c>
      <c r="C32" s="198">
        <v>51097635</v>
      </c>
      <c r="D32" s="199" t="s">
        <v>34</v>
      </c>
      <c r="E32" s="198">
        <v>4800</v>
      </c>
      <c r="F32" s="31">
        <v>48.436999999999998</v>
      </c>
      <c r="G32" s="31">
        <v>48.436999999999998</v>
      </c>
      <c r="H32" s="18">
        <f t="shared" si="1"/>
        <v>0</v>
      </c>
      <c r="I32" s="19"/>
      <c r="J32" s="20"/>
    </row>
    <row r="33" spans="1:10" ht="15.75" x14ac:dyDescent="0.25">
      <c r="A33" s="15" t="s">
        <v>47</v>
      </c>
      <c r="B33" s="198" t="s">
        <v>13</v>
      </c>
      <c r="C33" s="32">
        <v>51097633</v>
      </c>
      <c r="D33" s="199" t="s">
        <v>34</v>
      </c>
      <c r="E33" s="198">
        <v>4800</v>
      </c>
      <c r="F33" s="31">
        <v>100.892</v>
      </c>
      <c r="G33" s="31">
        <v>103.375</v>
      </c>
      <c r="H33" s="33">
        <f t="shared" si="1"/>
        <v>11918.40000000002</v>
      </c>
      <c r="I33" s="34"/>
      <c r="J33" s="35"/>
    </row>
    <row r="34" spans="1:10" ht="15.75" x14ac:dyDescent="0.25">
      <c r="A34" s="15" t="s">
        <v>116</v>
      </c>
      <c r="B34" s="198" t="s">
        <v>13</v>
      </c>
      <c r="C34" s="32">
        <v>51097662</v>
      </c>
      <c r="D34" s="199" t="s">
        <v>34</v>
      </c>
      <c r="E34" s="198">
        <v>4800</v>
      </c>
      <c r="F34" s="31">
        <v>1.708</v>
      </c>
      <c r="G34" s="31">
        <v>1.78</v>
      </c>
      <c r="H34" s="33">
        <f t="shared" si="1"/>
        <v>345.60000000000031</v>
      </c>
      <c r="I34" s="34"/>
      <c r="J34" s="35"/>
    </row>
    <row r="35" spans="1:10" ht="15.75" x14ac:dyDescent="0.25">
      <c r="A35" s="219" t="s">
        <v>48</v>
      </c>
      <c r="B35" s="220"/>
      <c r="C35" s="198"/>
      <c r="D35" s="199"/>
      <c r="E35" s="198"/>
      <c r="F35" s="36"/>
      <c r="G35" s="36"/>
      <c r="H35" s="23">
        <f>H21+H22+H23+H24+H25+H26+H27+H28+H29+H30+H31+H32+H33+H34</f>
        <v>74389.200000000361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198" t="s">
        <v>51</v>
      </c>
      <c r="C37" s="198">
        <v>51555209</v>
      </c>
      <c r="D37" s="199" t="s">
        <v>52</v>
      </c>
      <c r="E37" s="198">
        <v>7000</v>
      </c>
      <c r="F37" s="17">
        <v>4.2140000000000004</v>
      </c>
      <c r="G37" s="17">
        <v>4.2670000000000003</v>
      </c>
      <c r="H37" s="41">
        <f>(G37-F37)*E37</f>
        <v>370.99999999999955</v>
      </c>
      <c r="I37" s="42"/>
      <c r="J37" s="14"/>
    </row>
    <row r="38" spans="1:10" ht="15.75" x14ac:dyDescent="0.25">
      <c r="A38" s="15" t="s">
        <v>53</v>
      </c>
      <c r="B38" s="198" t="s">
        <v>51</v>
      </c>
      <c r="C38" s="198">
        <v>51555209</v>
      </c>
      <c r="D38" s="199" t="s">
        <v>52</v>
      </c>
      <c r="E38" s="198">
        <v>7000</v>
      </c>
      <c r="F38" s="21">
        <v>8.8979999999999997</v>
      </c>
      <c r="G38" s="21">
        <v>8.9339999999999993</v>
      </c>
      <c r="H38" s="18">
        <f>(G38-F38)*E38</f>
        <v>251.9999999999971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198" t="s">
        <v>51</v>
      </c>
      <c r="C40" s="198">
        <v>51097674</v>
      </c>
      <c r="D40" s="198" t="s">
        <v>14</v>
      </c>
      <c r="E40" s="198">
        <v>7200</v>
      </c>
      <c r="F40" s="21">
        <v>512.67700000000002</v>
      </c>
      <c r="G40" s="21">
        <v>515.18399999999997</v>
      </c>
      <c r="H40" s="18">
        <f>(G40-F40)*E40</f>
        <v>18050.399999999627</v>
      </c>
      <c r="I40" s="47"/>
      <c r="J40" s="20"/>
    </row>
    <row r="41" spans="1:10" ht="15.75" x14ac:dyDescent="0.25">
      <c r="A41" s="27" t="s">
        <v>56</v>
      </c>
      <c r="B41" s="198" t="s">
        <v>51</v>
      </c>
      <c r="C41" s="198">
        <v>51259257</v>
      </c>
      <c r="D41" s="198" t="s">
        <v>14</v>
      </c>
      <c r="E41" s="198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198"/>
      <c r="C42" s="198"/>
      <c r="D42" s="198"/>
      <c r="E42" s="198"/>
      <c r="F42" s="21"/>
      <c r="G42" s="21"/>
      <c r="H42" s="48">
        <f>H40+H41</f>
        <v>18050.399999999627</v>
      </c>
      <c r="I42" s="24">
        <f>H42-H50</f>
        <v>-116.00000000032742</v>
      </c>
      <c r="J42" s="25">
        <f>I42/H42</f>
        <v>-6.426450383389278E-3</v>
      </c>
    </row>
    <row r="43" spans="1:10" ht="15.75" x14ac:dyDescent="0.25">
      <c r="A43" s="15" t="s">
        <v>58</v>
      </c>
      <c r="B43" s="198"/>
      <c r="C43" s="198"/>
      <c r="D43" s="199"/>
      <c r="E43" s="198"/>
      <c r="H43" s="18"/>
      <c r="I43" s="43"/>
      <c r="J43" s="20"/>
    </row>
    <row r="44" spans="1:10" ht="15.75" x14ac:dyDescent="0.25">
      <c r="A44" s="27" t="s">
        <v>59</v>
      </c>
      <c r="B44" s="198" t="s">
        <v>51</v>
      </c>
      <c r="C44" s="32">
        <v>51097648</v>
      </c>
      <c r="D44" s="198" t="s">
        <v>52</v>
      </c>
      <c r="E44" s="198">
        <v>1200</v>
      </c>
      <c r="F44" s="21">
        <v>419.53399999999999</v>
      </c>
      <c r="G44" s="21">
        <v>421.589</v>
      </c>
      <c r="H44" s="33">
        <f>(G44-F44)*E44</f>
        <v>2466.0000000000082</v>
      </c>
      <c r="I44" s="43"/>
      <c r="J44" s="20"/>
    </row>
    <row r="45" spans="1:10" ht="15.75" x14ac:dyDescent="0.25">
      <c r="A45" s="27" t="s">
        <v>60</v>
      </c>
      <c r="B45" s="198" t="s">
        <v>51</v>
      </c>
      <c r="C45" s="32">
        <v>50555043</v>
      </c>
      <c r="D45" s="198" t="s">
        <v>52</v>
      </c>
      <c r="E45" s="198">
        <v>1200</v>
      </c>
      <c r="F45" s="21">
        <v>1758.7940000000001</v>
      </c>
      <c r="G45" s="21">
        <v>1767.3030000000001</v>
      </c>
      <c r="H45" s="33">
        <f>(G45-F45)*E45</f>
        <v>10210.800000000017</v>
      </c>
      <c r="I45" s="43"/>
      <c r="J45" s="20"/>
    </row>
    <row r="46" spans="1:10" ht="15.75" x14ac:dyDescent="0.25">
      <c r="A46" s="27" t="s">
        <v>61</v>
      </c>
      <c r="B46" s="198" t="s">
        <v>51</v>
      </c>
      <c r="C46" s="32">
        <v>51259336</v>
      </c>
      <c r="D46" s="198" t="s">
        <v>62</v>
      </c>
      <c r="E46" s="198">
        <v>2400</v>
      </c>
      <c r="F46" s="21">
        <v>3.6709999999999998</v>
      </c>
      <c r="G46" s="21">
        <v>3.6840000000000002</v>
      </c>
      <c r="H46" s="33">
        <f>(G46-F46)*E46</f>
        <v>31.200000000000827</v>
      </c>
      <c r="I46" s="43"/>
      <c r="J46" s="20"/>
    </row>
    <row r="47" spans="1:10" ht="15.75" x14ac:dyDescent="0.25">
      <c r="A47" s="27" t="s">
        <v>63</v>
      </c>
      <c r="B47" s="198" t="s">
        <v>51</v>
      </c>
      <c r="C47" s="32">
        <v>51259266</v>
      </c>
      <c r="D47" s="198" t="s">
        <v>52</v>
      </c>
      <c r="E47" s="198">
        <v>1200</v>
      </c>
      <c r="F47" s="21">
        <v>852.31600000000003</v>
      </c>
      <c r="G47" s="21">
        <v>856.51099999999997</v>
      </c>
      <c r="H47" s="33">
        <f>(G47-F47)*E47</f>
        <v>5033.9999999999236</v>
      </c>
      <c r="I47" s="43"/>
      <c r="J47" s="20"/>
    </row>
    <row r="48" spans="1:10" ht="15.75" x14ac:dyDescent="0.25">
      <c r="A48" s="27" t="s">
        <v>64</v>
      </c>
      <c r="B48" s="198" t="s">
        <v>51</v>
      </c>
      <c r="C48" s="32">
        <v>51431336</v>
      </c>
      <c r="D48" s="198" t="s">
        <v>52</v>
      </c>
      <c r="E48" s="198">
        <v>1200</v>
      </c>
      <c r="F48" s="21">
        <v>46.485999999999997</v>
      </c>
      <c r="G48" s="21">
        <v>46.798000000000002</v>
      </c>
      <c r="H48" s="33">
        <f>(G48-F48)*E48</f>
        <v>374.40000000000566</v>
      </c>
      <c r="I48" s="43"/>
      <c r="J48" s="20"/>
    </row>
    <row r="49" spans="1:10" ht="15.75" x14ac:dyDescent="0.25">
      <c r="A49" s="15" t="s">
        <v>65</v>
      </c>
      <c r="B49" s="198" t="s">
        <v>66</v>
      </c>
      <c r="C49" s="198">
        <v>49174</v>
      </c>
      <c r="D49" s="199" t="s">
        <v>52</v>
      </c>
      <c r="E49" s="198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18166.399999999954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198" t="s">
        <v>51</v>
      </c>
      <c r="C52" s="198">
        <v>51097603</v>
      </c>
      <c r="D52" s="199" t="s">
        <v>52</v>
      </c>
      <c r="E52" s="198">
        <v>7000</v>
      </c>
      <c r="F52" s="17">
        <v>1703.1980000000001</v>
      </c>
      <c r="G52" s="17">
        <v>1710.4079999999999</v>
      </c>
      <c r="H52" s="18">
        <f>(G52-F52)*E52</f>
        <v>50469.999999998661</v>
      </c>
      <c r="I52" s="43"/>
      <c r="J52" s="20"/>
    </row>
    <row r="53" spans="1:10" ht="15.75" x14ac:dyDescent="0.25">
      <c r="A53" s="27" t="s">
        <v>71</v>
      </c>
      <c r="B53" s="198" t="s">
        <v>51</v>
      </c>
      <c r="C53" s="198">
        <v>51097590</v>
      </c>
      <c r="D53" s="199" t="s">
        <v>52</v>
      </c>
      <c r="E53" s="198">
        <v>7000</v>
      </c>
      <c r="F53" s="21">
        <v>10.221</v>
      </c>
      <c r="G53" s="21">
        <v>10.298</v>
      </c>
      <c r="H53" s="18">
        <f>(G53-F53)*E53</f>
        <v>538.99999999999966</v>
      </c>
      <c r="I53" s="43"/>
      <c r="J53" s="20"/>
    </row>
    <row r="54" spans="1:10" ht="15.75" x14ac:dyDescent="0.25">
      <c r="A54" s="15" t="s">
        <v>65</v>
      </c>
      <c r="B54" s="198" t="s">
        <v>66</v>
      </c>
      <c r="C54" s="198">
        <v>49174</v>
      </c>
      <c r="D54" s="199" t="s">
        <v>52</v>
      </c>
      <c r="E54" s="198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198"/>
      <c r="D55" s="199"/>
      <c r="E55" s="198"/>
      <c r="F55" s="21"/>
      <c r="G55" s="21"/>
      <c r="H55" s="48">
        <f>H52+H53+H54</f>
        <v>51108.999999998661</v>
      </c>
      <c r="I55" s="47"/>
      <c r="J55" s="59"/>
    </row>
    <row r="56" spans="1:10" ht="15.75" x14ac:dyDescent="0.25">
      <c r="A56" s="27" t="s">
        <v>73</v>
      </c>
      <c r="B56" s="198" t="s">
        <v>51</v>
      </c>
      <c r="C56" s="198">
        <v>51100980</v>
      </c>
      <c r="D56" s="198" t="s">
        <v>74</v>
      </c>
      <c r="E56" s="198">
        <v>12000</v>
      </c>
      <c r="F56" s="21">
        <v>1001.8440000000001</v>
      </c>
      <c r="G56" s="21">
        <v>1006.102</v>
      </c>
      <c r="H56" s="18">
        <f>(G56-F56)*E56</f>
        <v>51095.999999999098</v>
      </c>
      <c r="I56" s="47"/>
      <c r="J56" s="58"/>
    </row>
    <row r="57" spans="1:10" ht="15.75" x14ac:dyDescent="0.25">
      <c r="A57" s="27" t="s">
        <v>75</v>
      </c>
      <c r="B57" s="198" t="s">
        <v>51</v>
      </c>
      <c r="C57" s="198">
        <v>51097623</v>
      </c>
      <c r="D57" s="198" t="s">
        <v>74</v>
      </c>
      <c r="E57" s="198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198"/>
      <c r="C58" s="198"/>
      <c r="D58" s="198"/>
      <c r="E58" s="198"/>
      <c r="F58" s="21"/>
      <c r="G58" s="21"/>
      <c r="H58" s="48">
        <f>H56+H57</f>
        <v>51095.999999999098</v>
      </c>
      <c r="I58" s="61">
        <f>H55-H65-H54</f>
        <v>-142.20000000148138</v>
      </c>
      <c r="J58" s="25">
        <f>I58/H58</f>
        <v>-2.7829967121004362E-3</v>
      </c>
    </row>
    <row r="59" spans="1:10" ht="15.75" x14ac:dyDescent="0.25">
      <c r="A59" s="27" t="s">
        <v>77</v>
      </c>
      <c r="B59" s="198" t="s">
        <v>51</v>
      </c>
      <c r="C59" s="198">
        <v>51097675</v>
      </c>
      <c r="D59" s="198" t="s">
        <v>34</v>
      </c>
      <c r="E59" s="198">
        <v>4800</v>
      </c>
      <c r="F59" s="21">
        <v>405.1</v>
      </c>
      <c r="G59" s="21">
        <v>408.48</v>
      </c>
      <c r="H59" s="18">
        <f t="shared" ref="H59:H64" si="2">(G59-F59)*E59</f>
        <v>16223.999999999978</v>
      </c>
      <c r="I59" s="62"/>
      <c r="J59" s="59"/>
    </row>
    <row r="60" spans="1:10" ht="15.75" x14ac:dyDescent="0.25">
      <c r="A60" s="27" t="s">
        <v>78</v>
      </c>
      <c r="B60" s="198" t="s">
        <v>51</v>
      </c>
      <c r="C60" s="198">
        <v>51100997</v>
      </c>
      <c r="D60" s="198" t="s">
        <v>21</v>
      </c>
      <c r="E60" s="198">
        <v>3600</v>
      </c>
      <c r="F60" s="21">
        <v>1269.672</v>
      </c>
      <c r="G60" s="21">
        <v>1272.6880000000001</v>
      </c>
      <c r="H60" s="18">
        <f t="shared" si="2"/>
        <v>10857.600000000275</v>
      </c>
      <c r="I60" s="62"/>
      <c r="J60" s="59"/>
    </row>
    <row r="61" spans="1:10" ht="15.75" x14ac:dyDescent="0.25">
      <c r="A61" s="27" t="s">
        <v>79</v>
      </c>
      <c r="B61" s="198" t="s">
        <v>51</v>
      </c>
      <c r="C61" s="198">
        <v>51555218</v>
      </c>
      <c r="D61" s="198">
        <f>400/5</f>
        <v>80</v>
      </c>
      <c r="E61" s="198">
        <v>4800</v>
      </c>
      <c r="F61" s="21">
        <v>46.688000000000002</v>
      </c>
      <c r="G61" s="21">
        <v>47.274999999999999</v>
      </c>
      <c r="H61" s="18">
        <f t="shared" si="2"/>
        <v>2817.5999999999817</v>
      </c>
      <c r="I61" s="62"/>
      <c r="J61" s="59"/>
    </row>
    <row r="62" spans="1:10" ht="15.75" x14ac:dyDescent="0.25">
      <c r="A62" s="27" t="s">
        <v>80</v>
      </c>
      <c r="B62" s="198" t="s">
        <v>51</v>
      </c>
      <c r="C62" s="198">
        <v>51555151</v>
      </c>
      <c r="D62" s="198">
        <f>400/5</f>
        <v>80</v>
      </c>
      <c r="E62" s="198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198" t="s">
        <v>51</v>
      </c>
      <c r="C63" s="198">
        <v>51097599</v>
      </c>
      <c r="D63" s="198" t="s">
        <v>21</v>
      </c>
      <c r="E63" s="198">
        <v>3600</v>
      </c>
      <c r="F63" s="21">
        <v>885.55799999999999</v>
      </c>
      <c r="G63" s="21">
        <v>887.92</v>
      </c>
      <c r="H63" s="18">
        <f t="shared" si="2"/>
        <v>8503.1999999998789</v>
      </c>
      <c r="I63" s="62"/>
      <c r="J63" s="59"/>
    </row>
    <row r="64" spans="1:10" ht="15.75" x14ac:dyDescent="0.25">
      <c r="A64" s="27" t="s">
        <v>82</v>
      </c>
      <c r="B64" s="198" t="s">
        <v>51</v>
      </c>
      <c r="C64" s="198">
        <v>51097620</v>
      </c>
      <c r="D64" s="198" t="s">
        <v>34</v>
      </c>
      <c r="E64" s="198">
        <v>4800</v>
      </c>
      <c r="F64" s="21">
        <v>425.33600000000001</v>
      </c>
      <c r="G64" s="21">
        <v>427.99200000000002</v>
      </c>
      <c r="H64" s="18">
        <f t="shared" si="2"/>
        <v>12748.800000000028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51151.200000000143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198" t="s">
        <v>51</v>
      </c>
      <c r="C67" s="9">
        <v>51259238</v>
      </c>
      <c r="D67" s="74" t="s">
        <v>52</v>
      </c>
      <c r="E67" s="74">
        <v>7000</v>
      </c>
      <c r="F67" s="75">
        <v>465.71199999999999</v>
      </c>
      <c r="G67" s="75">
        <v>468.601</v>
      </c>
      <c r="H67" s="76">
        <f>(G67-F67)*E67</f>
        <v>20223.000000000069</v>
      </c>
      <c r="I67" s="77"/>
      <c r="J67" s="78"/>
    </row>
    <row r="68" spans="1:10" ht="15.75" x14ac:dyDescent="0.25">
      <c r="A68" s="27" t="s">
        <v>85</v>
      </c>
      <c r="B68" s="198" t="s">
        <v>51</v>
      </c>
      <c r="C68" s="198">
        <v>51259324</v>
      </c>
      <c r="D68" s="199" t="s">
        <v>52</v>
      </c>
      <c r="E68" s="199">
        <v>7000</v>
      </c>
      <c r="F68" s="21">
        <v>357.529</v>
      </c>
      <c r="G68" s="21">
        <v>359.762</v>
      </c>
      <c r="H68" s="18">
        <f>(G68-F68)*E68</f>
        <v>15631.000000000029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198">
        <v>51491618</v>
      </c>
      <c r="D69" s="199" t="s">
        <v>62</v>
      </c>
      <c r="E69" s="198">
        <v>40</v>
      </c>
      <c r="F69" s="28">
        <v>894.94399999999996</v>
      </c>
      <c r="G69" s="28">
        <v>906.75800000000004</v>
      </c>
      <c r="H69" s="18">
        <f>(G69-F69)*E69</f>
        <v>472.56000000000313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198">
        <v>51491624</v>
      </c>
      <c r="D70" s="199" t="s">
        <v>62</v>
      </c>
      <c r="E70" s="198">
        <v>40</v>
      </c>
      <c r="F70" s="28">
        <v>121.551</v>
      </c>
      <c r="G70" s="28">
        <v>122.815</v>
      </c>
      <c r="H70" s="18">
        <f>(G70-F70)*E70</f>
        <v>50.559999999999832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35854.000000000102</v>
      </c>
      <c r="I71" s="85">
        <f>H71-H74-H69-H70</f>
        <v>-1113.1200000003159</v>
      </c>
      <c r="J71" s="25">
        <f>I71/H71</f>
        <v>-3.1045908406323222E-2</v>
      </c>
    </row>
    <row r="72" spans="1:10" ht="15.75" x14ac:dyDescent="0.25">
      <c r="A72" s="27" t="s">
        <v>90</v>
      </c>
      <c r="B72" s="198" t="s">
        <v>51</v>
      </c>
      <c r="C72" s="86">
        <v>51097588</v>
      </c>
      <c r="D72" s="199" t="s">
        <v>74</v>
      </c>
      <c r="E72" s="198">
        <v>12000</v>
      </c>
      <c r="F72" s="21">
        <v>281.52199999999999</v>
      </c>
      <c r="G72" s="21">
        <v>283.209</v>
      </c>
      <c r="H72" s="18">
        <f>(G72-F72)*E72</f>
        <v>20244.000000000142</v>
      </c>
      <c r="I72" s="51"/>
      <c r="J72" s="58"/>
    </row>
    <row r="73" spans="1:10" ht="15.75" x14ac:dyDescent="0.25">
      <c r="A73" s="27" t="s">
        <v>91</v>
      </c>
      <c r="B73" s="198" t="s">
        <v>51</v>
      </c>
      <c r="C73" s="86">
        <v>51431335</v>
      </c>
      <c r="D73" s="199" t="s">
        <v>74</v>
      </c>
      <c r="E73" s="198">
        <v>12000</v>
      </c>
      <c r="F73" s="21">
        <v>219.51599999999999</v>
      </c>
      <c r="G73" s="21">
        <v>220.86600000000001</v>
      </c>
      <c r="H73" s="18">
        <f>(G73-F73)*E73</f>
        <v>16200.000000000273</v>
      </c>
      <c r="I73" s="51"/>
      <c r="J73" s="58"/>
    </row>
    <row r="74" spans="1:10" ht="15.75" x14ac:dyDescent="0.25">
      <c r="A74" s="87" t="s">
        <v>92</v>
      </c>
      <c r="B74" s="198" t="s">
        <v>27</v>
      </c>
      <c r="C74" s="198"/>
      <c r="D74" s="199"/>
      <c r="E74" s="198"/>
      <c r="F74" s="21"/>
      <c r="G74" s="21"/>
      <c r="H74" s="48">
        <f>H72+ H73</f>
        <v>36444.000000000415</v>
      </c>
      <c r="I74" s="85">
        <f>H74-H82</f>
        <v>-83.399999999644933</v>
      </c>
      <c r="J74" s="25">
        <f>I74/H74</f>
        <v>-2.2884425419724503E-3</v>
      </c>
    </row>
    <row r="75" spans="1:10" ht="15.75" x14ac:dyDescent="0.25">
      <c r="A75" s="27" t="s">
        <v>93</v>
      </c>
      <c r="B75" s="198" t="s">
        <v>51</v>
      </c>
      <c r="C75" s="86">
        <v>51097676</v>
      </c>
      <c r="D75" s="88" t="s">
        <v>62</v>
      </c>
      <c r="E75" s="198">
        <v>2400</v>
      </c>
      <c r="F75" s="21">
        <v>573.91600000000005</v>
      </c>
      <c r="G75" s="21">
        <v>578.10699999999997</v>
      </c>
      <c r="H75" s="18">
        <f>(G75-F75)*E75</f>
        <v>10058.399999999801</v>
      </c>
      <c r="I75" s="51"/>
      <c r="J75" s="58"/>
    </row>
    <row r="76" spans="1:10" ht="15.75" x14ac:dyDescent="0.25">
      <c r="A76" s="27" t="s">
        <v>94</v>
      </c>
      <c r="B76" s="198" t="s">
        <v>51</v>
      </c>
      <c r="C76" s="86">
        <v>51431355</v>
      </c>
      <c r="D76" s="199" t="s">
        <v>21</v>
      </c>
      <c r="E76" s="199">
        <v>3600</v>
      </c>
      <c r="F76" s="21">
        <v>319.55799999999999</v>
      </c>
      <c r="G76" s="21">
        <v>320.74200000000002</v>
      </c>
      <c r="H76" s="18">
        <f>(G76-F76)*E76</f>
        <v>4262.4000000000933</v>
      </c>
      <c r="I76" s="51"/>
      <c r="J76" s="52"/>
    </row>
    <row r="77" spans="1:10" ht="15.75" x14ac:dyDescent="0.25">
      <c r="A77" s="27" t="s">
        <v>95</v>
      </c>
      <c r="B77" s="198" t="s">
        <v>51</v>
      </c>
      <c r="C77" s="86">
        <v>51259331</v>
      </c>
      <c r="D77" s="88" t="s">
        <v>37</v>
      </c>
      <c r="E77" s="198">
        <v>600</v>
      </c>
      <c r="F77" s="21">
        <v>134.02799999999999</v>
      </c>
      <c r="G77" s="21">
        <v>135.19499999999999</v>
      </c>
      <c r="H77" s="18">
        <f>(G77-F77)*E77</f>
        <v>700.20000000000095</v>
      </c>
      <c r="I77" s="51"/>
      <c r="J77" s="52"/>
    </row>
    <row r="78" spans="1:10" ht="15.75" x14ac:dyDescent="0.25">
      <c r="A78" s="27" t="s">
        <v>96</v>
      </c>
      <c r="B78" s="198" t="s">
        <v>51</v>
      </c>
      <c r="C78" s="86">
        <v>51259326</v>
      </c>
      <c r="D78" s="88" t="s">
        <v>14</v>
      </c>
      <c r="E78" s="198">
        <v>7200</v>
      </c>
      <c r="F78" s="21">
        <v>282.387</v>
      </c>
      <c r="G78" s="21">
        <v>283.81400000000002</v>
      </c>
      <c r="H78" s="18">
        <f>(G78-F78)*E78</f>
        <v>10274.400000000151</v>
      </c>
      <c r="I78" s="51"/>
      <c r="J78" s="52"/>
    </row>
    <row r="79" spans="1:10" ht="15.75" x14ac:dyDescent="0.25">
      <c r="A79" s="27" t="s">
        <v>97</v>
      </c>
      <c r="B79" s="198" t="s">
        <v>51</v>
      </c>
      <c r="C79" s="86">
        <v>51431351</v>
      </c>
      <c r="D79" s="88" t="s">
        <v>14</v>
      </c>
      <c r="E79" s="198">
        <v>7200</v>
      </c>
      <c r="F79" s="21">
        <v>191.95599999999999</v>
      </c>
      <c r="G79" s="21">
        <v>193.51599999999999</v>
      </c>
      <c r="H79" s="18">
        <f>(G79-F79)*E79</f>
        <v>11232.000000000016</v>
      </c>
      <c r="I79" s="51"/>
      <c r="J79" s="52"/>
    </row>
    <row r="80" spans="1:10" ht="15.75" x14ac:dyDescent="0.25">
      <c r="A80" s="89" t="s">
        <v>98</v>
      </c>
      <c r="B80" s="198" t="s">
        <v>51</v>
      </c>
      <c r="C80" s="90">
        <v>51097666</v>
      </c>
      <c r="D80" s="88" t="s">
        <v>62</v>
      </c>
      <c r="E80" s="198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198" t="s">
        <v>51</v>
      </c>
      <c r="C81" s="90">
        <v>51259323</v>
      </c>
      <c r="D81" s="88" t="s">
        <v>62</v>
      </c>
      <c r="E81" s="198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36527.40000000006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198" t="s">
        <v>51</v>
      </c>
      <c r="C84" s="106">
        <v>51431297</v>
      </c>
      <c r="D84" s="199" t="s">
        <v>52</v>
      </c>
      <c r="E84" s="100">
        <v>7000</v>
      </c>
      <c r="F84" s="17">
        <v>235.24</v>
      </c>
      <c r="G84" s="17">
        <v>236.09</v>
      </c>
      <c r="H84" s="18">
        <f>(G84-F84)*E84</f>
        <v>5949.99999999996</v>
      </c>
      <c r="I84" s="107"/>
      <c r="J84" s="108"/>
    </row>
    <row r="85" spans="1:10" ht="15.75" x14ac:dyDescent="0.25">
      <c r="A85" s="105" t="s">
        <v>85</v>
      </c>
      <c r="B85" s="198" t="s">
        <v>51</v>
      </c>
      <c r="C85" s="106">
        <v>51431332</v>
      </c>
      <c r="D85" s="199" t="s">
        <v>52</v>
      </c>
      <c r="E85" s="100">
        <v>7000</v>
      </c>
      <c r="F85" s="21">
        <v>313.17500000000001</v>
      </c>
      <c r="G85" s="21">
        <v>314.93400000000003</v>
      </c>
      <c r="H85" s="18">
        <f>(G85-F85)*E85</f>
        <v>12313.000000000102</v>
      </c>
      <c r="I85" s="198"/>
      <c r="J85" s="58"/>
    </row>
    <row r="86" spans="1:10" ht="15.75" x14ac:dyDescent="0.25">
      <c r="A86" s="27" t="s">
        <v>86</v>
      </c>
      <c r="B86" s="198" t="s">
        <v>102</v>
      </c>
      <c r="C86" s="109">
        <v>150773</v>
      </c>
      <c r="D86" s="199" t="s">
        <v>52</v>
      </c>
      <c r="E86" s="109">
        <v>20</v>
      </c>
      <c r="F86" s="17">
        <v>15384</v>
      </c>
      <c r="G86" s="17">
        <v>15393.1</v>
      </c>
      <c r="H86" s="18">
        <f>(G86-F86)*E86</f>
        <v>182.00000000000728</v>
      </c>
      <c r="I86" s="51"/>
      <c r="J86" s="58"/>
    </row>
    <row r="87" spans="1:10" ht="15.75" x14ac:dyDescent="0.25">
      <c r="A87" s="27" t="s">
        <v>88</v>
      </c>
      <c r="B87" s="198" t="s">
        <v>102</v>
      </c>
      <c r="C87" s="109">
        <v>150791</v>
      </c>
      <c r="D87" s="199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200"/>
      <c r="C88" s="32"/>
      <c r="D88" s="82"/>
      <c r="E88" s="82"/>
      <c r="F88" s="21"/>
      <c r="G88" s="21"/>
      <c r="H88" s="48">
        <f>H84+H85</f>
        <v>18263.000000000062</v>
      </c>
      <c r="I88" s="85">
        <f>H88-H91-H86-H87</f>
        <v>460.20000000009168</v>
      </c>
      <c r="J88" s="25">
        <f>I88/H88</f>
        <v>2.5198488747746269E-2</v>
      </c>
    </row>
    <row r="89" spans="1:10" ht="15.75" x14ac:dyDescent="0.25">
      <c r="A89" s="27" t="s">
        <v>103</v>
      </c>
      <c r="B89" s="198" t="s">
        <v>51</v>
      </c>
      <c r="C89" s="106">
        <v>51431342</v>
      </c>
      <c r="D89" s="88" t="s">
        <v>34</v>
      </c>
      <c r="E89" s="198">
        <v>4800</v>
      </c>
      <c r="F89" s="21">
        <v>333.25299999999999</v>
      </c>
      <c r="G89" s="21">
        <v>334.45400000000001</v>
      </c>
      <c r="H89" s="18">
        <f>(G89-F89)*E89</f>
        <v>5764.8000000001048</v>
      </c>
      <c r="I89" s="51"/>
      <c r="J89" s="52"/>
    </row>
    <row r="90" spans="1:10" ht="15.75" x14ac:dyDescent="0.25">
      <c r="A90" s="27" t="s">
        <v>104</v>
      </c>
      <c r="B90" s="198" t="s">
        <v>51</v>
      </c>
      <c r="C90" s="106">
        <v>51431343</v>
      </c>
      <c r="D90" s="88" t="s">
        <v>34</v>
      </c>
      <c r="E90" s="198">
        <v>4800</v>
      </c>
      <c r="F90" s="21">
        <v>443.42500000000001</v>
      </c>
      <c r="G90" s="21">
        <v>445.89499999999998</v>
      </c>
      <c r="H90" s="18">
        <f>(G90-F90)*E90</f>
        <v>11855.999999999858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17620.799999999963</v>
      </c>
      <c r="I91" s="85">
        <f>H91-H99</f>
        <v>-155.5999999999076</v>
      </c>
      <c r="J91" s="25">
        <f>I91/H91</f>
        <v>-8.8304730772670887E-3</v>
      </c>
    </row>
    <row r="92" spans="1:10" ht="15.75" x14ac:dyDescent="0.25">
      <c r="A92" s="27" t="s">
        <v>106</v>
      </c>
      <c r="B92" s="198" t="s">
        <v>51</v>
      </c>
      <c r="C92" s="106">
        <v>51431347</v>
      </c>
      <c r="D92" s="199" t="s">
        <v>52</v>
      </c>
      <c r="E92" s="198">
        <v>1200</v>
      </c>
      <c r="F92" s="21">
        <v>989.79399999999998</v>
      </c>
      <c r="G92" s="21">
        <v>998.20399999999995</v>
      </c>
      <c r="H92" s="18">
        <f t="shared" ref="H92:H100" si="4">(G92-F92)*E92</f>
        <v>10091.999999999962</v>
      </c>
      <c r="I92" s="51"/>
      <c r="J92" s="52"/>
    </row>
    <row r="93" spans="1:10" ht="15.75" x14ac:dyDescent="0.25">
      <c r="A93" s="27" t="s">
        <v>107</v>
      </c>
      <c r="B93" s="198" t="s">
        <v>51</v>
      </c>
      <c r="C93" s="106">
        <v>51431339</v>
      </c>
      <c r="D93" s="199" t="s">
        <v>52</v>
      </c>
      <c r="E93" s="198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198" t="s">
        <v>51</v>
      </c>
      <c r="C94" s="106">
        <v>51217244</v>
      </c>
      <c r="D94" s="198" t="s">
        <v>37</v>
      </c>
      <c r="E94" s="198">
        <v>600</v>
      </c>
      <c r="F94" s="30">
        <v>269.83300000000003</v>
      </c>
      <c r="G94" s="30">
        <v>272.666</v>
      </c>
      <c r="H94" s="18">
        <f t="shared" si="4"/>
        <v>1699.799999999982</v>
      </c>
      <c r="I94" s="51"/>
      <c r="J94" s="52"/>
    </row>
    <row r="95" spans="1:10" ht="15.75" x14ac:dyDescent="0.25">
      <c r="A95" s="27" t="s">
        <v>109</v>
      </c>
      <c r="B95" s="198" t="s">
        <v>51</v>
      </c>
      <c r="C95" s="106">
        <v>51217267</v>
      </c>
      <c r="D95" s="88" t="s">
        <v>62</v>
      </c>
      <c r="E95" s="198">
        <v>2400</v>
      </c>
      <c r="F95" s="30">
        <v>19.228999999999999</v>
      </c>
      <c r="G95" s="30">
        <v>19.260000000000002</v>
      </c>
      <c r="H95" s="18">
        <f t="shared" si="4"/>
        <v>74.400000000005662</v>
      </c>
      <c r="I95" s="51"/>
      <c r="J95" s="52"/>
    </row>
    <row r="96" spans="1:10" ht="15.75" x14ac:dyDescent="0.25">
      <c r="A96" s="27" t="s">
        <v>110</v>
      </c>
      <c r="B96" s="198" t="s">
        <v>51</v>
      </c>
      <c r="C96" s="198">
        <v>51555165</v>
      </c>
      <c r="D96" s="199" t="s">
        <v>52</v>
      </c>
      <c r="E96" s="198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198" t="s">
        <v>51</v>
      </c>
      <c r="C97" s="106">
        <v>51431346</v>
      </c>
      <c r="D97" s="114" t="s">
        <v>37</v>
      </c>
      <c r="E97" s="114">
        <v>600</v>
      </c>
      <c r="F97" s="30">
        <v>312.67700000000002</v>
      </c>
      <c r="G97" s="30">
        <v>313.10399999999998</v>
      </c>
      <c r="H97" s="115">
        <f t="shared" si="4"/>
        <v>256.19999999997844</v>
      </c>
      <c r="I97" s="116"/>
      <c r="J97" s="117"/>
    </row>
    <row r="98" spans="1:10" ht="15.75" x14ac:dyDescent="0.25">
      <c r="A98" s="27" t="s">
        <v>112</v>
      </c>
      <c r="B98" s="198" t="s">
        <v>51</v>
      </c>
      <c r="C98" s="106">
        <v>51431352</v>
      </c>
      <c r="D98" s="88" t="s">
        <v>21</v>
      </c>
      <c r="E98" s="198">
        <v>3600</v>
      </c>
      <c r="F98" s="21">
        <v>175.376</v>
      </c>
      <c r="G98" s="21">
        <v>176.89599999999999</v>
      </c>
      <c r="H98" s="18">
        <f t="shared" si="4"/>
        <v>5471.9999999999345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17776.39999999987</v>
      </c>
      <c r="I99" s="51"/>
      <c r="J99" s="52"/>
    </row>
    <row r="100" spans="1:10" ht="15.75" x14ac:dyDescent="0.25">
      <c r="A100" s="45" t="s">
        <v>113</v>
      </c>
      <c r="B100" s="198" t="s">
        <v>51</v>
      </c>
      <c r="C100" s="120">
        <v>51431357</v>
      </c>
      <c r="D100" s="199" t="s">
        <v>62</v>
      </c>
      <c r="E100" s="199">
        <v>14000</v>
      </c>
      <c r="F100" s="28">
        <v>715.06</v>
      </c>
      <c r="G100" s="28">
        <v>718.827</v>
      </c>
      <c r="H100" s="121">
        <f t="shared" si="4"/>
        <v>52738.000000000742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zoomScaleNormal="100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145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152</v>
      </c>
      <c r="G3" s="4" t="s">
        <v>153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201" t="s">
        <v>13</v>
      </c>
      <c r="C5" s="201">
        <v>51555166</v>
      </c>
      <c r="D5" s="201" t="s">
        <v>14</v>
      </c>
      <c r="E5" s="201">
        <v>132000</v>
      </c>
      <c r="F5" s="17">
        <v>2.508</v>
      </c>
      <c r="G5" s="17">
        <v>2.5190000000000001</v>
      </c>
      <c r="H5" s="18">
        <f>(G5-F5)*E5</f>
        <v>1452.0000000000159</v>
      </c>
      <c r="I5" s="19"/>
      <c r="J5" s="20"/>
    </row>
    <row r="6" spans="1:10" ht="15.75" x14ac:dyDescent="0.25">
      <c r="A6" s="15" t="s">
        <v>15</v>
      </c>
      <c r="B6" s="201" t="s">
        <v>13</v>
      </c>
      <c r="C6" s="201">
        <v>51555191</v>
      </c>
      <c r="D6" s="201" t="s">
        <v>14</v>
      </c>
      <c r="E6" s="201">
        <v>132000</v>
      </c>
      <c r="F6" s="21">
        <v>306.90199999999999</v>
      </c>
      <c r="G6" s="21">
        <v>308.93799999999999</v>
      </c>
      <c r="H6" s="18">
        <f>(G6-F6)*E6</f>
        <v>268752.00000000017</v>
      </c>
      <c r="I6" s="19"/>
      <c r="J6" s="20"/>
    </row>
    <row r="7" spans="1:10" ht="15.75" x14ac:dyDescent="0.25">
      <c r="A7" s="219" t="s">
        <v>16</v>
      </c>
      <c r="B7" s="220"/>
      <c r="C7" s="201"/>
      <c r="D7" s="202"/>
      <c r="E7" s="201"/>
      <c r="H7" s="23">
        <f>H5+H6</f>
        <v>270204.00000000017</v>
      </c>
      <c r="I7" s="24">
        <f>H7-H10-H20</f>
        <v>2573.9999999993597</v>
      </c>
      <c r="J7" s="25">
        <f>I7/H7</f>
        <v>9.5261358084978692E-3</v>
      </c>
    </row>
    <row r="8" spans="1:10" ht="15.75" x14ac:dyDescent="0.25">
      <c r="A8" s="26" t="s">
        <v>17</v>
      </c>
      <c r="B8" s="201" t="s">
        <v>13</v>
      </c>
      <c r="C8" s="201">
        <v>51097629</v>
      </c>
      <c r="D8" s="202" t="s">
        <v>14</v>
      </c>
      <c r="E8" s="201">
        <v>42000</v>
      </c>
      <c r="F8" s="21">
        <v>959.774</v>
      </c>
      <c r="G8" s="21">
        <v>964.20500000000004</v>
      </c>
      <c r="H8" s="18">
        <f>(G8-F8)*E8</f>
        <v>186102.00000000169</v>
      </c>
      <c r="I8" s="19"/>
      <c r="J8" s="20"/>
    </row>
    <row r="9" spans="1:10" ht="15.75" x14ac:dyDescent="0.25">
      <c r="A9" s="26" t="s">
        <v>18</v>
      </c>
      <c r="B9" s="201" t="s">
        <v>13</v>
      </c>
      <c r="C9" s="201">
        <v>51616820</v>
      </c>
      <c r="D9" s="202" t="s">
        <v>14</v>
      </c>
      <c r="E9" s="201">
        <v>42000</v>
      </c>
      <c r="F9" s="21">
        <v>4.1289999999999996</v>
      </c>
      <c r="G9" s="21">
        <v>4.1509999999999998</v>
      </c>
      <c r="H9" s="18">
        <f>(G9-F9)*E9</f>
        <v>924.00000000001012</v>
      </c>
      <c r="I9" s="19"/>
      <c r="J9" s="20"/>
    </row>
    <row r="10" spans="1:10" ht="15.75" x14ac:dyDescent="0.25">
      <c r="A10" s="219" t="s">
        <v>19</v>
      </c>
      <c r="B10" s="220"/>
      <c r="C10" s="201"/>
      <c r="D10" s="202"/>
      <c r="E10" s="201"/>
      <c r="F10" s="21"/>
      <c r="G10" s="21"/>
      <c r="H10" s="23">
        <f>H8+H9</f>
        <v>187026.00000000169</v>
      </c>
      <c r="I10" s="24">
        <f>H10-H17</f>
        <v>-41.999999997497071</v>
      </c>
      <c r="J10" s="25">
        <f>I10/H10</f>
        <v>-2.2456770715032504E-4</v>
      </c>
    </row>
    <row r="11" spans="1:10" ht="15.75" x14ac:dyDescent="0.25">
      <c r="A11" s="27" t="s">
        <v>20</v>
      </c>
      <c r="B11" s="201" t="s">
        <v>13</v>
      </c>
      <c r="C11" s="201">
        <v>51217286</v>
      </c>
      <c r="D11" s="202" t="s">
        <v>21</v>
      </c>
      <c r="E11" s="201">
        <v>21000</v>
      </c>
      <c r="F11" s="21">
        <v>762.59</v>
      </c>
      <c r="G11" s="21">
        <v>765.96600000000001</v>
      </c>
      <c r="H11" s="18">
        <f t="shared" ref="H11:H16" si="0">(G11-F11)*E11</f>
        <v>70895.999999999505</v>
      </c>
      <c r="I11" s="19"/>
      <c r="J11" s="20"/>
    </row>
    <row r="12" spans="1:10" ht="15.75" x14ac:dyDescent="0.25">
      <c r="A12" s="27" t="s">
        <v>22</v>
      </c>
      <c r="B12" s="201" t="s">
        <v>13</v>
      </c>
      <c r="C12" s="201">
        <v>51217292</v>
      </c>
      <c r="D12" s="202" t="s">
        <v>21</v>
      </c>
      <c r="E12" s="201">
        <v>21000</v>
      </c>
      <c r="F12" s="28">
        <v>3.1059999999999999</v>
      </c>
      <c r="G12" s="28">
        <v>3.1309999999999998</v>
      </c>
      <c r="H12" s="18">
        <f>(G12-F12)*E12</f>
        <v>524.99999999999818</v>
      </c>
      <c r="I12" s="19"/>
      <c r="J12" s="20"/>
    </row>
    <row r="13" spans="1:10" ht="15.75" x14ac:dyDescent="0.25">
      <c r="A13" s="27" t="s">
        <v>23</v>
      </c>
      <c r="B13" s="201" t="s">
        <v>13</v>
      </c>
      <c r="C13" s="201">
        <v>51217271</v>
      </c>
      <c r="D13" s="202" t="s">
        <v>21</v>
      </c>
      <c r="E13" s="201">
        <v>21000</v>
      </c>
      <c r="F13" s="21">
        <v>555.69200000000001</v>
      </c>
      <c r="G13" s="21">
        <v>558.37699999999995</v>
      </c>
      <c r="H13" s="18">
        <f t="shared" si="0"/>
        <v>56384.99999999885</v>
      </c>
      <c r="I13" s="19"/>
      <c r="J13" s="20"/>
    </row>
    <row r="14" spans="1:10" ht="15.75" x14ac:dyDescent="0.25">
      <c r="A14" s="27" t="s">
        <v>24</v>
      </c>
      <c r="B14" s="201" t="s">
        <v>13</v>
      </c>
      <c r="C14" s="201">
        <v>51217276</v>
      </c>
      <c r="D14" s="202" t="s">
        <v>21</v>
      </c>
      <c r="E14" s="201">
        <v>21000</v>
      </c>
      <c r="F14" s="28">
        <v>0.43099999999999999</v>
      </c>
      <c r="G14" s="28">
        <v>0.433</v>
      </c>
      <c r="H14" s="18">
        <f>(G14-F14)*E14</f>
        <v>42.000000000000036</v>
      </c>
      <c r="I14" s="19"/>
      <c r="J14" s="20"/>
    </row>
    <row r="15" spans="1:10" ht="15.75" x14ac:dyDescent="0.25">
      <c r="A15" s="27" t="s">
        <v>25</v>
      </c>
      <c r="B15" s="201" t="s">
        <v>13</v>
      </c>
      <c r="C15" s="201">
        <v>51100990</v>
      </c>
      <c r="D15" s="202" t="s">
        <v>21</v>
      </c>
      <c r="E15" s="201">
        <v>21000</v>
      </c>
      <c r="F15" s="29">
        <v>605.85799999999995</v>
      </c>
      <c r="G15" s="29">
        <v>608.66399999999999</v>
      </c>
      <c r="H15" s="18">
        <f t="shared" si="0"/>
        <v>58926.000000000844</v>
      </c>
      <c r="I15" s="19"/>
      <c r="J15" s="20"/>
    </row>
    <row r="16" spans="1:10" ht="15.75" x14ac:dyDescent="0.25">
      <c r="A16" s="27" t="s">
        <v>26</v>
      </c>
      <c r="B16" s="201" t="s">
        <v>13</v>
      </c>
      <c r="C16" s="201">
        <v>51097622</v>
      </c>
      <c r="D16" s="202" t="s">
        <v>21</v>
      </c>
      <c r="E16" s="201">
        <v>21000</v>
      </c>
      <c r="F16" s="21">
        <v>2.6619999999999999</v>
      </c>
      <c r="G16" s="21">
        <v>2.6760000000000002</v>
      </c>
      <c r="H16" s="18">
        <f t="shared" si="0"/>
        <v>294.00000000000495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201"/>
      <c r="D17" s="202"/>
      <c r="E17" s="201"/>
      <c r="F17" s="21"/>
      <c r="G17" s="21"/>
      <c r="H17" s="23">
        <f>H11+H12+H13+H14+H15+H16</f>
        <v>187067.99999999919</v>
      </c>
      <c r="I17" s="19"/>
      <c r="J17" s="20"/>
    </row>
    <row r="18" spans="1:10" ht="15.75" x14ac:dyDescent="0.25">
      <c r="A18" s="26" t="s">
        <v>29</v>
      </c>
      <c r="B18" s="201" t="s">
        <v>13</v>
      </c>
      <c r="C18" s="201">
        <v>51097617</v>
      </c>
      <c r="D18" s="202" t="s">
        <v>30</v>
      </c>
      <c r="E18" s="201">
        <v>18000</v>
      </c>
      <c r="F18" s="30">
        <v>717.45600000000002</v>
      </c>
      <c r="G18" s="30">
        <v>721.93399999999997</v>
      </c>
      <c r="H18" s="18">
        <f>(G18-F18)*E18</f>
        <v>80603.999999999127</v>
      </c>
      <c r="I18" s="19"/>
      <c r="J18" s="20"/>
    </row>
    <row r="19" spans="1:10" ht="15.75" x14ac:dyDescent="0.25">
      <c r="A19" s="26" t="s">
        <v>31</v>
      </c>
      <c r="B19" s="201" t="s">
        <v>13</v>
      </c>
      <c r="C19" s="201">
        <v>51097655</v>
      </c>
      <c r="D19" s="202" t="s">
        <v>30</v>
      </c>
      <c r="E19" s="201">
        <v>18000</v>
      </c>
      <c r="F19" s="30">
        <v>6.1269999999999998</v>
      </c>
      <c r="G19" s="30">
        <v>6.1269999999999998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201"/>
      <c r="D20" s="202"/>
      <c r="E20" s="201"/>
      <c r="F20" s="30"/>
      <c r="G20" s="30"/>
      <c r="H20" s="23">
        <f>H18+H19</f>
        <v>80603.999999999127</v>
      </c>
      <c r="I20" s="24">
        <f>H20-H35</f>
        <v>4313.3999999995431</v>
      </c>
      <c r="J20" s="25">
        <f>I20/H20</f>
        <v>5.3513473276755368E-2</v>
      </c>
    </row>
    <row r="21" spans="1:10" ht="15.75" x14ac:dyDescent="0.25">
      <c r="A21" s="15" t="s">
        <v>33</v>
      </c>
      <c r="B21" s="201" t="s">
        <v>13</v>
      </c>
      <c r="C21" s="201">
        <v>51217282</v>
      </c>
      <c r="D21" s="202" t="s">
        <v>34</v>
      </c>
      <c r="E21" s="201">
        <v>4800</v>
      </c>
      <c r="F21" s="21">
        <v>378.37299999999999</v>
      </c>
      <c r="G21" s="21">
        <v>378.64699999999999</v>
      </c>
      <c r="H21" s="18">
        <f t="shared" ref="H21:H34" si="1">(G21-F21)*E21</f>
        <v>1315.2000000000044</v>
      </c>
      <c r="I21" s="19" t="s">
        <v>27</v>
      </c>
      <c r="J21" s="20"/>
    </row>
    <row r="22" spans="1:10" ht="15.75" x14ac:dyDescent="0.25">
      <c r="A22" s="15" t="s">
        <v>35</v>
      </c>
      <c r="B22" s="201" t="s">
        <v>13</v>
      </c>
      <c r="C22" s="201">
        <v>51217274</v>
      </c>
      <c r="D22" s="202" t="s">
        <v>34</v>
      </c>
      <c r="E22" s="201">
        <v>4800</v>
      </c>
      <c r="F22" s="21">
        <v>1137.797</v>
      </c>
      <c r="G22" s="21">
        <v>1143.597</v>
      </c>
      <c r="H22" s="18">
        <f t="shared" si="1"/>
        <v>27839.999999999782</v>
      </c>
      <c r="I22" s="19"/>
      <c r="J22" s="20"/>
    </row>
    <row r="23" spans="1:10" ht="15.75" x14ac:dyDescent="0.25">
      <c r="A23" s="15" t="s">
        <v>36</v>
      </c>
      <c r="B23" s="201" t="s">
        <v>13</v>
      </c>
      <c r="C23" s="201">
        <v>51097664</v>
      </c>
      <c r="D23" s="202" t="s">
        <v>37</v>
      </c>
      <c r="E23" s="201">
        <v>600</v>
      </c>
      <c r="F23" s="21">
        <v>4.1859999999999999</v>
      </c>
      <c r="G23" s="21">
        <v>4.2069999999999999</v>
      </c>
      <c r="H23" s="18">
        <f t="shared" si="1"/>
        <v>12.599999999999945</v>
      </c>
      <c r="I23" s="19"/>
      <c r="J23" s="20"/>
    </row>
    <row r="24" spans="1:10" ht="15.75" x14ac:dyDescent="0.25">
      <c r="A24" s="15" t="s">
        <v>38</v>
      </c>
      <c r="B24" s="201" t="s">
        <v>13</v>
      </c>
      <c r="C24" s="201">
        <v>51097615</v>
      </c>
      <c r="D24" s="202" t="s">
        <v>37</v>
      </c>
      <c r="E24" s="201">
        <v>600</v>
      </c>
      <c r="F24" s="21">
        <v>31.574999999999999</v>
      </c>
      <c r="G24" s="21">
        <v>31.992999999999999</v>
      </c>
      <c r="H24" s="18">
        <f t="shared" si="1"/>
        <v>250.79999999999956</v>
      </c>
      <c r="I24" s="19"/>
      <c r="J24" s="20"/>
    </row>
    <row r="25" spans="1:10" ht="15.75" x14ac:dyDescent="0.25">
      <c r="A25" s="15" t="s">
        <v>39</v>
      </c>
      <c r="B25" s="201" t="s">
        <v>13</v>
      </c>
      <c r="C25" s="201">
        <v>51217264</v>
      </c>
      <c r="D25" s="202" t="s">
        <v>37</v>
      </c>
      <c r="E25" s="201">
        <v>600</v>
      </c>
      <c r="F25" s="21">
        <v>79.432000000000002</v>
      </c>
      <c r="G25" s="21">
        <v>80.233999999999995</v>
      </c>
      <c r="H25" s="18">
        <f t="shared" si="1"/>
        <v>481.1999999999955</v>
      </c>
      <c r="I25" s="19"/>
      <c r="J25" s="20"/>
    </row>
    <row r="26" spans="1:10" ht="15.75" x14ac:dyDescent="0.25">
      <c r="A26" s="15" t="s">
        <v>40</v>
      </c>
      <c r="B26" s="201" t="s">
        <v>13</v>
      </c>
      <c r="C26" s="201">
        <v>51217288</v>
      </c>
      <c r="D26" s="202" t="s">
        <v>37</v>
      </c>
      <c r="E26" s="201">
        <v>600</v>
      </c>
      <c r="F26" s="21">
        <v>19.376000000000001</v>
      </c>
      <c r="G26" s="21">
        <v>19.407</v>
      </c>
      <c r="H26" s="18">
        <f t="shared" si="1"/>
        <v>18.599999999999284</v>
      </c>
      <c r="I26" s="19" t="s">
        <v>27</v>
      </c>
      <c r="J26" s="20"/>
    </row>
    <row r="27" spans="1:10" ht="15.75" x14ac:dyDescent="0.25">
      <c r="A27" s="15" t="s">
        <v>41</v>
      </c>
      <c r="B27" s="201" t="s">
        <v>13</v>
      </c>
      <c r="C27" s="201">
        <v>51217279</v>
      </c>
      <c r="D27" s="202" t="s">
        <v>37</v>
      </c>
      <c r="E27" s="201">
        <v>600</v>
      </c>
      <c r="F27" s="21">
        <v>13.379</v>
      </c>
      <c r="G27" s="21">
        <v>13.432</v>
      </c>
      <c r="H27" s="18">
        <f t="shared" si="1"/>
        <v>31.800000000000495</v>
      </c>
      <c r="I27" s="19" t="s">
        <v>27</v>
      </c>
      <c r="J27" s="20"/>
    </row>
    <row r="28" spans="1:10" ht="15.75" x14ac:dyDescent="0.25">
      <c r="A28" s="15" t="s">
        <v>42</v>
      </c>
      <c r="B28" s="201" t="s">
        <v>13</v>
      </c>
      <c r="C28" s="201">
        <v>51217272</v>
      </c>
      <c r="D28" s="202" t="s">
        <v>37</v>
      </c>
      <c r="E28" s="201">
        <v>600</v>
      </c>
      <c r="F28" s="31">
        <v>13.125</v>
      </c>
      <c r="G28" s="31">
        <v>13.177</v>
      </c>
      <c r="H28" s="18">
        <f t="shared" si="1"/>
        <v>31.199999999999761</v>
      </c>
      <c r="I28" s="19"/>
      <c r="J28" s="20"/>
    </row>
    <row r="29" spans="1:10" ht="15.75" x14ac:dyDescent="0.25">
      <c r="A29" s="15" t="s">
        <v>43</v>
      </c>
      <c r="B29" s="201" t="s">
        <v>13</v>
      </c>
      <c r="C29" s="201">
        <v>51616744</v>
      </c>
      <c r="D29" s="202">
        <f>300/5</f>
        <v>60</v>
      </c>
      <c r="E29" s="201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201" t="s">
        <v>13</v>
      </c>
      <c r="C30" s="201">
        <v>51555226</v>
      </c>
      <c r="D30" s="202">
        <f>300/5</f>
        <v>60</v>
      </c>
      <c r="E30" s="201">
        <v>3600</v>
      </c>
      <c r="F30" s="31">
        <v>372.85399999999998</v>
      </c>
      <c r="G30" s="31">
        <v>377.21899999999999</v>
      </c>
      <c r="H30" s="18">
        <f>(G30-F30)*E30</f>
        <v>15714.000000000033</v>
      </c>
      <c r="I30" s="19"/>
      <c r="J30" s="20"/>
    </row>
    <row r="31" spans="1:10" ht="15.75" x14ac:dyDescent="0.25">
      <c r="A31" s="15" t="s">
        <v>45</v>
      </c>
      <c r="B31" s="201" t="s">
        <v>13</v>
      </c>
      <c r="C31" s="201">
        <v>51097658</v>
      </c>
      <c r="D31" s="202" t="s">
        <v>34</v>
      </c>
      <c r="E31" s="201">
        <v>4800</v>
      </c>
      <c r="F31" s="31">
        <v>545.70100000000002</v>
      </c>
      <c r="G31" s="31">
        <v>549.45299999999997</v>
      </c>
      <c r="H31" s="18">
        <f t="shared" si="1"/>
        <v>18009.599999999773</v>
      </c>
      <c r="I31" s="19"/>
      <c r="J31" s="20"/>
    </row>
    <row r="32" spans="1:10" ht="15.75" x14ac:dyDescent="0.25">
      <c r="A32" s="15" t="s">
        <v>46</v>
      </c>
      <c r="B32" s="201" t="s">
        <v>13</v>
      </c>
      <c r="C32" s="201">
        <v>51097635</v>
      </c>
      <c r="D32" s="202" t="s">
        <v>34</v>
      </c>
      <c r="E32" s="201">
        <v>4800</v>
      </c>
      <c r="F32" s="31">
        <v>48.436999999999998</v>
      </c>
      <c r="G32" s="31">
        <v>48.436999999999998</v>
      </c>
      <c r="H32" s="18">
        <f t="shared" si="1"/>
        <v>0</v>
      </c>
      <c r="I32" s="19"/>
      <c r="J32" s="20"/>
    </row>
    <row r="33" spans="1:10" ht="15.75" x14ac:dyDescent="0.25">
      <c r="A33" s="15" t="s">
        <v>47</v>
      </c>
      <c r="B33" s="201" t="s">
        <v>13</v>
      </c>
      <c r="C33" s="32">
        <v>51097633</v>
      </c>
      <c r="D33" s="202" t="s">
        <v>34</v>
      </c>
      <c r="E33" s="201">
        <v>4800</v>
      </c>
      <c r="F33" s="31">
        <v>103.375</v>
      </c>
      <c r="G33" s="31">
        <v>105.929</v>
      </c>
      <c r="H33" s="33">
        <f t="shared" si="1"/>
        <v>12259.20000000001</v>
      </c>
      <c r="I33" s="34"/>
      <c r="J33" s="35"/>
    </row>
    <row r="34" spans="1:10" ht="15.75" x14ac:dyDescent="0.25">
      <c r="A34" s="15" t="s">
        <v>116</v>
      </c>
      <c r="B34" s="201" t="s">
        <v>13</v>
      </c>
      <c r="C34" s="32">
        <v>51097662</v>
      </c>
      <c r="D34" s="202" t="s">
        <v>34</v>
      </c>
      <c r="E34" s="201">
        <v>4800</v>
      </c>
      <c r="F34" s="31">
        <v>1.78</v>
      </c>
      <c r="G34" s="31">
        <v>1.8480000000000001</v>
      </c>
      <c r="H34" s="33">
        <f t="shared" si="1"/>
        <v>326.40000000000032</v>
      </c>
      <c r="I34" s="34"/>
      <c r="J34" s="35"/>
    </row>
    <row r="35" spans="1:10" ht="15.75" x14ac:dyDescent="0.25">
      <c r="A35" s="219" t="s">
        <v>48</v>
      </c>
      <c r="B35" s="220"/>
      <c r="C35" s="201"/>
      <c r="D35" s="202"/>
      <c r="E35" s="201"/>
      <c r="F35" s="36"/>
      <c r="G35" s="36"/>
      <c r="H35" s="23">
        <f>H21+H22+H23+H24+H25+H26+H27+H28+H29+H30+H31+H32+H33+H34</f>
        <v>76290.599999999584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201" t="s">
        <v>51</v>
      </c>
      <c r="C37" s="201">
        <v>51555209</v>
      </c>
      <c r="D37" s="202" t="s">
        <v>52</v>
      </c>
      <c r="E37" s="201">
        <v>7000</v>
      </c>
      <c r="F37" s="17">
        <v>4.2670000000000003</v>
      </c>
      <c r="G37" s="17">
        <v>4.3209999999999997</v>
      </c>
      <c r="H37" s="41">
        <f>(G37-F37)*E37</f>
        <v>377.99999999999568</v>
      </c>
      <c r="I37" s="42"/>
      <c r="J37" s="14"/>
    </row>
    <row r="38" spans="1:10" ht="15.75" x14ac:dyDescent="0.25">
      <c r="A38" s="15" t="s">
        <v>53</v>
      </c>
      <c r="B38" s="201" t="s">
        <v>51</v>
      </c>
      <c r="C38" s="201">
        <v>51555209</v>
      </c>
      <c r="D38" s="202" t="s">
        <v>52</v>
      </c>
      <c r="E38" s="201">
        <v>7000</v>
      </c>
      <c r="F38" s="21">
        <v>8.9339999999999993</v>
      </c>
      <c r="G38" s="21">
        <v>8.9760000000000009</v>
      </c>
      <c r="H38" s="18">
        <f>(G38-F38)*E38</f>
        <v>294.00000000001114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201" t="s">
        <v>51</v>
      </c>
      <c r="C40" s="201">
        <v>51097674</v>
      </c>
      <c r="D40" s="201" t="s">
        <v>14</v>
      </c>
      <c r="E40" s="201">
        <v>7200</v>
      </c>
      <c r="F40" s="21">
        <v>515.18399999999997</v>
      </c>
      <c r="G40" s="21">
        <v>517.65899999999999</v>
      </c>
      <c r="H40" s="18">
        <f>(G40-F40)*E40</f>
        <v>17820.000000000164</v>
      </c>
      <c r="I40" s="47"/>
      <c r="J40" s="20"/>
    </row>
    <row r="41" spans="1:10" ht="15.75" x14ac:dyDescent="0.25">
      <c r="A41" s="27" t="s">
        <v>56</v>
      </c>
      <c r="B41" s="201" t="s">
        <v>51</v>
      </c>
      <c r="C41" s="201">
        <v>51259257</v>
      </c>
      <c r="D41" s="201" t="s">
        <v>14</v>
      </c>
      <c r="E41" s="201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201"/>
      <c r="C42" s="201"/>
      <c r="D42" s="201"/>
      <c r="E42" s="201"/>
      <c r="F42" s="21"/>
      <c r="G42" s="21"/>
      <c r="H42" s="48">
        <f>H40+H41</f>
        <v>17820.000000000164</v>
      </c>
      <c r="I42" s="24">
        <f>H42-H50</f>
        <v>-111.19999999974607</v>
      </c>
      <c r="J42" s="25">
        <f>I42/H42</f>
        <v>-6.2401795734985995E-3</v>
      </c>
    </row>
    <row r="43" spans="1:10" ht="15.75" x14ac:dyDescent="0.25">
      <c r="A43" s="15" t="s">
        <v>58</v>
      </c>
      <c r="B43" s="201"/>
      <c r="C43" s="201"/>
      <c r="D43" s="202"/>
      <c r="E43" s="201"/>
      <c r="H43" s="18"/>
      <c r="I43" s="43"/>
      <c r="J43" s="20"/>
    </row>
    <row r="44" spans="1:10" ht="15.75" x14ac:dyDescent="0.25">
      <c r="A44" s="27" t="s">
        <v>59</v>
      </c>
      <c r="B44" s="201" t="s">
        <v>51</v>
      </c>
      <c r="C44" s="32">
        <v>51097648</v>
      </c>
      <c r="D44" s="201" t="s">
        <v>52</v>
      </c>
      <c r="E44" s="201">
        <v>1200</v>
      </c>
      <c r="F44" s="21">
        <v>421.589</v>
      </c>
      <c r="G44" s="21">
        <v>423.64400000000001</v>
      </c>
      <c r="H44" s="33">
        <f>(G44-F44)*E44</f>
        <v>2466.0000000000082</v>
      </c>
      <c r="I44" s="43"/>
      <c r="J44" s="20"/>
    </row>
    <row r="45" spans="1:10" ht="15.75" x14ac:dyDescent="0.25">
      <c r="A45" s="27" t="s">
        <v>60</v>
      </c>
      <c r="B45" s="201" t="s">
        <v>51</v>
      </c>
      <c r="C45" s="32">
        <v>50555043</v>
      </c>
      <c r="D45" s="201" t="s">
        <v>52</v>
      </c>
      <c r="E45" s="201">
        <v>1200</v>
      </c>
      <c r="F45" s="21">
        <v>1767.3030000000001</v>
      </c>
      <c r="G45" s="21">
        <v>1775.845</v>
      </c>
      <c r="H45" s="33">
        <f>(G45-F45)*E45</f>
        <v>10250.3999999999</v>
      </c>
      <c r="I45" s="43"/>
      <c r="J45" s="20"/>
    </row>
    <row r="46" spans="1:10" ht="15.75" x14ac:dyDescent="0.25">
      <c r="A46" s="27" t="s">
        <v>61</v>
      </c>
      <c r="B46" s="201" t="s">
        <v>51</v>
      </c>
      <c r="C46" s="32">
        <v>51259336</v>
      </c>
      <c r="D46" s="201" t="s">
        <v>62</v>
      </c>
      <c r="E46" s="201">
        <v>2400</v>
      </c>
      <c r="F46" s="21">
        <v>3.6840000000000002</v>
      </c>
      <c r="G46" s="21">
        <v>3.698</v>
      </c>
      <c r="H46" s="33">
        <f>(G46-F46)*E46</f>
        <v>33.599999999999497</v>
      </c>
      <c r="I46" s="43"/>
      <c r="J46" s="20"/>
    </row>
    <row r="47" spans="1:10" ht="15.75" x14ac:dyDescent="0.25">
      <c r="A47" s="27" t="s">
        <v>63</v>
      </c>
      <c r="B47" s="201" t="s">
        <v>51</v>
      </c>
      <c r="C47" s="32">
        <v>51259266</v>
      </c>
      <c r="D47" s="201" t="s">
        <v>52</v>
      </c>
      <c r="E47" s="201">
        <v>1200</v>
      </c>
      <c r="F47" s="21">
        <v>856.51099999999997</v>
      </c>
      <c r="G47" s="21">
        <v>860.48199999999997</v>
      </c>
      <c r="H47" s="33">
        <f>(G47-F47)*E47</f>
        <v>4765.2000000000044</v>
      </c>
      <c r="I47" s="43"/>
      <c r="J47" s="20"/>
    </row>
    <row r="48" spans="1:10" ht="15.75" x14ac:dyDescent="0.25">
      <c r="A48" s="27" t="s">
        <v>64</v>
      </c>
      <c r="B48" s="201" t="s">
        <v>51</v>
      </c>
      <c r="C48" s="32">
        <v>51431336</v>
      </c>
      <c r="D48" s="201" t="s">
        <v>52</v>
      </c>
      <c r="E48" s="201">
        <v>1200</v>
      </c>
      <c r="F48" s="21">
        <v>46.798000000000002</v>
      </c>
      <c r="G48" s="21">
        <v>47.103000000000002</v>
      </c>
      <c r="H48" s="33">
        <f>(G48-F48)*E48</f>
        <v>365.99999999999966</v>
      </c>
      <c r="I48" s="43"/>
      <c r="J48" s="20"/>
    </row>
    <row r="49" spans="1:10" ht="15.75" x14ac:dyDescent="0.25">
      <c r="A49" s="15" t="s">
        <v>65</v>
      </c>
      <c r="B49" s="201" t="s">
        <v>66</v>
      </c>
      <c r="C49" s="201">
        <v>49174</v>
      </c>
      <c r="D49" s="202" t="s">
        <v>52</v>
      </c>
      <c r="E49" s="201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17931.19999999991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201" t="s">
        <v>51</v>
      </c>
      <c r="C52" s="201">
        <v>51097603</v>
      </c>
      <c r="D52" s="202" t="s">
        <v>52</v>
      </c>
      <c r="E52" s="201">
        <v>7000</v>
      </c>
      <c r="F52" s="17">
        <v>1710.4079999999999</v>
      </c>
      <c r="G52" s="17">
        <v>1717.7850000000001</v>
      </c>
      <c r="H52" s="18">
        <f>(G52-F52)*E52</f>
        <v>51639.000000001259</v>
      </c>
      <c r="I52" s="43"/>
      <c r="J52" s="20"/>
    </row>
    <row r="53" spans="1:10" ht="15.75" x14ac:dyDescent="0.25">
      <c r="A53" s="27" t="s">
        <v>71</v>
      </c>
      <c r="B53" s="201" t="s">
        <v>51</v>
      </c>
      <c r="C53" s="201">
        <v>51097590</v>
      </c>
      <c r="D53" s="202" t="s">
        <v>52</v>
      </c>
      <c r="E53" s="201">
        <v>7000</v>
      </c>
      <c r="F53" s="21">
        <v>10.298</v>
      </c>
      <c r="G53" s="21">
        <v>10.374000000000001</v>
      </c>
      <c r="H53" s="18">
        <f>(G53-F53)*E53</f>
        <v>532.00000000000364</v>
      </c>
      <c r="I53" s="43"/>
      <c r="J53" s="20"/>
    </row>
    <row r="54" spans="1:10" ht="15.75" x14ac:dyDescent="0.25">
      <c r="A54" s="15" t="s">
        <v>65</v>
      </c>
      <c r="B54" s="201" t="s">
        <v>66</v>
      </c>
      <c r="C54" s="201">
        <v>49174</v>
      </c>
      <c r="D54" s="202" t="s">
        <v>52</v>
      </c>
      <c r="E54" s="201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201"/>
      <c r="D55" s="202"/>
      <c r="E55" s="201"/>
      <c r="F55" s="21"/>
      <c r="G55" s="21"/>
      <c r="H55" s="48">
        <f>H52+H53+H54</f>
        <v>52271.000000001266</v>
      </c>
      <c r="I55" s="47"/>
      <c r="J55" s="59"/>
    </row>
    <row r="56" spans="1:10" ht="15.75" x14ac:dyDescent="0.25">
      <c r="A56" s="27" t="s">
        <v>73</v>
      </c>
      <c r="B56" s="201" t="s">
        <v>51</v>
      </c>
      <c r="C56" s="201">
        <v>51100980</v>
      </c>
      <c r="D56" s="201" t="s">
        <v>74</v>
      </c>
      <c r="E56" s="201">
        <v>12000</v>
      </c>
      <c r="F56" s="21">
        <v>1006.102</v>
      </c>
      <c r="G56" s="21">
        <v>1010.46</v>
      </c>
      <c r="H56" s="18">
        <f>(G56-F56)*E56</f>
        <v>52296.000000000728</v>
      </c>
      <c r="I56" s="47"/>
      <c r="J56" s="58"/>
    </row>
    <row r="57" spans="1:10" ht="15.75" x14ac:dyDescent="0.25">
      <c r="A57" s="27" t="s">
        <v>75</v>
      </c>
      <c r="B57" s="201" t="s">
        <v>51</v>
      </c>
      <c r="C57" s="201">
        <v>51097623</v>
      </c>
      <c r="D57" s="201" t="s">
        <v>74</v>
      </c>
      <c r="E57" s="201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201"/>
      <c r="C58" s="201"/>
      <c r="D58" s="201"/>
      <c r="E58" s="201"/>
      <c r="F58" s="21"/>
      <c r="G58" s="21"/>
      <c r="H58" s="48">
        <f>H56+H57</f>
        <v>52296.000000000728</v>
      </c>
      <c r="I58" s="61">
        <f>H55-H65-H54</f>
        <v>-180.19999999782158</v>
      </c>
      <c r="J58" s="25">
        <f>I58/H58</f>
        <v>-3.4457702309511067E-3</v>
      </c>
    </row>
    <row r="59" spans="1:10" ht="15.75" x14ac:dyDescent="0.25">
      <c r="A59" s="27" t="s">
        <v>77</v>
      </c>
      <c r="B59" s="201" t="s">
        <v>51</v>
      </c>
      <c r="C59" s="201">
        <v>51097675</v>
      </c>
      <c r="D59" s="201" t="s">
        <v>34</v>
      </c>
      <c r="E59" s="201">
        <v>4800</v>
      </c>
      <c r="F59" s="21">
        <v>408.48</v>
      </c>
      <c r="G59" s="21">
        <v>412.06200000000001</v>
      </c>
      <c r="H59" s="18">
        <f t="shared" ref="H59:H64" si="2">(G59-F59)*E59</f>
        <v>17193.599999999969</v>
      </c>
      <c r="I59" s="62"/>
      <c r="J59" s="59"/>
    </row>
    <row r="60" spans="1:10" ht="15.75" x14ac:dyDescent="0.25">
      <c r="A60" s="27" t="s">
        <v>78</v>
      </c>
      <c r="B60" s="201" t="s">
        <v>51</v>
      </c>
      <c r="C60" s="201">
        <v>51100997</v>
      </c>
      <c r="D60" s="201" t="s">
        <v>21</v>
      </c>
      <c r="E60" s="201">
        <v>3600</v>
      </c>
      <c r="F60" s="21">
        <v>1272.6880000000001</v>
      </c>
      <c r="G60" s="21">
        <v>1275.7249999999999</v>
      </c>
      <c r="H60" s="18">
        <f t="shared" si="2"/>
        <v>10933.199999999306</v>
      </c>
      <c r="I60" s="62"/>
      <c r="J60" s="59"/>
    </row>
    <row r="61" spans="1:10" ht="15.75" x14ac:dyDescent="0.25">
      <c r="A61" s="27" t="s">
        <v>79</v>
      </c>
      <c r="B61" s="201" t="s">
        <v>51</v>
      </c>
      <c r="C61" s="201">
        <v>51555218</v>
      </c>
      <c r="D61" s="201">
        <f>400/5</f>
        <v>80</v>
      </c>
      <c r="E61" s="201">
        <v>4800</v>
      </c>
      <c r="F61" s="21">
        <v>47.274999999999999</v>
      </c>
      <c r="G61" s="21">
        <v>47.85</v>
      </c>
      <c r="H61" s="18">
        <f t="shared" si="2"/>
        <v>2760.0000000000136</v>
      </c>
      <c r="I61" s="62"/>
      <c r="J61" s="59"/>
    </row>
    <row r="62" spans="1:10" ht="15.75" x14ac:dyDescent="0.25">
      <c r="A62" s="27" t="s">
        <v>80</v>
      </c>
      <c r="B62" s="201" t="s">
        <v>51</v>
      </c>
      <c r="C62" s="201">
        <v>51555151</v>
      </c>
      <c r="D62" s="201">
        <f>400/5</f>
        <v>80</v>
      </c>
      <c r="E62" s="201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201" t="s">
        <v>51</v>
      </c>
      <c r="C63" s="201">
        <v>51097599</v>
      </c>
      <c r="D63" s="201" t="s">
        <v>21</v>
      </c>
      <c r="E63" s="201">
        <v>3600</v>
      </c>
      <c r="F63" s="21">
        <v>887.92</v>
      </c>
      <c r="G63" s="21">
        <v>890.32899999999995</v>
      </c>
      <c r="H63" s="18">
        <f t="shared" si="2"/>
        <v>8672.3999999999705</v>
      </c>
      <c r="I63" s="62"/>
      <c r="J63" s="59"/>
    </row>
    <row r="64" spans="1:10" ht="15.75" x14ac:dyDescent="0.25">
      <c r="A64" s="27" t="s">
        <v>82</v>
      </c>
      <c r="B64" s="201" t="s">
        <v>51</v>
      </c>
      <c r="C64" s="201">
        <v>51097620</v>
      </c>
      <c r="D64" s="201" t="s">
        <v>34</v>
      </c>
      <c r="E64" s="201">
        <v>4800</v>
      </c>
      <c r="F64" s="21">
        <v>427.99200000000002</v>
      </c>
      <c r="G64" s="21">
        <v>430.65699999999998</v>
      </c>
      <c r="H64" s="18">
        <f t="shared" si="2"/>
        <v>12791.999999999825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52351.199999999088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201" t="s">
        <v>51</v>
      </c>
      <c r="C67" s="9">
        <v>51259238</v>
      </c>
      <c r="D67" s="74" t="s">
        <v>52</v>
      </c>
      <c r="E67" s="74">
        <v>7000</v>
      </c>
      <c r="F67" s="75">
        <v>468.601</v>
      </c>
      <c r="G67" s="75">
        <v>471.505</v>
      </c>
      <c r="H67" s="76">
        <f>(G67-F67)*E67</f>
        <v>20327.999999999975</v>
      </c>
      <c r="I67" s="77"/>
      <c r="J67" s="78"/>
    </row>
    <row r="68" spans="1:10" ht="15.75" x14ac:dyDescent="0.25">
      <c r="A68" s="27" t="s">
        <v>85</v>
      </c>
      <c r="B68" s="201" t="s">
        <v>51</v>
      </c>
      <c r="C68" s="201">
        <v>51259324</v>
      </c>
      <c r="D68" s="202" t="s">
        <v>52</v>
      </c>
      <c r="E68" s="202">
        <v>7000</v>
      </c>
      <c r="F68" s="21">
        <v>359.762</v>
      </c>
      <c r="G68" s="21">
        <v>362.18</v>
      </c>
      <c r="H68" s="18">
        <f>(G68-F68)*E68</f>
        <v>16926.000000000044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201">
        <v>51491618</v>
      </c>
      <c r="D69" s="202" t="s">
        <v>62</v>
      </c>
      <c r="E69" s="201">
        <v>40</v>
      </c>
      <c r="F69" s="28">
        <v>906.75800000000004</v>
      </c>
      <c r="G69" s="28">
        <v>918.92899999999997</v>
      </c>
      <c r="H69" s="18">
        <f>(G69-F69)*E69</f>
        <v>486.83999999999742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201">
        <v>51491624</v>
      </c>
      <c r="D70" s="202" t="s">
        <v>62</v>
      </c>
      <c r="E70" s="201">
        <v>40</v>
      </c>
      <c r="F70" s="28">
        <v>122.815</v>
      </c>
      <c r="G70" s="28">
        <v>124.15600000000001</v>
      </c>
      <c r="H70" s="18">
        <f>(G70-F70)*E70</f>
        <v>53.640000000000327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37254.000000000015</v>
      </c>
      <c r="I71" s="85">
        <f>H71-H74-H69-H70</f>
        <v>-1158.479999999714</v>
      </c>
      <c r="J71" s="25">
        <f>I71/H71</f>
        <v>-3.1096794975028548E-2</v>
      </c>
    </row>
    <row r="72" spans="1:10" ht="15.75" x14ac:dyDescent="0.25">
      <c r="A72" s="27" t="s">
        <v>90</v>
      </c>
      <c r="B72" s="201" t="s">
        <v>51</v>
      </c>
      <c r="C72" s="86">
        <v>51097588</v>
      </c>
      <c r="D72" s="202" t="s">
        <v>74</v>
      </c>
      <c r="E72" s="201">
        <v>12000</v>
      </c>
      <c r="F72" s="21">
        <v>283.209</v>
      </c>
      <c r="G72" s="21">
        <v>284.90199999999999</v>
      </c>
      <c r="H72" s="18">
        <f>(G72-F72)*E72</f>
        <v>20315.999999999804</v>
      </c>
      <c r="I72" s="51"/>
      <c r="J72" s="58"/>
    </row>
    <row r="73" spans="1:10" ht="15.75" x14ac:dyDescent="0.25">
      <c r="A73" s="27" t="s">
        <v>91</v>
      </c>
      <c r="B73" s="201" t="s">
        <v>51</v>
      </c>
      <c r="C73" s="86">
        <v>51431335</v>
      </c>
      <c r="D73" s="202" t="s">
        <v>74</v>
      </c>
      <c r="E73" s="201">
        <v>12000</v>
      </c>
      <c r="F73" s="21">
        <v>220.86600000000001</v>
      </c>
      <c r="G73" s="21">
        <v>222.32900000000001</v>
      </c>
      <c r="H73" s="18">
        <f>(G73-F73)*E73</f>
        <v>17555.999999999927</v>
      </c>
      <c r="I73" s="51"/>
      <c r="J73" s="58"/>
    </row>
    <row r="74" spans="1:10" ht="15.75" x14ac:dyDescent="0.25">
      <c r="A74" s="87" t="s">
        <v>92</v>
      </c>
      <c r="B74" s="201" t="s">
        <v>27</v>
      </c>
      <c r="C74" s="201"/>
      <c r="D74" s="202"/>
      <c r="E74" s="201"/>
      <c r="F74" s="21"/>
      <c r="G74" s="21"/>
      <c r="H74" s="48">
        <f>H72+ H73</f>
        <v>37871.999999999731</v>
      </c>
      <c r="I74" s="85">
        <f>H74-H82</f>
        <v>-94.200000000309956</v>
      </c>
      <c r="J74" s="25">
        <f>I74/H74</f>
        <v>-2.4873257287787976E-3</v>
      </c>
    </row>
    <row r="75" spans="1:10" ht="15.75" x14ac:dyDescent="0.25">
      <c r="A75" s="27" t="s">
        <v>93</v>
      </c>
      <c r="B75" s="201" t="s">
        <v>51</v>
      </c>
      <c r="C75" s="86">
        <v>51097676</v>
      </c>
      <c r="D75" s="88" t="s">
        <v>62</v>
      </c>
      <c r="E75" s="201">
        <v>2400</v>
      </c>
      <c r="F75" s="21">
        <v>578.10699999999997</v>
      </c>
      <c r="G75" s="21">
        <v>582.27599999999995</v>
      </c>
      <c r="H75" s="18">
        <f>(G75-F75)*E75</f>
        <v>10005.599999999959</v>
      </c>
      <c r="I75" s="51"/>
      <c r="J75" s="58"/>
    </row>
    <row r="76" spans="1:10" ht="15.75" x14ac:dyDescent="0.25">
      <c r="A76" s="27" t="s">
        <v>94</v>
      </c>
      <c r="B76" s="201" t="s">
        <v>51</v>
      </c>
      <c r="C76" s="86">
        <v>51431355</v>
      </c>
      <c r="D76" s="202" t="s">
        <v>21</v>
      </c>
      <c r="E76" s="202">
        <v>3600</v>
      </c>
      <c r="F76" s="21">
        <v>320.74200000000002</v>
      </c>
      <c r="G76" s="21">
        <v>322.12200000000001</v>
      </c>
      <c r="H76" s="18">
        <f>(G76-F76)*E76</f>
        <v>4967.9999999999836</v>
      </c>
      <c r="I76" s="51"/>
      <c r="J76" s="52"/>
    </row>
    <row r="77" spans="1:10" ht="15.75" x14ac:dyDescent="0.25">
      <c r="A77" s="27" t="s">
        <v>95</v>
      </c>
      <c r="B77" s="201" t="s">
        <v>51</v>
      </c>
      <c r="C77" s="86">
        <v>51259331</v>
      </c>
      <c r="D77" s="88" t="s">
        <v>37</v>
      </c>
      <c r="E77" s="201">
        <v>600</v>
      </c>
      <c r="F77" s="21">
        <v>135.19499999999999</v>
      </c>
      <c r="G77" s="21">
        <v>136.34</v>
      </c>
      <c r="H77" s="18">
        <f>(G77-F77)*E77</f>
        <v>687.00000000000614</v>
      </c>
      <c r="I77" s="51"/>
      <c r="J77" s="52"/>
    </row>
    <row r="78" spans="1:10" ht="15.75" x14ac:dyDescent="0.25">
      <c r="A78" s="27" t="s">
        <v>96</v>
      </c>
      <c r="B78" s="201" t="s">
        <v>51</v>
      </c>
      <c r="C78" s="86">
        <v>51259326</v>
      </c>
      <c r="D78" s="88" t="s">
        <v>14</v>
      </c>
      <c r="E78" s="201">
        <v>7200</v>
      </c>
      <c r="F78" s="21">
        <v>283.81400000000002</v>
      </c>
      <c r="G78" s="21">
        <v>285.25900000000001</v>
      </c>
      <c r="H78" s="18">
        <f>(G78-F78)*E78</f>
        <v>10403.999999999951</v>
      </c>
      <c r="I78" s="51"/>
      <c r="J78" s="52"/>
    </row>
    <row r="79" spans="1:10" ht="15.75" x14ac:dyDescent="0.25">
      <c r="A79" s="27" t="s">
        <v>97</v>
      </c>
      <c r="B79" s="201" t="s">
        <v>51</v>
      </c>
      <c r="C79" s="86">
        <v>51431351</v>
      </c>
      <c r="D79" s="88" t="s">
        <v>14</v>
      </c>
      <c r="E79" s="201">
        <v>7200</v>
      </c>
      <c r="F79" s="21">
        <v>193.51599999999999</v>
      </c>
      <c r="G79" s="21">
        <v>195.16900000000001</v>
      </c>
      <c r="H79" s="18">
        <f>(G79-F79)*E79</f>
        <v>11901.600000000144</v>
      </c>
      <c r="I79" s="51"/>
      <c r="J79" s="52"/>
    </row>
    <row r="80" spans="1:10" ht="15.75" x14ac:dyDescent="0.25">
      <c r="A80" s="89" t="s">
        <v>98</v>
      </c>
      <c r="B80" s="201" t="s">
        <v>51</v>
      </c>
      <c r="C80" s="90">
        <v>51097666</v>
      </c>
      <c r="D80" s="88" t="s">
        <v>62</v>
      </c>
      <c r="E80" s="201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201" t="s">
        <v>51</v>
      </c>
      <c r="C81" s="90">
        <v>51259323</v>
      </c>
      <c r="D81" s="88" t="s">
        <v>62</v>
      </c>
      <c r="E81" s="201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37966.200000000041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201" t="s">
        <v>51</v>
      </c>
      <c r="C84" s="106">
        <v>51431297</v>
      </c>
      <c r="D84" s="202" t="s">
        <v>52</v>
      </c>
      <c r="E84" s="100">
        <v>7000</v>
      </c>
      <c r="F84" s="17">
        <v>236.09</v>
      </c>
      <c r="G84" s="17">
        <v>236.91</v>
      </c>
      <c r="H84" s="18">
        <f>(G84-F84)*E84</f>
        <v>5739.9999999999527</v>
      </c>
      <c r="I84" s="107"/>
      <c r="J84" s="108"/>
    </row>
    <row r="85" spans="1:10" ht="15.75" x14ac:dyDescent="0.25">
      <c r="A85" s="105" t="s">
        <v>85</v>
      </c>
      <c r="B85" s="201" t="s">
        <v>51</v>
      </c>
      <c r="C85" s="106">
        <v>51431332</v>
      </c>
      <c r="D85" s="202" t="s">
        <v>52</v>
      </c>
      <c r="E85" s="100">
        <v>7000</v>
      </c>
      <c r="F85" s="21">
        <v>314.93400000000003</v>
      </c>
      <c r="G85" s="21">
        <v>316.69600000000003</v>
      </c>
      <c r="H85" s="18">
        <f>(G85-F85)*E85</f>
        <v>12334.000000000004</v>
      </c>
      <c r="I85" s="201"/>
      <c r="J85" s="58"/>
    </row>
    <row r="86" spans="1:10" ht="15.75" x14ac:dyDescent="0.25">
      <c r="A86" s="27" t="s">
        <v>86</v>
      </c>
      <c r="B86" s="201" t="s">
        <v>102</v>
      </c>
      <c r="C86" s="109">
        <v>150773</v>
      </c>
      <c r="D86" s="202" t="s">
        <v>52</v>
      </c>
      <c r="E86" s="109">
        <v>20</v>
      </c>
      <c r="F86" s="17">
        <v>15393.1</v>
      </c>
      <c r="G86" s="17">
        <v>15402.5</v>
      </c>
      <c r="H86" s="18">
        <f>(G86-F86)*E86</f>
        <v>187.99999999999272</v>
      </c>
      <c r="I86" s="51"/>
      <c r="J86" s="58"/>
    </row>
    <row r="87" spans="1:10" ht="15.75" x14ac:dyDescent="0.25">
      <c r="A87" s="27" t="s">
        <v>88</v>
      </c>
      <c r="B87" s="201" t="s">
        <v>102</v>
      </c>
      <c r="C87" s="109">
        <v>150791</v>
      </c>
      <c r="D87" s="202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203"/>
      <c r="C88" s="32"/>
      <c r="D88" s="82"/>
      <c r="E88" s="82"/>
      <c r="F88" s="21"/>
      <c r="G88" s="21"/>
      <c r="H88" s="48">
        <f>H84+H85</f>
        <v>18073.999999999956</v>
      </c>
      <c r="I88" s="85">
        <f>H88-H91-H86-H87</f>
        <v>481.19999999980428</v>
      </c>
      <c r="J88" s="25">
        <f>I88/H88</f>
        <v>2.6623879606053193E-2</v>
      </c>
    </row>
    <row r="89" spans="1:10" ht="15.75" x14ac:dyDescent="0.25">
      <c r="A89" s="27" t="s">
        <v>103</v>
      </c>
      <c r="B89" s="201" t="s">
        <v>51</v>
      </c>
      <c r="C89" s="106">
        <v>51431342</v>
      </c>
      <c r="D89" s="88" t="s">
        <v>34</v>
      </c>
      <c r="E89" s="201">
        <v>4800</v>
      </c>
      <c r="F89" s="21">
        <v>334.45400000000001</v>
      </c>
      <c r="G89" s="21">
        <v>335.61</v>
      </c>
      <c r="H89" s="18">
        <f>(G89-F89)*E89</f>
        <v>5548.8000000000284</v>
      </c>
      <c r="I89" s="51"/>
      <c r="J89" s="52"/>
    </row>
    <row r="90" spans="1:10" ht="15.75" x14ac:dyDescent="0.25">
      <c r="A90" s="27" t="s">
        <v>104</v>
      </c>
      <c r="B90" s="201" t="s">
        <v>51</v>
      </c>
      <c r="C90" s="106">
        <v>51431343</v>
      </c>
      <c r="D90" s="88" t="s">
        <v>34</v>
      </c>
      <c r="E90" s="201">
        <v>4800</v>
      </c>
      <c r="F90" s="21">
        <v>445.89499999999998</v>
      </c>
      <c r="G90" s="21">
        <v>448.36500000000001</v>
      </c>
      <c r="H90" s="18">
        <f>(G90-F90)*E90</f>
        <v>11856.000000000131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17404.800000000159</v>
      </c>
      <c r="I91" s="85">
        <f>H91-H99</f>
        <v>-158.59999999985303</v>
      </c>
      <c r="J91" s="25">
        <f>I91/H91</f>
        <v>-9.1124287552773707E-3</v>
      </c>
    </row>
    <row r="92" spans="1:10" ht="15.75" x14ac:dyDescent="0.25">
      <c r="A92" s="27" t="s">
        <v>106</v>
      </c>
      <c r="B92" s="201" t="s">
        <v>51</v>
      </c>
      <c r="C92" s="106">
        <v>51431347</v>
      </c>
      <c r="D92" s="202" t="s">
        <v>52</v>
      </c>
      <c r="E92" s="201">
        <v>1200</v>
      </c>
      <c r="F92" s="21">
        <v>998.20399999999995</v>
      </c>
      <c r="G92" s="21">
        <v>1006.627</v>
      </c>
      <c r="H92" s="18">
        <f t="shared" ref="H92:H100" si="4">(G92-F92)*E92</f>
        <v>10107.600000000002</v>
      </c>
      <c r="I92" s="51"/>
      <c r="J92" s="52"/>
    </row>
    <row r="93" spans="1:10" ht="15.75" x14ac:dyDescent="0.25">
      <c r="A93" s="27" t="s">
        <v>107</v>
      </c>
      <c r="B93" s="201" t="s">
        <v>51</v>
      </c>
      <c r="C93" s="106">
        <v>51431339</v>
      </c>
      <c r="D93" s="202" t="s">
        <v>52</v>
      </c>
      <c r="E93" s="201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201" t="s">
        <v>51</v>
      </c>
      <c r="C94" s="106">
        <v>51217244</v>
      </c>
      <c r="D94" s="201" t="s">
        <v>37</v>
      </c>
      <c r="E94" s="201">
        <v>600</v>
      </c>
      <c r="F94" s="30">
        <v>272.666</v>
      </c>
      <c r="G94" s="30">
        <v>275.459</v>
      </c>
      <c r="H94" s="18">
        <f t="shared" si="4"/>
        <v>1675.8000000000038</v>
      </c>
      <c r="I94" s="51"/>
      <c r="J94" s="52"/>
    </row>
    <row r="95" spans="1:10" ht="15.75" x14ac:dyDescent="0.25">
      <c r="A95" s="27" t="s">
        <v>109</v>
      </c>
      <c r="B95" s="201" t="s">
        <v>51</v>
      </c>
      <c r="C95" s="106">
        <v>51217267</v>
      </c>
      <c r="D95" s="88" t="s">
        <v>62</v>
      </c>
      <c r="E95" s="201">
        <v>2400</v>
      </c>
      <c r="F95" s="30">
        <v>19.260000000000002</v>
      </c>
      <c r="G95" s="30">
        <v>19.291</v>
      </c>
      <c r="H95" s="18">
        <f t="shared" si="4"/>
        <v>74.399999999997135</v>
      </c>
      <c r="I95" s="51"/>
      <c r="J95" s="52"/>
    </row>
    <row r="96" spans="1:10" ht="15.75" x14ac:dyDescent="0.25">
      <c r="A96" s="27" t="s">
        <v>110</v>
      </c>
      <c r="B96" s="201" t="s">
        <v>51</v>
      </c>
      <c r="C96" s="201">
        <v>51555165</v>
      </c>
      <c r="D96" s="202" t="s">
        <v>52</v>
      </c>
      <c r="E96" s="201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201" t="s">
        <v>51</v>
      </c>
      <c r="C97" s="106">
        <v>51431346</v>
      </c>
      <c r="D97" s="114" t="s">
        <v>37</v>
      </c>
      <c r="E97" s="114">
        <v>600</v>
      </c>
      <c r="F97" s="30">
        <v>313.10399999999998</v>
      </c>
      <c r="G97" s="30">
        <v>313.54599999999999</v>
      </c>
      <c r="H97" s="115">
        <f t="shared" si="4"/>
        <v>265.20000000000437</v>
      </c>
      <c r="I97" s="116"/>
      <c r="J97" s="117"/>
    </row>
    <row r="98" spans="1:10" ht="15.75" x14ac:dyDescent="0.25">
      <c r="A98" s="27" t="s">
        <v>112</v>
      </c>
      <c r="B98" s="201" t="s">
        <v>51</v>
      </c>
      <c r="C98" s="106">
        <v>51431352</v>
      </c>
      <c r="D98" s="88" t="s">
        <v>21</v>
      </c>
      <c r="E98" s="201">
        <v>3600</v>
      </c>
      <c r="F98" s="21">
        <v>176.89599999999999</v>
      </c>
      <c r="G98" s="21">
        <v>178.35499999999999</v>
      </c>
      <c r="H98" s="18">
        <f t="shared" si="4"/>
        <v>5252.4000000000115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17563.400000000012</v>
      </c>
      <c r="I99" s="51"/>
      <c r="J99" s="52"/>
    </row>
    <row r="100" spans="1:10" ht="15.75" x14ac:dyDescent="0.25">
      <c r="A100" s="45" t="s">
        <v>113</v>
      </c>
      <c r="B100" s="201" t="s">
        <v>51</v>
      </c>
      <c r="C100" s="120">
        <v>51431357</v>
      </c>
      <c r="D100" s="202" t="s">
        <v>62</v>
      </c>
      <c r="E100" s="202">
        <v>14000</v>
      </c>
      <c r="F100" s="28">
        <v>718.827</v>
      </c>
      <c r="G100" s="28">
        <v>722.65800000000002</v>
      </c>
      <c r="H100" s="121">
        <f t="shared" si="4"/>
        <v>53634.00000000024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145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153</v>
      </c>
      <c r="G3" s="4" t="s">
        <v>154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204" t="s">
        <v>13</v>
      </c>
      <c r="C5" s="204">
        <v>51555166</v>
      </c>
      <c r="D5" s="204" t="s">
        <v>14</v>
      </c>
      <c r="E5" s="204">
        <v>132000</v>
      </c>
      <c r="F5" s="17">
        <v>2.5190000000000001</v>
      </c>
      <c r="G5" s="17">
        <v>2.5299999999999998</v>
      </c>
      <c r="H5" s="18">
        <f>(G5-F5)*E5</f>
        <v>1451.9999999999573</v>
      </c>
      <c r="I5" s="19"/>
      <c r="J5" s="20"/>
    </row>
    <row r="6" spans="1:10" ht="15.75" x14ac:dyDescent="0.25">
      <c r="A6" s="15" t="s">
        <v>15</v>
      </c>
      <c r="B6" s="204" t="s">
        <v>13</v>
      </c>
      <c r="C6" s="204">
        <v>51555191</v>
      </c>
      <c r="D6" s="204" t="s">
        <v>14</v>
      </c>
      <c r="E6" s="204">
        <v>132000</v>
      </c>
      <c r="F6" s="21">
        <v>308.93799999999999</v>
      </c>
      <c r="G6" s="21">
        <v>310.98599999999999</v>
      </c>
      <c r="H6" s="18">
        <f>(G6-F6)*E6</f>
        <v>270336.00000000023</v>
      </c>
      <c r="I6" s="19"/>
      <c r="J6" s="20"/>
    </row>
    <row r="7" spans="1:10" ht="15.75" x14ac:dyDescent="0.25">
      <c r="A7" s="219" t="s">
        <v>16</v>
      </c>
      <c r="B7" s="220"/>
      <c r="C7" s="204"/>
      <c r="D7" s="205"/>
      <c r="E7" s="204"/>
      <c r="H7" s="23">
        <f>H5+H6</f>
        <v>271788.00000000017</v>
      </c>
      <c r="I7" s="24">
        <f>H7-H10-H20</f>
        <v>2472.0000000017317</v>
      </c>
      <c r="J7" s="25">
        <f>I7/H7</f>
        <v>9.0953242968848155E-3</v>
      </c>
    </row>
    <row r="8" spans="1:10" ht="15.75" x14ac:dyDescent="0.25">
      <c r="A8" s="26" t="s">
        <v>17</v>
      </c>
      <c r="B8" s="204" t="s">
        <v>13</v>
      </c>
      <c r="C8" s="204">
        <v>51097629</v>
      </c>
      <c r="D8" s="205" t="s">
        <v>14</v>
      </c>
      <c r="E8" s="204">
        <v>42000</v>
      </c>
      <c r="F8" s="21">
        <v>964.20500000000004</v>
      </c>
      <c r="G8" s="21">
        <v>968.67399999999998</v>
      </c>
      <c r="H8" s="18">
        <f>(G8-F8)*E8</f>
        <v>187697.99999999735</v>
      </c>
      <c r="I8" s="19"/>
      <c r="J8" s="20"/>
    </row>
    <row r="9" spans="1:10" ht="15.75" x14ac:dyDescent="0.25">
      <c r="A9" s="26" t="s">
        <v>18</v>
      </c>
      <c r="B9" s="204" t="s">
        <v>13</v>
      </c>
      <c r="C9" s="204">
        <v>51616820</v>
      </c>
      <c r="D9" s="205" t="s">
        <v>14</v>
      </c>
      <c r="E9" s="204">
        <v>42000</v>
      </c>
      <c r="F9" s="21">
        <v>4.1509999999999998</v>
      </c>
      <c r="G9" s="21">
        <v>4.173</v>
      </c>
      <c r="H9" s="18">
        <f>(G9-F9)*E9</f>
        <v>924.00000000001012</v>
      </c>
      <c r="I9" s="19"/>
      <c r="J9" s="20"/>
    </row>
    <row r="10" spans="1:10" ht="15.75" x14ac:dyDescent="0.25">
      <c r="A10" s="219" t="s">
        <v>19</v>
      </c>
      <c r="B10" s="220"/>
      <c r="C10" s="204"/>
      <c r="D10" s="205"/>
      <c r="E10" s="204"/>
      <c r="F10" s="21"/>
      <c r="G10" s="21"/>
      <c r="H10" s="23">
        <f>H8+H9</f>
        <v>188621.99999999735</v>
      </c>
      <c r="I10" s="24">
        <f>H10-H17</f>
        <v>-21.000000005209586</v>
      </c>
      <c r="J10" s="25">
        <f>I10/H10</f>
        <v>-1.1133377869606875E-4</v>
      </c>
    </row>
    <row r="11" spans="1:10" ht="15.75" x14ac:dyDescent="0.25">
      <c r="A11" s="27" t="s">
        <v>20</v>
      </c>
      <c r="B11" s="204" t="s">
        <v>13</v>
      </c>
      <c r="C11" s="204">
        <v>51217286</v>
      </c>
      <c r="D11" s="205" t="s">
        <v>21</v>
      </c>
      <c r="E11" s="204">
        <v>21000</v>
      </c>
      <c r="F11" s="21">
        <v>765.96600000000001</v>
      </c>
      <c r="G11" s="21">
        <v>769.36800000000005</v>
      </c>
      <c r="H11" s="18">
        <f t="shared" ref="H11:H16" si="0">(G11-F11)*E11</f>
        <v>71442.000000000917</v>
      </c>
      <c r="I11" s="19"/>
      <c r="J11" s="20"/>
    </row>
    <row r="12" spans="1:10" ht="15.75" x14ac:dyDescent="0.25">
      <c r="A12" s="27" t="s">
        <v>22</v>
      </c>
      <c r="B12" s="204" t="s">
        <v>13</v>
      </c>
      <c r="C12" s="204">
        <v>51217292</v>
      </c>
      <c r="D12" s="205" t="s">
        <v>21</v>
      </c>
      <c r="E12" s="204">
        <v>21000</v>
      </c>
      <c r="F12" s="28">
        <v>3.1309999999999998</v>
      </c>
      <c r="G12" s="28">
        <v>3.1560000000000001</v>
      </c>
      <c r="H12" s="18">
        <f>(G12-F12)*E12</f>
        <v>525.0000000000075</v>
      </c>
      <c r="I12" s="19"/>
      <c r="J12" s="20"/>
    </row>
    <row r="13" spans="1:10" ht="15.75" x14ac:dyDescent="0.25">
      <c r="A13" s="27" t="s">
        <v>23</v>
      </c>
      <c r="B13" s="204" t="s">
        <v>13</v>
      </c>
      <c r="C13" s="204">
        <v>51217271</v>
      </c>
      <c r="D13" s="205" t="s">
        <v>21</v>
      </c>
      <c r="E13" s="204">
        <v>21000</v>
      </c>
      <c r="F13" s="21">
        <v>558.37699999999995</v>
      </c>
      <c r="G13" s="21">
        <v>561.10199999999998</v>
      </c>
      <c r="H13" s="18">
        <f t="shared" si="0"/>
        <v>57225.00000000048</v>
      </c>
      <c r="I13" s="19"/>
      <c r="J13" s="20"/>
    </row>
    <row r="14" spans="1:10" ht="15.75" x14ac:dyDescent="0.25">
      <c r="A14" s="27" t="s">
        <v>24</v>
      </c>
      <c r="B14" s="204" t="s">
        <v>13</v>
      </c>
      <c r="C14" s="204">
        <v>51217276</v>
      </c>
      <c r="D14" s="205" t="s">
        <v>21</v>
      </c>
      <c r="E14" s="204">
        <v>21000</v>
      </c>
      <c r="F14" s="28">
        <v>0.433</v>
      </c>
      <c r="G14" s="28">
        <v>0.436</v>
      </c>
      <c r="H14" s="18">
        <f>(G14-F14)*E14</f>
        <v>63.000000000000057</v>
      </c>
      <c r="I14" s="19"/>
      <c r="J14" s="20"/>
    </row>
    <row r="15" spans="1:10" ht="15.75" x14ac:dyDescent="0.25">
      <c r="A15" s="27" t="s">
        <v>25</v>
      </c>
      <c r="B15" s="204" t="s">
        <v>13</v>
      </c>
      <c r="C15" s="204">
        <v>51100990</v>
      </c>
      <c r="D15" s="205" t="s">
        <v>21</v>
      </c>
      <c r="E15" s="204">
        <v>21000</v>
      </c>
      <c r="F15" s="29">
        <v>608.66399999999999</v>
      </c>
      <c r="G15" s="29">
        <v>611.47900000000004</v>
      </c>
      <c r="H15" s="18">
        <f t="shared" si="0"/>
        <v>59115.00000000115</v>
      </c>
      <c r="I15" s="19"/>
      <c r="J15" s="20"/>
    </row>
    <row r="16" spans="1:10" ht="15.75" x14ac:dyDescent="0.25">
      <c r="A16" s="27" t="s">
        <v>26</v>
      </c>
      <c r="B16" s="204" t="s">
        <v>13</v>
      </c>
      <c r="C16" s="204">
        <v>51097622</v>
      </c>
      <c r="D16" s="205" t="s">
        <v>21</v>
      </c>
      <c r="E16" s="204">
        <v>21000</v>
      </c>
      <c r="F16" s="21">
        <v>2.6760000000000002</v>
      </c>
      <c r="G16" s="21">
        <v>2.6890000000000001</v>
      </c>
      <c r="H16" s="18">
        <f t="shared" si="0"/>
        <v>272.9999999999979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204"/>
      <c r="D17" s="205"/>
      <c r="E17" s="204"/>
      <c r="F17" s="21"/>
      <c r="G17" s="21"/>
      <c r="H17" s="23">
        <f>H11+H12+H13+H14+H15+H16</f>
        <v>188643.00000000256</v>
      </c>
      <c r="I17" s="19"/>
      <c r="J17" s="20"/>
    </row>
    <row r="18" spans="1:10" ht="15.75" x14ac:dyDescent="0.25">
      <c r="A18" s="26" t="s">
        <v>29</v>
      </c>
      <c r="B18" s="204" t="s">
        <v>13</v>
      </c>
      <c r="C18" s="204">
        <v>51097617</v>
      </c>
      <c r="D18" s="205" t="s">
        <v>30</v>
      </c>
      <c r="E18" s="204">
        <v>18000</v>
      </c>
      <c r="F18" s="30">
        <v>721.93399999999997</v>
      </c>
      <c r="G18" s="30">
        <v>726.41700000000003</v>
      </c>
      <c r="H18" s="18">
        <f>(G18-F18)*E18</f>
        <v>80694.000000001091</v>
      </c>
      <c r="I18" s="19"/>
      <c r="J18" s="20"/>
    </row>
    <row r="19" spans="1:10" ht="15.75" x14ac:dyDescent="0.25">
      <c r="A19" s="26" t="s">
        <v>31</v>
      </c>
      <c r="B19" s="204" t="s">
        <v>13</v>
      </c>
      <c r="C19" s="204">
        <v>51097655</v>
      </c>
      <c r="D19" s="205" t="s">
        <v>30</v>
      </c>
      <c r="E19" s="204">
        <v>18000</v>
      </c>
      <c r="F19" s="30">
        <v>6.1269999999999998</v>
      </c>
      <c r="G19" s="30">
        <v>6.1269999999999998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204"/>
      <c r="D20" s="205"/>
      <c r="E20" s="204"/>
      <c r="F20" s="30"/>
      <c r="G20" s="30"/>
      <c r="H20" s="23">
        <f>H18+H19</f>
        <v>80694.000000001091</v>
      </c>
      <c r="I20" s="24">
        <f>H20-H35</f>
        <v>4220.40000000078</v>
      </c>
      <c r="J20" s="25">
        <f>I20/H20</f>
        <v>5.2301286341000855E-2</v>
      </c>
    </row>
    <row r="21" spans="1:10" ht="15.75" x14ac:dyDescent="0.25">
      <c r="A21" s="15" t="s">
        <v>33</v>
      </c>
      <c r="B21" s="204" t="s">
        <v>13</v>
      </c>
      <c r="C21" s="204">
        <v>51217282</v>
      </c>
      <c r="D21" s="205" t="s">
        <v>34</v>
      </c>
      <c r="E21" s="204">
        <v>4800</v>
      </c>
      <c r="F21" s="21">
        <v>378.64699999999999</v>
      </c>
      <c r="G21" s="21">
        <v>378.96100000000001</v>
      </c>
      <c r="H21" s="18">
        <f t="shared" ref="H21:H34" si="1">(G21-F21)*E21</f>
        <v>1507.2000000001026</v>
      </c>
      <c r="I21" s="19" t="s">
        <v>27</v>
      </c>
      <c r="J21" s="20"/>
    </row>
    <row r="22" spans="1:10" ht="15.75" x14ac:dyDescent="0.25">
      <c r="A22" s="15" t="s">
        <v>35</v>
      </c>
      <c r="B22" s="204" t="s">
        <v>13</v>
      </c>
      <c r="C22" s="204">
        <v>51217274</v>
      </c>
      <c r="D22" s="205" t="s">
        <v>34</v>
      </c>
      <c r="E22" s="204">
        <v>4800</v>
      </c>
      <c r="F22" s="21">
        <v>1143.597</v>
      </c>
      <c r="G22" s="21">
        <v>1149.4259999999999</v>
      </c>
      <c r="H22" s="18">
        <f t="shared" si="1"/>
        <v>27979.199999999764</v>
      </c>
      <c r="I22" s="19"/>
      <c r="J22" s="20"/>
    </row>
    <row r="23" spans="1:10" ht="15.75" x14ac:dyDescent="0.25">
      <c r="A23" s="15" t="s">
        <v>36</v>
      </c>
      <c r="B23" s="204" t="s">
        <v>13</v>
      </c>
      <c r="C23" s="204">
        <v>51097664</v>
      </c>
      <c r="D23" s="205" t="s">
        <v>37</v>
      </c>
      <c r="E23" s="204">
        <v>600</v>
      </c>
      <c r="F23" s="21">
        <v>4.2069999999999999</v>
      </c>
      <c r="G23" s="21">
        <v>4.2210000000000001</v>
      </c>
      <c r="H23" s="18">
        <f t="shared" si="1"/>
        <v>8.4000000000001407</v>
      </c>
      <c r="I23" s="19"/>
      <c r="J23" s="20"/>
    </row>
    <row r="24" spans="1:10" ht="15.75" x14ac:dyDescent="0.25">
      <c r="A24" s="15" t="s">
        <v>38</v>
      </c>
      <c r="B24" s="204" t="s">
        <v>13</v>
      </c>
      <c r="C24" s="204">
        <v>51097615</v>
      </c>
      <c r="D24" s="205" t="s">
        <v>37</v>
      </c>
      <c r="E24" s="204">
        <v>600</v>
      </c>
      <c r="F24" s="21">
        <v>31.992999999999999</v>
      </c>
      <c r="G24" s="21">
        <v>32.381</v>
      </c>
      <c r="H24" s="18">
        <f t="shared" si="1"/>
        <v>232.80000000000101</v>
      </c>
      <c r="I24" s="19"/>
      <c r="J24" s="20"/>
    </row>
    <row r="25" spans="1:10" ht="15.75" x14ac:dyDescent="0.25">
      <c r="A25" s="15" t="s">
        <v>39</v>
      </c>
      <c r="B25" s="204" t="s">
        <v>13</v>
      </c>
      <c r="C25" s="204">
        <v>51217264</v>
      </c>
      <c r="D25" s="205" t="s">
        <v>37</v>
      </c>
      <c r="E25" s="204">
        <v>600</v>
      </c>
      <c r="F25" s="21">
        <v>80.233999999999995</v>
      </c>
      <c r="G25" s="21">
        <v>81.046000000000006</v>
      </c>
      <c r="H25" s="18">
        <f t="shared" si="1"/>
        <v>487.20000000000709</v>
      </c>
      <c r="I25" s="19"/>
      <c r="J25" s="20"/>
    </row>
    <row r="26" spans="1:10" ht="15.75" x14ac:dyDescent="0.25">
      <c r="A26" s="15" t="s">
        <v>40</v>
      </c>
      <c r="B26" s="204" t="s">
        <v>13</v>
      </c>
      <c r="C26" s="204">
        <v>51217288</v>
      </c>
      <c r="D26" s="205" t="s">
        <v>37</v>
      </c>
      <c r="E26" s="204">
        <v>600</v>
      </c>
      <c r="F26" s="21">
        <v>19.407</v>
      </c>
      <c r="G26" s="21">
        <v>19.437000000000001</v>
      </c>
      <c r="H26" s="18">
        <f t="shared" si="1"/>
        <v>18.000000000000682</v>
      </c>
      <c r="I26" s="19" t="s">
        <v>27</v>
      </c>
      <c r="J26" s="20"/>
    </row>
    <row r="27" spans="1:10" ht="15.75" x14ac:dyDescent="0.25">
      <c r="A27" s="15" t="s">
        <v>41</v>
      </c>
      <c r="B27" s="204" t="s">
        <v>13</v>
      </c>
      <c r="C27" s="204">
        <v>51217279</v>
      </c>
      <c r="D27" s="205" t="s">
        <v>37</v>
      </c>
      <c r="E27" s="204">
        <v>600</v>
      </c>
      <c r="F27" s="21">
        <v>13.432</v>
      </c>
      <c r="G27" s="21">
        <v>13.486000000000001</v>
      </c>
      <c r="H27" s="18">
        <f t="shared" si="1"/>
        <v>32.400000000000162</v>
      </c>
      <c r="I27" s="19" t="s">
        <v>27</v>
      </c>
      <c r="J27" s="20"/>
    </row>
    <row r="28" spans="1:10" ht="15.75" x14ac:dyDescent="0.25">
      <c r="A28" s="15" t="s">
        <v>42</v>
      </c>
      <c r="B28" s="204" t="s">
        <v>13</v>
      </c>
      <c r="C28" s="204">
        <v>51217272</v>
      </c>
      <c r="D28" s="205" t="s">
        <v>37</v>
      </c>
      <c r="E28" s="204">
        <v>600</v>
      </c>
      <c r="F28" s="31">
        <v>13.177</v>
      </c>
      <c r="G28" s="31">
        <v>13.228999999999999</v>
      </c>
      <c r="H28" s="18">
        <f t="shared" si="1"/>
        <v>31.199999999999761</v>
      </c>
      <c r="I28" s="19"/>
      <c r="J28" s="20"/>
    </row>
    <row r="29" spans="1:10" ht="15.75" x14ac:dyDescent="0.25">
      <c r="A29" s="15" t="s">
        <v>43</v>
      </c>
      <c r="B29" s="204" t="s">
        <v>13</v>
      </c>
      <c r="C29" s="204">
        <v>51616744</v>
      </c>
      <c r="D29" s="205">
        <f>300/5</f>
        <v>60</v>
      </c>
      <c r="E29" s="204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204" t="s">
        <v>13</v>
      </c>
      <c r="C30" s="204">
        <v>51555226</v>
      </c>
      <c r="D30" s="205">
        <f>300/5</f>
        <v>60</v>
      </c>
      <c r="E30" s="204">
        <v>3600</v>
      </c>
      <c r="F30" s="31">
        <v>377.21899999999999</v>
      </c>
      <c r="G30" s="31">
        <v>381.47800000000001</v>
      </c>
      <c r="H30" s="18">
        <f>(G30-F30)*E30</f>
        <v>15332.400000000052</v>
      </c>
      <c r="I30" s="19"/>
      <c r="J30" s="20"/>
    </row>
    <row r="31" spans="1:10" ht="15.75" x14ac:dyDescent="0.25">
      <c r="A31" s="15" t="s">
        <v>45</v>
      </c>
      <c r="B31" s="204" t="s">
        <v>13</v>
      </c>
      <c r="C31" s="204">
        <v>51097658</v>
      </c>
      <c r="D31" s="205" t="s">
        <v>34</v>
      </c>
      <c r="E31" s="204">
        <v>4800</v>
      </c>
      <c r="F31" s="31">
        <v>549.45299999999997</v>
      </c>
      <c r="G31" s="31">
        <v>553.32000000000005</v>
      </c>
      <c r="H31" s="18">
        <f t="shared" si="1"/>
        <v>18561.600000000362</v>
      </c>
      <c r="I31" s="19"/>
      <c r="J31" s="20"/>
    </row>
    <row r="32" spans="1:10" ht="15.75" x14ac:dyDescent="0.25">
      <c r="A32" s="15" t="s">
        <v>46</v>
      </c>
      <c r="B32" s="204" t="s">
        <v>13</v>
      </c>
      <c r="C32" s="204">
        <v>51097635</v>
      </c>
      <c r="D32" s="205" t="s">
        <v>34</v>
      </c>
      <c r="E32" s="204">
        <v>4800</v>
      </c>
      <c r="F32" s="31">
        <v>48.436999999999998</v>
      </c>
      <c r="G32" s="31">
        <v>48.438000000000002</v>
      </c>
      <c r="H32" s="18">
        <f t="shared" si="1"/>
        <v>4.8000000000229193</v>
      </c>
      <c r="I32" s="19"/>
      <c r="J32" s="20"/>
    </row>
    <row r="33" spans="1:10" ht="15.75" x14ac:dyDescent="0.25">
      <c r="A33" s="15" t="s">
        <v>47</v>
      </c>
      <c r="B33" s="204" t="s">
        <v>13</v>
      </c>
      <c r="C33" s="32">
        <v>51097633</v>
      </c>
      <c r="D33" s="205" t="s">
        <v>34</v>
      </c>
      <c r="E33" s="204">
        <v>4800</v>
      </c>
      <c r="F33" s="31">
        <v>105.929</v>
      </c>
      <c r="G33" s="31">
        <v>108.423</v>
      </c>
      <c r="H33" s="33">
        <f t="shared" si="1"/>
        <v>11971.199999999999</v>
      </c>
      <c r="I33" s="34"/>
      <c r="J33" s="35"/>
    </row>
    <row r="34" spans="1:10" ht="15.75" x14ac:dyDescent="0.25">
      <c r="A34" s="15" t="s">
        <v>116</v>
      </c>
      <c r="B34" s="204" t="s">
        <v>13</v>
      </c>
      <c r="C34" s="32">
        <v>51097662</v>
      </c>
      <c r="D34" s="205" t="s">
        <v>34</v>
      </c>
      <c r="E34" s="204">
        <v>4800</v>
      </c>
      <c r="F34" s="31">
        <v>1.8480000000000001</v>
      </c>
      <c r="G34" s="31">
        <v>1.9119999999999999</v>
      </c>
      <c r="H34" s="33">
        <f t="shared" si="1"/>
        <v>307.19999999999919</v>
      </c>
      <c r="I34" s="34"/>
      <c r="J34" s="35"/>
    </row>
    <row r="35" spans="1:10" ht="15.75" x14ac:dyDescent="0.25">
      <c r="A35" s="219" t="s">
        <v>48</v>
      </c>
      <c r="B35" s="220"/>
      <c r="C35" s="204"/>
      <c r="D35" s="205"/>
      <c r="E35" s="204"/>
      <c r="F35" s="36"/>
      <c r="G35" s="36"/>
      <c r="H35" s="23">
        <f>H21+H22+H23+H24+H25+H26+H27+H28+H29+H30+H31+H32+H33+H34</f>
        <v>76473.600000000311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204" t="s">
        <v>51</v>
      </c>
      <c r="C37" s="204">
        <v>51555209</v>
      </c>
      <c r="D37" s="205" t="s">
        <v>52</v>
      </c>
      <c r="E37" s="204">
        <v>7000</v>
      </c>
      <c r="F37" s="17">
        <v>4.3209999999999997</v>
      </c>
      <c r="G37" s="17">
        <v>4.375</v>
      </c>
      <c r="H37" s="41">
        <f>(G37-F37)*E37</f>
        <v>378.00000000000188</v>
      </c>
      <c r="I37" s="42"/>
      <c r="J37" s="14"/>
    </row>
    <row r="38" spans="1:10" ht="15.75" x14ac:dyDescent="0.25">
      <c r="A38" s="15" t="s">
        <v>53</v>
      </c>
      <c r="B38" s="204" t="s">
        <v>51</v>
      </c>
      <c r="C38" s="204">
        <v>51555209</v>
      </c>
      <c r="D38" s="205" t="s">
        <v>52</v>
      </c>
      <c r="E38" s="204">
        <v>7000</v>
      </c>
      <c r="F38" s="21">
        <v>8.9760000000000009</v>
      </c>
      <c r="G38" s="21">
        <v>9.0210000000000008</v>
      </c>
      <c r="H38" s="18">
        <f>(G38-F38)*E38</f>
        <v>314.99999999999949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204" t="s">
        <v>51</v>
      </c>
      <c r="C40" s="204">
        <v>51097674</v>
      </c>
      <c r="D40" s="204" t="s">
        <v>14</v>
      </c>
      <c r="E40" s="204">
        <v>7200</v>
      </c>
      <c r="F40" s="21">
        <v>517.65899999999999</v>
      </c>
      <c r="G40" s="21">
        <v>520.14700000000005</v>
      </c>
      <c r="H40" s="18">
        <f>(G40-F40)*E40</f>
        <v>17913.600000000406</v>
      </c>
      <c r="I40" s="47"/>
      <c r="J40" s="20"/>
    </row>
    <row r="41" spans="1:10" ht="15.75" x14ac:dyDescent="0.25">
      <c r="A41" s="27" t="s">
        <v>56</v>
      </c>
      <c r="B41" s="204" t="s">
        <v>51</v>
      </c>
      <c r="C41" s="204">
        <v>51259257</v>
      </c>
      <c r="D41" s="204" t="s">
        <v>14</v>
      </c>
      <c r="E41" s="204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204"/>
      <c r="C42" s="204"/>
      <c r="D42" s="204"/>
      <c r="E42" s="204"/>
      <c r="F42" s="21"/>
      <c r="G42" s="21"/>
      <c r="H42" s="48">
        <f>H40+H41</f>
        <v>17913.600000000406</v>
      </c>
      <c r="I42" s="24">
        <f>H42-H50</f>
        <v>-109.99999999970169</v>
      </c>
      <c r="J42" s="25">
        <f>I42/H42</f>
        <v>-6.1405859235273306E-3</v>
      </c>
    </row>
    <row r="43" spans="1:10" ht="15.75" x14ac:dyDescent="0.25">
      <c r="A43" s="15" t="s">
        <v>58</v>
      </c>
      <c r="B43" s="204"/>
      <c r="C43" s="204"/>
      <c r="D43" s="205"/>
      <c r="E43" s="204"/>
      <c r="H43" s="18"/>
      <c r="I43" s="43"/>
      <c r="J43" s="20"/>
    </row>
    <row r="44" spans="1:10" ht="15.75" x14ac:dyDescent="0.25">
      <c r="A44" s="27" t="s">
        <v>59</v>
      </c>
      <c r="B44" s="204" t="s">
        <v>51</v>
      </c>
      <c r="C44" s="32">
        <v>51097648</v>
      </c>
      <c r="D44" s="204" t="s">
        <v>52</v>
      </c>
      <c r="E44" s="204">
        <v>1200</v>
      </c>
      <c r="F44" s="21">
        <v>423.64400000000001</v>
      </c>
      <c r="G44" s="21">
        <v>425.70299999999997</v>
      </c>
      <c r="H44" s="33">
        <f>(G44-F44)*E44</f>
        <v>2470.7999999999629</v>
      </c>
      <c r="I44" s="43"/>
      <c r="J44" s="20"/>
    </row>
    <row r="45" spans="1:10" ht="15.75" x14ac:dyDescent="0.25">
      <c r="A45" s="27" t="s">
        <v>60</v>
      </c>
      <c r="B45" s="204" t="s">
        <v>51</v>
      </c>
      <c r="C45" s="32">
        <v>50555043</v>
      </c>
      <c r="D45" s="204" t="s">
        <v>52</v>
      </c>
      <c r="E45" s="204">
        <v>1200</v>
      </c>
      <c r="F45" s="21">
        <v>1775.845</v>
      </c>
      <c r="G45" s="21">
        <v>1784.4390000000001</v>
      </c>
      <c r="H45" s="33">
        <f>(G45-F45)*E45</f>
        <v>10312.800000000061</v>
      </c>
      <c r="I45" s="43"/>
      <c r="J45" s="20"/>
    </row>
    <row r="46" spans="1:10" ht="15.75" x14ac:dyDescent="0.25">
      <c r="A46" s="27" t="s">
        <v>61</v>
      </c>
      <c r="B46" s="204" t="s">
        <v>51</v>
      </c>
      <c r="C46" s="32">
        <v>51259336</v>
      </c>
      <c r="D46" s="204" t="s">
        <v>62</v>
      </c>
      <c r="E46" s="204">
        <v>2400</v>
      </c>
      <c r="F46" s="21">
        <v>3.698</v>
      </c>
      <c r="G46" s="21">
        <v>3.7109999999999999</v>
      </c>
      <c r="H46" s="33">
        <f>(G46-F46)*E46</f>
        <v>31.199999999999761</v>
      </c>
      <c r="I46" s="43"/>
      <c r="J46" s="20"/>
    </row>
    <row r="47" spans="1:10" ht="15.75" x14ac:dyDescent="0.25">
      <c r="A47" s="27" t="s">
        <v>63</v>
      </c>
      <c r="B47" s="204" t="s">
        <v>51</v>
      </c>
      <c r="C47" s="32">
        <v>51259266</v>
      </c>
      <c r="D47" s="204" t="s">
        <v>52</v>
      </c>
      <c r="E47" s="204">
        <v>1200</v>
      </c>
      <c r="F47" s="21">
        <v>860.48199999999997</v>
      </c>
      <c r="G47" s="21">
        <v>864.47400000000005</v>
      </c>
      <c r="H47" s="33">
        <f>(G47-F47)*E47</f>
        <v>4790.4000000000906</v>
      </c>
      <c r="I47" s="43"/>
      <c r="J47" s="20"/>
    </row>
    <row r="48" spans="1:10" ht="15.75" x14ac:dyDescent="0.25">
      <c r="A48" s="27" t="s">
        <v>64</v>
      </c>
      <c r="B48" s="204" t="s">
        <v>51</v>
      </c>
      <c r="C48" s="32">
        <v>51431336</v>
      </c>
      <c r="D48" s="204" t="s">
        <v>52</v>
      </c>
      <c r="E48" s="204">
        <v>1200</v>
      </c>
      <c r="F48" s="21">
        <v>47.103000000000002</v>
      </c>
      <c r="G48" s="21">
        <v>47.41</v>
      </c>
      <c r="H48" s="33">
        <f>(G48-F48)*E48</f>
        <v>368.39999999999407</v>
      </c>
      <c r="I48" s="43"/>
      <c r="J48" s="20"/>
    </row>
    <row r="49" spans="1:10" ht="15.75" x14ac:dyDescent="0.25">
      <c r="A49" s="15" t="s">
        <v>65</v>
      </c>
      <c r="B49" s="204" t="s">
        <v>66</v>
      </c>
      <c r="C49" s="204">
        <v>49174</v>
      </c>
      <c r="D49" s="205" t="s">
        <v>52</v>
      </c>
      <c r="E49" s="204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18023.600000000108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204" t="s">
        <v>51</v>
      </c>
      <c r="C52" s="204">
        <v>51097603</v>
      </c>
      <c r="D52" s="205" t="s">
        <v>52</v>
      </c>
      <c r="E52" s="204">
        <v>7000</v>
      </c>
      <c r="F52" s="17">
        <v>1717.7850000000001</v>
      </c>
      <c r="G52" s="17">
        <v>1725.221</v>
      </c>
      <c r="H52" s="18">
        <f>(G52-F52)*E52</f>
        <v>52051.999999999454</v>
      </c>
      <c r="I52" s="43"/>
      <c r="J52" s="20"/>
    </row>
    <row r="53" spans="1:10" ht="15.75" x14ac:dyDescent="0.25">
      <c r="A53" s="27" t="s">
        <v>71</v>
      </c>
      <c r="B53" s="204" t="s">
        <v>51</v>
      </c>
      <c r="C53" s="204">
        <v>51097590</v>
      </c>
      <c r="D53" s="205" t="s">
        <v>52</v>
      </c>
      <c r="E53" s="204">
        <v>7000</v>
      </c>
      <c r="F53" s="21">
        <v>10.374000000000001</v>
      </c>
      <c r="G53" s="21">
        <v>10.45</v>
      </c>
      <c r="H53" s="18">
        <f>(G53-F53)*E53</f>
        <v>531.99999999999113</v>
      </c>
      <c r="I53" s="43"/>
      <c r="J53" s="20"/>
    </row>
    <row r="54" spans="1:10" ht="15.75" x14ac:dyDescent="0.25">
      <c r="A54" s="15" t="s">
        <v>65</v>
      </c>
      <c r="B54" s="204" t="s">
        <v>66</v>
      </c>
      <c r="C54" s="204">
        <v>49174</v>
      </c>
      <c r="D54" s="205" t="s">
        <v>52</v>
      </c>
      <c r="E54" s="204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204"/>
      <c r="D55" s="205"/>
      <c r="E55" s="204"/>
      <c r="F55" s="21"/>
      <c r="G55" s="21"/>
      <c r="H55" s="48">
        <f>H52+H53+H54</f>
        <v>52683.999999999447</v>
      </c>
      <c r="I55" s="47"/>
      <c r="J55" s="59"/>
    </row>
    <row r="56" spans="1:10" ht="15.75" x14ac:dyDescent="0.25">
      <c r="A56" s="27" t="s">
        <v>73</v>
      </c>
      <c r="B56" s="204" t="s">
        <v>51</v>
      </c>
      <c r="C56" s="204">
        <v>51100980</v>
      </c>
      <c r="D56" s="204" t="s">
        <v>74</v>
      </c>
      <c r="E56" s="204">
        <v>12000</v>
      </c>
      <c r="F56" s="21">
        <v>1010.46</v>
      </c>
      <c r="G56" s="21">
        <v>1014.85</v>
      </c>
      <c r="H56" s="18">
        <f>(G56-F56)*E56</f>
        <v>52679.99999999984</v>
      </c>
      <c r="I56" s="47"/>
      <c r="J56" s="58"/>
    </row>
    <row r="57" spans="1:10" ht="15.75" x14ac:dyDescent="0.25">
      <c r="A57" s="27" t="s">
        <v>75</v>
      </c>
      <c r="B57" s="204" t="s">
        <v>51</v>
      </c>
      <c r="C57" s="204">
        <v>51097623</v>
      </c>
      <c r="D57" s="204" t="s">
        <v>74</v>
      </c>
      <c r="E57" s="204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204"/>
      <c r="C58" s="204"/>
      <c r="D58" s="204"/>
      <c r="E58" s="204"/>
      <c r="F58" s="21"/>
      <c r="G58" s="21"/>
      <c r="H58" s="48">
        <f>H56+H57</f>
        <v>52679.99999999984</v>
      </c>
      <c r="I58" s="61">
        <f>H55-H65-H54</f>
        <v>-168.0000000015134</v>
      </c>
      <c r="J58" s="25">
        <f>I58/H58</f>
        <v>-3.1890660592542503E-3</v>
      </c>
    </row>
    <row r="59" spans="1:10" ht="15.75" x14ac:dyDescent="0.25">
      <c r="A59" s="27" t="s">
        <v>77</v>
      </c>
      <c r="B59" s="204" t="s">
        <v>51</v>
      </c>
      <c r="C59" s="204">
        <v>51097675</v>
      </c>
      <c r="D59" s="204" t="s">
        <v>34</v>
      </c>
      <c r="E59" s="204">
        <v>4800</v>
      </c>
      <c r="F59" s="21">
        <v>412.06200000000001</v>
      </c>
      <c r="G59" s="21">
        <v>415.69900000000001</v>
      </c>
      <c r="H59" s="18">
        <f t="shared" ref="H59:H64" si="2">(G59-F59)*E59</f>
        <v>17457.600000000002</v>
      </c>
      <c r="I59" s="62"/>
      <c r="J59" s="59"/>
    </row>
    <row r="60" spans="1:10" ht="15.75" x14ac:dyDescent="0.25">
      <c r="A60" s="27" t="s">
        <v>78</v>
      </c>
      <c r="B60" s="204" t="s">
        <v>51</v>
      </c>
      <c r="C60" s="204">
        <v>51100997</v>
      </c>
      <c r="D60" s="204" t="s">
        <v>21</v>
      </c>
      <c r="E60" s="204">
        <v>3600</v>
      </c>
      <c r="F60" s="21">
        <v>1275.7249999999999</v>
      </c>
      <c r="G60" s="21">
        <v>1278.758</v>
      </c>
      <c r="H60" s="18">
        <f t="shared" si="2"/>
        <v>10918.800000000465</v>
      </c>
      <c r="I60" s="62"/>
      <c r="J60" s="59"/>
    </row>
    <row r="61" spans="1:10" ht="15.75" x14ac:dyDescent="0.25">
      <c r="A61" s="27" t="s">
        <v>79</v>
      </c>
      <c r="B61" s="204" t="s">
        <v>51</v>
      </c>
      <c r="C61" s="204">
        <v>51555218</v>
      </c>
      <c r="D61" s="204">
        <f>400/5</f>
        <v>80</v>
      </c>
      <c r="E61" s="204">
        <v>4800</v>
      </c>
      <c r="F61" s="21">
        <v>47.85</v>
      </c>
      <c r="G61" s="21">
        <v>48.44</v>
      </c>
      <c r="H61" s="18">
        <f t="shared" si="2"/>
        <v>2831.9999999999823</v>
      </c>
      <c r="I61" s="62"/>
      <c r="J61" s="59"/>
    </row>
    <row r="62" spans="1:10" ht="15.75" x14ac:dyDescent="0.25">
      <c r="A62" s="27" t="s">
        <v>80</v>
      </c>
      <c r="B62" s="204" t="s">
        <v>51</v>
      </c>
      <c r="C62" s="204">
        <v>51555151</v>
      </c>
      <c r="D62" s="204">
        <f>400/5</f>
        <v>80</v>
      </c>
      <c r="E62" s="204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204" t="s">
        <v>51</v>
      </c>
      <c r="C63" s="204">
        <v>51097599</v>
      </c>
      <c r="D63" s="204" t="s">
        <v>21</v>
      </c>
      <c r="E63" s="204">
        <v>3600</v>
      </c>
      <c r="F63" s="21">
        <v>890.32899999999995</v>
      </c>
      <c r="G63" s="21">
        <v>892.74800000000005</v>
      </c>
      <c r="H63" s="18">
        <f t="shared" si="2"/>
        <v>8708.4000000003471</v>
      </c>
      <c r="I63" s="62"/>
      <c r="J63" s="59"/>
    </row>
    <row r="64" spans="1:10" ht="15.75" x14ac:dyDescent="0.25">
      <c r="A64" s="27" t="s">
        <v>82</v>
      </c>
      <c r="B64" s="204" t="s">
        <v>51</v>
      </c>
      <c r="C64" s="204">
        <v>51097620</v>
      </c>
      <c r="D64" s="204" t="s">
        <v>34</v>
      </c>
      <c r="E64" s="204">
        <v>4800</v>
      </c>
      <c r="F64" s="21">
        <v>430.65699999999998</v>
      </c>
      <c r="G64" s="21">
        <v>433.33100000000002</v>
      </c>
      <c r="H64" s="18">
        <f t="shared" si="2"/>
        <v>12835.200000000168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52752.00000000096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204" t="s">
        <v>51</v>
      </c>
      <c r="C67" s="9">
        <v>51259238</v>
      </c>
      <c r="D67" s="74" t="s">
        <v>52</v>
      </c>
      <c r="E67" s="74">
        <v>7000</v>
      </c>
      <c r="F67" s="75">
        <v>471.505</v>
      </c>
      <c r="G67" s="75">
        <v>474.50900000000001</v>
      </c>
      <c r="H67" s="76">
        <f>(G67-F67)*E67</f>
        <v>21028.000000000135</v>
      </c>
      <c r="I67" s="77"/>
      <c r="J67" s="78"/>
    </row>
    <row r="68" spans="1:10" ht="15.75" x14ac:dyDescent="0.25">
      <c r="A68" s="27" t="s">
        <v>85</v>
      </c>
      <c r="B68" s="204" t="s">
        <v>51</v>
      </c>
      <c r="C68" s="204">
        <v>51259324</v>
      </c>
      <c r="D68" s="205" t="s">
        <v>52</v>
      </c>
      <c r="E68" s="205">
        <v>7000</v>
      </c>
      <c r="F68" s="21">
        <v>362.18</v>
      </c>
      <c r="G68" s="21">
        <v>364.6</v>
      </c>
      <c r="H68" s="18">
        <f>(G68-F68)*E68</f>
        <v>16940.000000000113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204">
        <v>51491618</v>
      </c>
      <c r="D69" s="205" t="s">
        <v>62</v>
      </c>
      <c r="E69" s="204">
        <v>40</v>
      </c>
      <c r="F69" s="28">
        <v>918.92899999999997</v>
      </c>
      <c r="G69" s="28">
        <v>931.08100000000002</v>
      </c>
      <c r="H69" s="18">
        <f>(G69-F69)*E69</f>
        <v>486.08000000000175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204">
        <v>51491624</v>
      </c>
      <c r="D70" s="205" t="s">
        <v>62</v>
      </c>
      <c r="E70" s="204">
        <v>40</v>
      </c>
      <c r="F70" s="28">
        <v>124.15600000000001</v>
      </c>
      <c r="G70" s="28">
        <v>125.459</v>
      </c>
      <c r="H70" s="18">
        <f>(G70-F70)*E70</f>
        <v>52.119999999999891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37968.000000000247</v>
      </c>
      <c r="I71" s="85">
        <f>H71-H74-H69-H70</f>
        <v>-910.20000000001619</v>
      </c>
      <c r="J71" s="25">
        <f>I71/H71</f>
        <v>-2.3972819216182318E-2</v>
      </c>
    </row>
    <row r="72" spans="1:10" ht="15.75" x14ac:dyDescent="0.25">
      <c r="A72" s="27" t="s">
        <v>90</v>
      </c>
      <c r="B72" s="204" t="s">
        <v>51</v>
      </c>
      <c r="C72" s="86">
        <v>51097588</v>
      </c>
      <c r="D72" s="205" t="s">
        <v>74</v>
      </c>
      <c r="E72" s="204">
        <v>12000</v>
      </c>
      <c r="F72" s="21">
        <v>284.90199999999999</v>
      </c>
      <c r="G72" s="21">
        <v>286.63400000000001</v>
      </c>
      <c r="H72" s="18">
        <f>(G72-F72)*E72</f>
        <v>20784.000000000335</v>
      </c>
      <c r="I72" s="51"/>
      <c r="J72" s="58"/>
    </row>
    <row r="73" spans="1:10" ht="15.75" x14ac:dyDescent="0.25">
      <c r="A73" s="27" t="s">
        <v>91</v>
      </c>
      <c r="B73" s="204" t="s">
        <v>51</v>
      </c>
      <c r="C73" s="86">
        <v>51431335</v>
      </c>
      <c r="D73" s="205" t="s">
        <v>74</v>
      </c>
      <c r="E73" s="204">
        <v>12000</v>
      </c>
      <c r="F73" s="21">
        <v>222.32900000000001</v>
      </c>
      <c r="G73" s="21">
        <v>223.792</v>
      </c>
      <c r="H73" s="18">
        <f>(G73-F73)*E73</f>
        <v>17555.999999999927</v>
      </c>
      <c r="I73" s="51"/>
      <c r="J73" s="58"/>
    </row>
    <row r="74" spans="1:10" ht="15.75" x14ac:dyDescent="0.25">
      <c r="A74" s="87" t="s">
        <v>92</v>
      </c>
      <c r="B74" s="204" t="s">
        <v>27</v>
      </c>
      <c r="C74" s="204"/>
      <c r="D74" s="205"/>
      <c r="E74" s="204"/>
      <c r="F74" s="21"/>
      <c r="G74" s="21"/>
      <c r="H74" s="48">
        <f>H72+ H73</f>
        <v>38340.000000000262</v>
      </c>
      <c r="I74" s="85">
        <f>H74-H82</f>
        <v>-97.799999999624561</v>
      </c>
      <c r="J74" s="25">
        <f>I74/H74</f>
        <v>-2.5508607198649947E-3</v>
      </c>
    </row>
    <row r="75" spans="1:10" ht="15.75" x14ac:dyDescent="0.25">
      <c r="A75" s="27" t="s">
        <v>93</v>
      </c>
      <c r="B75" s="204" t="s">
        <v>51</v>
      </c>
      <c r="C75" s="86">
        <v>51097676</v>
      </c>
      <c r="D75" s="88" t="s">
        <v>62</v>
      </c>
      <c r="E75" s="204">
        <v>2400</v>
      </c>
      <c r="F75" s="21">
        <v>582.27599999999995</v>
      </c>
      <c r="G75" s="21">
        <v>586.66999999999996</v>
      </c>
      <c r="H75" s="18">
        <f>(G75-F75)*E75</f>
        <v>10545.600000000013</v>
      </c>
      <c r="I75" s="51"/>
      <c r="J75" s="58"/>
    </row>
    <row r="76" spans="1:10" ht="15.75" x14ac:dyDescent="0.25">
      <c r="A76" s="27" t="s">
        <v>94</v>
      </c>
      <c r="B76" s="204" t="s">
        <v>51</v>
      </c>
      <c r="C76" s="86">
        <v>51431355</v>
      </c>
      <c r="D76" s="205" t="s">
        <v>21</v>
      </c>
      <c r="E76" s="205">
        <v>3600</v>
      </c>
      <c r="F76" s="21">
        <v>322.12200000000001</v>
      </c>
      <c r="G76" s="21">
        <v>323.49599999999998</v>
      </c>
      <c r="H76" s="18">
        <f>(G76-F76)*E76</f>
        <v>4946.3999999998805</v>
      </c>
      <c r="I76" s="51"/>
      <c r="J76" s="52"/>
    </row>
    <row r="77" spans="1:10" ht="15.75" x14ac:dyDescent="0.25">
      <c r="A77" s="27" t="s">
        <v>95</v>
      </c>
      <c r="B77" s="204" t="s">
        <v>51</v>
      </c>
      <c r="C77" s="86">
        <v>51259331</v>
      </c>
      <c r="D77" s="88" t="s">
        <v>37</v>
      </c>
      <c r="E77" s="204">
        <v>600</v>
      </c>
      <c r="F77" s="21">
        <v>136.34</v>
      </c>
      <c r="G77" s="21">
        <v>137.44300000000001</v>
      </c>
      <c r="H77" s="18">
        <f>(G77-F77)*E77</f>
        <v>661.80000000000518</v>
      </c>
      <c r="I77" s="51"/>
      <c r="J77" s="52"/>
    </row>
    <row r="78" spans="1:10" ht="15.75" x14ac:dyDescent="0.25">
      <c r="A78" s="27" t="s">
        <v>96</v>
      </c>
      <c r="B78" s="204" t="s">
        <v>51</v>
      </c>
      <c r="C78" s="86">
        <v>51259326</v>
      </c>
      <c r="D78" s="88" t="s">
        <v>14</v>
      </c>
      <c r="E78" s="204">
        <v>7200</v>
      </c>
      <c r="F78" s="21">
        <v>285.25900000000001</v>
      </c>
      <c r="G78" s="21">
        <v>286.69600000000003</v>
      </c>
      <c r="H78" s="18">
        <f>(G78-F78)*E78</f>
        <v>10346.400000000085</v>
      </c>
      <c r="I78" s="51"/>
      <c r="J78" s="52"/>
    </row>
    <row r="79" spans="1:10" ht="15.75" x14ac:dyDescent="0.25">
      <c r="A79" s="27" t="s">
        <v>97</v>
      </c>
      <c r="B79" s="204" t="s">
        <v>51</v>
      </c>
      <c r="C79" s="86">
        <v>51431351</v>
      </c>
      <c r="D79" s="88" t="s">
        <v>14</v>
      </c>
      <c r="E79" s="204">
        <v>7200</v>
      </c>
      <c r="F79" s="21">
        <v>195.16900000000001</v>
      </c>
      <c r="G79" s="21">
        <v>196.827</v>
      </c>
      <c r="H79" s="18">
        <f>(G79-F79)*E79</f>
        <v>11937.599999999908</v>
      </c>
      <c r="I79" s="51"/>
      <c r="J79" s="52"/>
    </row>
    <row r="80" spans="1:10" ht="15.75" x14ac:dyDescent="0.25">
      <c r="A80" s="89" t="s">
        <v>98</v>
      </c>
      <c r="B80" s="204" t="s">
        <v>51</v>
      </c>
      <c r="C80" s="90">
        <v>51097666</v>
      </c>
      <c r="D80" s="88" t="s">
        <v>62</v>
      </c>
      <c r="E80" s="204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204" t="s">
        <v>51</v>
      </c>
      <c r="C81" s="90">
        <v>51259323</v>
      </c>
      <c r="D81" s="88" t="s">
        <v>62</v>
      </c>
      <c r="E81" s="204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38437.799999999886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204" t="s">
        <v>51</v>
      </c>
      <c r="C84" s="106">
        <v>51431297</v>
      </c>
      <c r="D84" s="205" t="s">
        <v>52</v>
      </c>
      <c r="E84" s="100">
        <v>7000</v>
      </c>
      <c r="F84" s="17">
        <v>236.91</v>
      </c>
      <c r="G84" s="17">
        <v>237.78</v>
      </c>
      <c r="H84" s="18">
        <f>(G84-F84)*E84</f>
        <v>6090.0000000000318</v>
      </c>
      <c r="I84" s="107"/>
      <c r="J84" s="108"/>
    </row>
    <row r="85" spans="1:10" ht="15.75" x14ac:dyDescent="0.25">
      <c r="A85" s="105" t="s">
        <v>85</v>
      </c>
      <c r="B85" s="204" t="s">
        <v>51</v>
      </c>
      <c r="C85" s="106">
        <v>51431332</v>
      </c>
      <c r="D85" s="205" t="s">
        <v>52</v>
      </c>
      <c r="E85" s="100">
        <v>7000</v>
      </c>
      <c r="F85" s="21">
        <v>316.69600000000003</v>
      </c>
      <c r="G85" s="21">
        <v>318.45800000000003</v>
      </c>
      <c r="H85" s="18">
        <f>(G85-F85)*E85</f>
        <v>12334.000000000004</v>
      </c>
      <c r="I85" s="204"/>
      <c r="J85" s="58"/>
    </row>
    <row r="86" spans="1:10" ht="15.75" x14ac:dyDescent="0.25">
      <c r="A86" s="27" t="s">
        <v>86</v>
      </c>
      <c r="B86" s="204" t="s">
        <v>102</v>
      </c>
      <c r="C86" s="109">
        <v>150773</v>
      </c>
      <c r="D86" s="205" t="s">
        <v>52</v>
      </c>
      <c r="E86" s="109">
        <v>20</v>
      </c>
      <c r="F86" s="17">
        <v>15402.5</v>
      </c>
      <c r="G86" s="17">
        <v>15411.6</v>
      </c>
      <c r="H86" s="18">
        <f>(G86-F86)*E86</f>
        <v>182.00000000000728</v>
      </c>
      <c r="I86" s="51"/>
      <c r="J86" s="58"/>
    </row>
    <row r="87" spans="1:10" ht="15.75" x14ac:dyDescent="0.25">
      <c r="A87" s="27" t="s">
        <v>88</v>
      </c>
      <c r="B87" s="204" t="s">
        <v>102</v>
      </c>
      <c r="C87" s="109">
        <v>150791</v>
      </c>
      <c r="D87" s="205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206"/>
      <c r="C88" s="32"/>
      <c r="D88" s="82"/>
      <c r="E88" s="82"/>
      <c r="F88" s="21"/>
      <c r="G88" s="21"/>
      <c r="H88" s="48">
        <f>H84+H85</f>
        <v>18424.000000000036</v>
      </c>
      <c r="I88" s="85">
        <f>H88-H91-H86-H87</f>
        <v>477.20000000019718</v>
      </c>
      <c r="J88" s="25">
        <f>I88/H88</f>
        <v>2.5900998697361934E-2</v>
      </c>
    </row>
    <row r="89" spans="1:10" ht="15.75" x14ac:dyDescent="0.25">
      <c r="A89" s="27" t="s">
        <v>103</v>
      </c>
      <c r="B89" s="204" t="s">
        <v>51</v>
      </c>
      <c r="C89" s="106">
        <v>51431342</v>
      </c>
      <c r="D89" s="88" t="s">
        <v>34</v>
      </c>
      <c r="E89" s="204">
        <v>4800</v>
      </c>
      <c r="F89" s="21">
        <v>335.61</v>
      </c>
      <c r="G89" s="21">
        <v>336.84100000000001</v>
      </c>
      <c r="H89" s="18">
        <f>(G89-F89)*E89</f>
        <v>5908.7999999999738</v>
      </c>
      <c r="I89" s="51"/>
      <c r="J89" s="52"/>
    </row>
    <row r="90" spans="1:10" ht="15.75" x14ac:dyDescent="0.25">
      <c r="A90" s="27" t="s">
        <v>104</v>
      </c>
      <c r="B90" s="204" t="s">
        <v>51</v>
      </c>
      <c r="C90" s="106">
        <v>51431343</v>
      </c>
      <c r="D90" s="88" t="s">
        <v>34</v>
      </c>
      <c r="E90" s="204">
        <v>4800</v>
      </c>
      <c r="F90" s="21">
        <v>448.36500000000001</v>
      </c>
      <c r="G90" s="21">
        <v>450.83499999999998</v>
      </c>
      <c r="H90" s="18">
        <f>(G90-F90)*E90</f>
        <v>11855.999999999858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17764.799999999832</v>
      </c>
      <c r="I91" s="85">
        <f>H91-H99</f>
        <v>-152.00000000029104</v>
      </c>
      <c r="J91" s="25">
        <f>I91/H91</f>
        <v>-8.5562460596399891E-3</v>
      </c>
    </row>
    <row r="92" spans="1:10" ht="15.75" x14ac:dyDescent="0.25">
      <c r="A92" s="27" t="s">
        <v>106</v>
      </c>
      <c r="B92" s="204" t="s">
        <v>51</v>
      </c>
      <c r="C92" s="106">
        <v>51431347</v>
      </c>
      <c r="D92" s="205" t="s">
        <v>52</v>
      </c>
      <c r="E92" s="204">
        <v>1200</v>
      </c>
      <c r="F92" s="21">
        <v>1006.627</v>
      </c>
      <c r="G92" s="21">
        <v>1015.056</v>
      </c>
      <c r="H92" s="18">
        <f t="shared" ref="H92:H100" si="4">(G92-F92)*E92</f>
        <v>10114.800000000105</v>
      </c>
      <c r="I92" s="51"/>
      <c r="J92" s="52"/>
    </row>
    <row r="93" spans="1:10" ht="15.75" x14ac:dyDescent="0.25">
      <c r="A93" s="27" t="s">
        <v>107</v>
      </c>
      <c r="B93" s="204" t="s">
        <v>51</v>
      </c>
      <c r="C93" s="106">
        <v>51431339</v>
      </c>
      <c r="D93" s="205" t="s">
        <v>52</v>
      </c>
      <c r="E93" s="204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204" t="s">
        <v>51</v>
      </c>
      <c r="C94" s="106">
        <v>51217244</v>
      </c>
      <c r="D94" s="204" t="s">
        <v>37</v>
      </c>
      <c r="E94" s="204">
        <v>600</v>
      </c>
      <c r="F94" s="30">
        <v>275.459</v>
      </c>
      <c r="G94" s="30">
        <v>278.24599999999998</v>
      </c>
      <c r="H94" s="18">
        <f t="shared" si="4"/>
        <v>1672.1999999999866</v>
      </c>
      <c r="I94" s="51"/>
      <c r="J94" s="52"/>
    </row>
    <row r="95" spans="1:10" ht="15.75" x14ac:dyDescent="0.25">
      <c r="A95" s="27" t="s">
        <v>109</v>
      </c>
      <c r="B95" s="204" t="s">
        <v>51</v>
      </c>
      <c r="C95" s="106">
        <v>51217267</v>
      </c>
      <c r="D95" s="88" t="s">
        <v>62</v>
      </c>
      <c r="E95" s="204">
        <v>2400</v>
      </c>
      <c r="F95" s="30">
        <v>19.291</v>
      </c>
      <c r="G95" s="30">
        <v>19.321999999999999</v>
      </c>
      <c r="H95" s="18">
        <f t="shared" si="4"/>
        <v>74.399999999997135</v>
      </c>
      <c r="I95" s="51"/>
      <c r="J95" s="52"/>
    </row>
    <row r="96" spans="1:10" ht="15.75" x14ac:dyDescent="0.25">
      <c r="A96" s="27" t="s">
        <v>110</v>
      </c>
      <c r="B96" s="204" t="s">
        <v>51</v>
      </c>
      <c r="C96" s="204">
        <v>51555165</v>
      </c>
      <c r="D96" s="205" t="s">
        <v>52</v>
      </c>
      <c r="E96" s="204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204" t="s">
        <v>51</v>
      </c>
      <c r="C97" s="106">
        <v>51431346</v>
      </c>
      <c r="D97" s="114" t="s">
        <v>37</v>
      </c>
      <c r="E97" s="114">
        <v>600</v>
      </c>
      <c r="F97" s="30">
        <v>313.54599999999999</v>
      </c>
      <c r="G97" s="30">
        <v>313.97500000000002</v>
      </c>
      <c r="H97" s="115">
        <f t="shared" si="4"/>
        <v>257.40000000001828</v>
      </c>
      <c r="I97" s="116"/>
      <c r="J97" s="117"/>
    </row>
    <row r="98" spans="1:10" ht="15.75" x14ac:dyDescent="0.25">
      <c r="A98" s="27" t="s">
        <v>112</v>
      </c>
      <c r="B98" s="204" t="s">
        <v>51</v>
      </c>
      <c r="C98" s="106">
        <v>51431352</v>
      </c>
      <c r="D98" s="88" t="s">
        <v>21</v>
      </c>
      <c r="E98" s="204">
        <v>3600</v>
      </c>
      <c r="F98" s="21">
        <v>178.35499999999999</v>
      </c>
      <c r="G98" s="21">
        <v>179.91499999999999</v>
      </c>
      <c r="H98" s="18">
        <f t="shared" si="4"/>
        <v>5616.0000000000082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17916.800000000123</v>
      </c>
      <c r="I99" s="51"/>
      <c r="J99" s="52"/>
    </row>
    <row r="100" spans="1:10" ht="15.75" x14ac:dyDescent="0.25">
      <c r="A100" s="45" t="s">
        <v>113</v>
      </c>
      <c r="B100" s="204" t="s">
        <v>51</v>
      </c>
      <c r="C100" s="120">
        <v>51431357</v>
      </c>
      <c r="D100" s="205" t="s">
        <v>62</v>
      </c>
      <c r="E100" s="205">
        <v>14000</v>
      </c>
      <c r="F100" s="28">
        <v>722.65800000000002</v>
      </c>
      <c r="G100" s="28">
        <v>726.48900000000003</v>
      </c>
      <c r="H100" s="121">
        <f t="shared" si="4"/>
        <v>53634.00000000024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zoomScale="85" zoomScaleNormal="85" workbookViewId="0">
      <selection activeCell="A2" sqref="A1:J100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145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154</v>
      </c>
      <c r="G3" s="4" t="s">
        <v>155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207" t="s">
        <v>13</v>
      </c>
      <c r="C5" s="207">
        <v>51555166</v>
      </c>
      <c r="D5" s="207" t="s">
        <v>14</v>
      </c>
      <c r="E5" s="207">
        <v>132000</v>
      </c>
      <c r="F5" s="17">
        <v>2.5299999999999998</v>
      </c>
      <c r="G5" s="17">
        <v>2.5430000000000001</v>
      </c>
      <c r="H5" s="18">
        <f>(G5-F5)*E5</f>
        <v>1716.0000000000455</v>
      </c>
      <c r="I5" s="19"/>
      <c r="J5" s="20"/>
    </row>
    <row r="6" spans="1:10" ht="15.75" x14ac:dyDescent="0.25">
      <c r="A6" s="15" t="s">
        <v>15</v>
      </c>
      <c r="B6" s="207" t="s">
        <v>13</v>
      </c>
      <c r="C6" s="207">
        <v>51555191</v>
      </c>
      <c r="D6" s="207" t="s">
        <v>14</v>
      </c>
      <c r="E6" s="207">
        <v>132000</v>
      </c>
      <c r="F6" s="21">
        <v>310.98599999999999</v>
      </c>
      <c r="G6" s="21">
        <v>313.012</v>
      </c>
      <c r="H6" s="18">
        <f>(G6-F6)*E6</f>
        <v>267432.0000000014</v>
      </c>
      <c r="I6" s="19"/>
      <c r="J6" s="20"/>
    </row>
    <row r="7" spans="1:10" ht="15.75" x14ac:dyDescent="0.25">
      <c r="A7" s="219" t="s">
        <v>16</v>
      </c>
      <c r="B7" s="220"/>
      <c r="C7" s="207"/>
      <c r="D7" s="208"/>
      <c r="E7" s="207"/>
      <c r="H7" s="23">
        <f>H5+H6</f>
        <v>269148.00000000146</v>
      </c>
      <c r="I7" s="24">
        <f>H7-H10-H20</f>
        <v>2520.0000000019063</v>
      </c>
      <c r="J7" s="25">
        <f>I7/H7</f>
        <v>9.3628784163430259E-3</v>
      </c>
    </row>
    <row r="8" spans="1:10" ht="15.75" x14ac:dyDescent="0.25">
      <c r="A8" s="26" t="s">
        <v>17</v>
      </c>
      <c r="B8" s="207" t="s">
        <v>13</v>
      </c>
      <c r="C8" s="207">
        <v>51097629</v>
      </c>
      <c r="D8" s="208" t="s">
        <v>14</v>
      </c>
      <c r="E8" s="207">
        <v>42000</v>
      </c>
      <c r="F8" s="21">
        <v>968.67399999999998</v>
      </c>
      <c r="G8" s="21">
        <v>973.11199999999997</v>
      </c>
      <c r="H8" s="18">
        <f>(G8-F8)*E8</f>
        <v>186395.99999999951</v>
      </c>
      <c r="I8" s="19"/>
      <c r="J8" s="20"/>
    </row>
    <row r="9" spans="1:10" ht="15.75" x14ac:dyDescent="0.25">
      <c r="A9" s="26" t="s">
        <v>18</v>
      </c>
      <c r="B9" s="207" t="s">
        <v>13</v>
      </c>
      <c r="C9" s="207">
        <v>51616820</v>
      </c>
      <c r="D9" s="208" t="s">
        <v>14</v>
      </c>
      <c r="E9" s="207">
        <v>42000</v>
      </c>
      <c r="F9" s="21">
        <v>4.173</v>
      </c>
      <c r="G9" s="21">
        <v>4.1980000000000004</v>
      </c>
      <c r="H9" s="18">
        <f>(G9-F9)*E9</f>
        <v>1050.000000000015</v>
      </c>
      <c r="I9" s="19"/>
      <c r="J9" s="20"/>
    </row>
    <row r="10" spans="1:10" ht="15.75" x14ac:dyDescent="0.25">
      <c r="A10" s="219" t="s">
        <v>19</v>
      </c>
      <c r="B10" s="220"/>
      <c r="C10" s="207"/>
      <c r="D10" s="208"/>
      <c r="E10" s="207"/>
      <c r="F10" s="21"/>
      <c r="G10" s="21"/>
      <c r="H10" s="23">
        <f>H8+H9</f>
        <v>187445.99999999953</v>
      </c>
      <c r="I10" s="24">
        <f>H10-H17</f>
        <v>-3.4924596548080444E-10</v>
      </c>
      <c r="J10" s="25">
        <f>I10/H10</f>
        <v>-1.863181745573687E-15</v>
      </c>
    </row>
    <row r="11" spans="1:10" ht="15.75" x14ac:dyDescent="0.25">
      <c r="A11" s="27" t="s">
        <v>20</v>
      </c>
      <c r="B11" s="207" t="s">
        <v>13</v>
      </c>
      <c r="C11" s="207">
        <v>51217286</v>
      </c>
      <c r="D11" s="208" t="s">
        <v>21</v>
      </c>
      <c r="E11" s="207">
        <v>21000</v>
      </c>
      <c r="F11" s="21">
        <v>769.36800000000005</v>
      </c>
      <c r="G11" s="21">
        <v>772.71</v>
      </c>
      <c r="H11" s="18">
        <f t="shared" ref="H11:H16" si="0">(G11-F11)*E11</f>
        <v>70181.99999999968</v>
      </c>
      <c r="I11" s="19"/>
      <c r="J11" s="20"/>
    </row>
    <row r="12" spans="1:10" ht="15.75" x14ac:dyDescent="0.25">
      <c r="A12" s="27" t="s">
        <v>22</v>
      </c>
      <c r="B12" s="207" t="s">
        <v>13</v>
      </c>
      <c r="C12" s="207">
        <v>51217292</v>
      </c>
      <c r="D12" s="208" t="s">
        <v>21</v>
      </c>
      <c r="E12" s="207">
        <v>21000</v>
      </c>
      <c r="F12" s="28">
        <v>3.1560000000000001</v>
      </c>
      <c r="G12" s="28">
        <v>3.1819999999999999</v>
      </c>
      <c r="H12" s="18">
        <f>(G12-F12)*E12</f>
        <v>545.99999999999579</v>
      </c>
      <c r="I12" s="19"/>
      <c r="J12" s="20"/>
    </row>
    <row r="13" spans="1:10" ht="15.75" x14ac:dyDescent="0.25">
      <c r="A13" s="27" t="s">
        <v>23</v>
      </c>
      <c r="B13" s="207" t="s">
        <v>13</v>
      </c>
      <c r="C13" s="207">
        <v>51217271</v>
      </c>
      <c r="D13" s="208" t="s">
        <v>21</v>
      </c>
      <c r="E13" s="207">
        <v>21000</v>
      </c>
      <c r="F13" s="21">
        <v>561.10199999999998</v>
      </c>
      <c r="G13" s="21">
        <v>563.83000000000004</v>
      </c>
      <c r="H13" s="18">
        <f t="shared" si="0"/>
        <v>57288.000000001375</v>
      </c>
      <c r="I13" s="19"/>
      <c r="J13" s="20"/>
    </row>
    <row r="14" spans="1:10" ht="15.75" x14ac:dyDescent="0.25">
      <c r="A14" s="27" t="s">
        <v>24</v>
      </c>
      <c r="B14" s="207" t="s">
        <v>13</v>
      </c>
      <c r="C14" s="207">
        <v>51217276</v>
      </c>
      <c r="D14" s="208" t="s">
        <v>21</v>
      </c>
      <c r="E14" s="207">
        <v>21000</v>
      </c>
      <c r="F14" s="28">
        <v>0.436</v>
      </c>
      <c r="G14" s="28">
        <v>0.443</v>
      </c>
      <c r="H14" s="18">
        <f>(G14-F14)*E14</f>
        <v>147.00000000000014</v>
      </c>
      <c r="I14" s="19"/>
      <c r="J14" s="20"/>
    </row>
    <row r="15" spans="1:10" ht="15.75" x14ac:dyDescent="0.25">
      <c r="A15" s="27" t="s">
        <v>25</v>
      </c>
      <c r="B15" s="207" t="s">
        <v>13</v>
      </c>
      <c r="C15" s="207">
        <v>51100990</v>
      </c>
      <c r="D15" s="208" t="s">
        <v>21</v>
      </c>
      <c r="E15" s="207">
        <v>21000</v>
      </c>
      <c r="F15" s="29">
        <v>611.47900000000004</v>
      </c>
      <c r="G15" s="29">
        <v>614.28899999999999</v>
      </c>
      <c r="H15" s="18">
        <f t="shared" si="0"/>
        <v>59009.99999999885</v>
      </c>
      <c r="I15" s="19"/>
      <c r="J15" s="20"/>
    </row>
    <row r="16" spans="1:10" ht="15.75" x14ac:dyDescent="0.25">
      <c r="A16" s="27" t="s">
        <v>26</v>
      </c>
      <c r="B16" s="207" t="s">
        <v>13</v>
      </c>
      <c r="C16" s="207">
        <v>51097622</v>
      </c>
      <c r="D16" s="208" t="s">
        <v>21</v>
      </c>
      <c r="E16" s="207">
        <v>21000</v>
      </c>
      <c r="F16" s="21">
        <v>2.6890000000000001</v>
      </c>
      <c r="G16" s="21">
        <v>2.702</v>
      </c>
      <c r="H16" s="18">
        <f t="shared" si="0"/>
        <v>272.9999999999979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207"/>
      <c r="D17" s="208"/>
      <c r="E17" s="207"/>
      <c r="F17" s="21"/>
      <c r="G17" s="21"/>
      <c r="H17" s="23">
        <f>H11+H12+H13+H14+H15+H16</f>
        <v>187445.99999999988</v>
      </c>
      <c r="I17" s="19"/>
      <c r="J17" s="20"/>
    </row>
    <row r="18" spans="1:10" ht="15.75" x14ac:dyDescent="0.25">
      <c r="A18" s="26" t="s">
        <v>29</v>
      </c>
      <c r="B18" s="207" t="s">
        <v>13</v>
      </c>
      <c r="C18" s="207">
        <v>51097617</v>
      </c>
      <c r="D18" s="208" t="s">
        <v>30</v>
      </c>
      <c r="E18" s="207">
        <v>18000</v>
      </c>
      <c r="F18" s="30">
        <v>726.41700000000003</v>
      </c>
      <c r="G18" s="30">
        <v>730.81600000000003</v>
      </c>
      <c r="H18" s="18">
        <f>(G18-F18)*E18</f>
        <v>79182.000000000015</v>
      </c>
      <c r="I18" s="19"/>
      <c r="J18" s="20"/>
    </row>
    <row r="19" spans="1:10" ht="15.75" x14ac:dyDescent="0.25">
      <c r="A19" s="26" t="s">
        <v>31</v>
      </c>
      <c r="B19" s="207" t="s">
        <v>13</v>
      </c>
      <c r="C19" s="207">
        <v>51097655</v>
      </c>
      <c r="D19" s="208" t="s">
        <v>30</v>
      </c>
      <c r="E19" s="207">
        <v>18000</v>
      </c>
      <c r="F19" s="30">
        <v>6.1269999999999998</v>
      </c>
      <c r="G19" s="30">
        <v>6.1269999999999998</v>
      </c>
      <c r="H19" s="18">
        <f>(G19-F19)*E19</f>
        <v>0</v>
      </c>
      <c r="I19" s="19"/>
      <c r="J19" s="20"/>
    </row>
    <row r="20" spans="1:10" ht="15.75" x14ac:dyDescent="0.25">
      <c r="A20" s="219" t="s">
        <v>32</v>
      </c>
      <c r="B20" s="220"/>
      <c r="C20" s="207"/>
      <c r="D20" s="208"/>
      <c r="E20" s="207"/>
      <c r="F20" s="30"/>
      <c r="G20" s="30"/>
      <c r="H20" s="23">
        <f>H18+H19</f>
        <v>79182.000000000015</v>
      </c>
      <c r="I20" s="24">
        <f>H20-H35</f>
        <v>4050.6000000000495</v>
      </c>
      <c r="J20" s="25">
        <f>I20/H20</f>
        <v>5.1155565658862479E-2</v>
      </c>
    </row>
    <row r="21" spans="1:10" ht="15.75" x14ac:dyDescent="0.25">
      <c r="A21" s="15" t="s">
        <v>33</v>
      </c>
      <c r="B21" s="207" t="s">
        <v>13</v>
      </c>
      <c r="C21" s="207">
        <v>51217282</v>
      </c>
      <c r="D21" s="208" t="s">
        <v>34</v>
      </c>
      <c r="E21" s="207">
        <v>4800</v>
      </c>
      <c r="F21" s="21">
        <v>378.96100000000001</v>
      </c>
      <c r="G21" s="21">
        <v>379.05399999999997</v>
      </c>
      <c r="H21" s="18">
        <f t="shared" ref="H21:H34" si="1">(G21-F21)*E21</f>
        <v>446.39999999981228</v>
      </c>
      <c r="I21" s="19" t="s">
        <v>27</v>
      </c>
      <c r="J21" s="20"/>
    </row>
    <row r="22" spans="1:10" ht="15.75" x14ac:dyDescent="0.25">
      <c r="A22" s="15" t="s">
        <v>35</v>
      </c>
      <c r="B22" s="207" t="s">
        <v>13</v>
      </c>
      <c r="C22" s="207">
        <v>51217274</v>
      </c>
      <c r="D22" s="208" t="s">
        <v>34</v>
      </c>
      <c r="E22" s="207">
        <v>4800</v>
      </c>
      <c r="F22" s="21">
        <v>1149.4259999999999</v>
      </c>
      <c r="G22" s="21">
        <v>1155.165</v>
      </c>
      <c r="H22" s="18">
        <f t="shared" si="1"/>
        <v>27547.200000000157</v>
      </c>
      <c r="I22" s="19"/>
      <c r="J22" s="20"/>
    </row>
    <row r="23" spans="1:10" ht="15.75" x14ac:dyDescent="0.25">
      <c r="A23" s="15" t="s">
        <v>36</v>
      </c>
      <c r="B23" s="207" t="s">
        <v>13</v>
      </c>
      <c r="C23" s="207">
        <v>51097664</v>
      </c>
      <c r="D23" s="208" t="s">
        <v>37</v>
      </c>
      <c r="E23" s="207">
        <v>600</v>
      </c>
      <c r="F23" s="21">
        <v>4.2210000000000001</v>
      </c>
      <c r="G23" s="21">
        <v>4.2430000000000003</v>
      </c>
      <c r="H23" s="18">
        <f t="shared" si="1"/>
        <v>13.200000000000145</v>
      </c>
      <c r="I23" s="19"/>
      <c r="J23" s="20"/>
    </row>
    <row r="24" spans="1:10" ht="15.75" x14ac:dyDescent="0.25">
      <c r="A24" s="15" t="s">
        <v>38</v>
      </c>
      <c r="B24" s="207" t="s">
        <v>13</v>
      </c>
      <c r="C24" s="207">
        <v>51097615</v>
      </c>
      <c r="D24" s="208" t="s">
        <v>37</v>
      </c>
      <c r="E24" s="207">
        <v>600</v>
      </c>
      <c r="F24" s="21">
        <v>32.381</v>
      </c>
      <c r="G24" s="21">
        <v>32.762</v>
      </c>
      <c r="H24" s="18">
        <f t="shared" si="1"/>
        <v>228.60000000000014</v>
      </c>
      <c r="I24" s="19"/>
      <c r="J24" s="20"/>
    </row>
    <row r="25" spans="1:10" ht="15.75" x14ac:dyDescent="0.25">
      <c r="A25" s="15" t="s">
        <v>39</v>
      </c>
      <c r="B25" s="207" t="s">
        <v>13</v>
      </c>
      <c r="C25" s="207">
        <v>51217264</v>
      </c>
      <c r="D25" s="208" t="s">
        <v>37</v>
      </c>
      <c r="E25" s="207">
        <v>600</v>
      </c>
      <c r="F25" s="21">
        <v>81.046000000000006</v>
      </c>
      <c r="G25" s="21">
        <v>81.873999999999995</v>
      </c>
      <c r="H25" s="18">
        <f t="shared" si="1"/>
        <v>496.79999999999325</v>
      </c>
      <c r="I25" s="19"/>
      <c r="J25" s="20"/>
    </row>
    <row r="26" spans="1:10" ht="15.75" x14ac:dyDescent="0.25">
      <c r="A26" s="15" t="s">
        <v>40</v>
      </c>
      <c r="B26" s="207" t="s">
        <v>13</v>
      </c>
      <c r="C26" s="207">
        <v>51217288</v>
      </c>
      <c r="D26" s="208" t="s">
        <v>37</v>
      </c>
      <c r="E26" s="207">
        <v>600</v>
      </c>
      <c r="F26" s="21">
        <v>19.437000000000001</v>
      </c>
      <c r="G26" s="21">
        <v>19.466999999999999</v>
      </c>
      <c r="H26" s="18">
        <f t="shared" si="1"/>
        <v>17.99999999999855</v>
      </c>
      <c r="I26" s="19" t="s">
        <v>27</v>
      </c>
      <c r="J26" s="20"/>
    </row>
    <row r="27" spans="1:10" ht="15.75" x14ac:dyDescent="0.25">
      <c r="A27" s="15" t="s">
        <v>41</v>
      </c>
      <c r="B27" s="207" t="s">
        <v>13</v>
      </c>
      <c r="C27" s="207">
        <v>51217279</v>
      </c>
      <c r="D27" s="208" t="s">
        <v>37</v>
      </c>
      <c r="E27" s="207">
        <v>600</v>
      </c>
      <c r="F27" s="21">
        <v>13.486000000000001</v>
      </c>
      <c r="G27" s="21">
        <v>13.539</v>
      </c>
      <c r="H27" s="18">
        <f t="shared" si="1"/>
        <v>31.799999999999429</v>
      </c>
      <c r="I27" s="19" t="s">
        <v>27</v>
      </c>
      <c r="J27" s="20"/>
    </row>
    <row r="28" spans="1:10" ht="15.75" x14ac:dyDescent="0.25">
      <c r="A28" s="15" t="s">
        <v>42</v>
      </c>
      <c r="B28" s="207" t="s">
        <v>13</v>
      </c>
      <c r="C28" s="207">
        <v>51217272</v>
      </c>
      <c r="D28" s="208" t="s">
        <v>37</v>
      </c>
      <c r="E28" s="207">
        <v>600</v>
      </c>
      <c r="F28" s="31">
        <v>13.228999999999999</v>
      </c>
      <c r="G28" s="31">
        <v>13.282</v>
      </c>
      <c r="H28" s="18">
        <f t="shared" si="1"/>
        <v>31.800000000000495</v>
      </c>
      <c r="I28" s="19"/>
      <c r="J28" s="20"/>
    </row>
    <row r="29" spans="1:10" ht="15.75" x14ac:dyDescent="0.25">
      <c r="A29" s="15" t="s">
        <v>43</v>
      </c>
      <c r="B29" s="207" t="s">
        <v>13</v>
      </c>
      <c r="C29" s="207">
        <v>51616744</v>
      </c>
      <c r="D29" s="208">
        <f>300/5</f>
        <v>60</v>
      </c>
      <c r="E29" s="207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207" t="s">
        <v>13</v>
      </c>
      <c r="C30" s="207">
        <v>51555226</v>
      </c>
      <c r="D30" s="208">
        <f>300/5</f>
        <v>60</v>
      </c>
      <c r="E30" s="207">
        <v>3600</v>
      </c>
      <c r="F30" s="31">
        <v>381.47800000000001</v>
      </c>
      <c r="G30" s="31">
        <v>385.82400000000001</v>
      </c>
      <c r="H30" s="18">
        <f>(G30-F30)*E30</f>
        <v>15645.600000000013</v>
      </c>
      <c r="I30" s="19"/>
      <c r="J30" s="20"/>
    </row>
    <row r="31" spans="1:10" ht="15.75" x14ac:dyDescent="0.25">
      <c r="A31" s="15" t="s">
        <v>45</v>
      </c>
      <c r="B31" s="207" t="s">
        <v>13</v>
      </c>
      <c r="C31" s="207">
        <v>51097658</v>
      </c>
      <c r="D31" s="208" t="s">
        <v>34</v>
      </c>
      <c r="E31" s="207">
        <v>4800</v>
      </c>
      <c r="F31" s="31">
        <v>553.32000000000005</v>
      </c>
      <c r="G31" s="31">
        <v>557.21400000000006</v>
      </c>
      <c r="H31" s="18">
        <f t="shared" si="1"/>
        <v>18691.200000000026</v>
      </c>
      <c r="I31" s="19"/>
      <c r="J31" s="20"/>
    </row>
    <row r="32" spans="1:10" ht="15.75" x14ac:dyDescent="0.25">
      <c r="A32" s="15" t="s">
        <v>46</v>
      </c>
      <c r="B32" s="207" t="s">
        <v>13</v>
      </c>
      <c r="C32" s="207">
        <v>51097635</v>
      </c>
      <c r="D32" s="208" t="s">
        <v>34</v>
      </c>
      <c r="E32" s="207">
        <v>4800</v>
      </c>
      <c r="F32" s="31">
        <v>48.438000000000002</v>
      </c>
      <c r="G32" s="31">
        <v>48.438000000000002</v>
      </c>
      <c r="H32" s="18">
        <f t="shared" si="1"/>
        <v>0</v>
      </c>
      <c r="I32" s="19"/>
      <c r="J32" s="20"/>
    </row>
    <row r="33" spans="1:10" ht="15.75" x14ac:dyDescent="0.25">
      <c r="A33" s="15" t="s">
        <v>47</v>
      </c>
      <c r="B33" s="207" t="s">
        <v>13</v>
      </c>
      <c r="C33" s="32">
        <v>51097633</v>
      </c>
      <c r="D33" s="208" t="s">
        <v>34</v>
      </c>
      <c r="E33" s="207">
        <v>4800</v>
      </c>
      <c r="F33" s="31">
        <v>108.423</v>
      </c>
      <c r="G33" s="31">
        <v>110.85</v>
      </c>
      <c r="H33" s="33">
        <f t="shared" si="1"/>
        <v>11649.599999999964</v>
      </c>
      <c r="I33" s="34"/>
      <c r="J33" s="35"/>
    </row>
    <row r="34" spans="1:10" ht="15.75" x14ac:dyDescent="0.25">
      <c r="A34" s="15" t="s">
        <v>116</v>
      </c>
      <c r="B34" s="207" t="s">
        <v>13</v>
      </c>
      <c r="C34" s="32">
        <v>51097662</v>
      </c>
      <c r="D34" s="208" t="s">
        <v>34</v>
      </c>
      <c r="E34" s="207">
        <v>4800</v>
      </c>
      <c r="F34" s="31">
        <v>1.9119999999999999</v>
      </c>
      <c r="G34" s="31">
        <v>1.9810000000000001</v>
      </c>
      <c r="H34" s="33">
        <f t="shared" si="1"/>
        <v>331.20000000000084</v>
      </c>
      <c r="I34" s="34"/>
      <c r="J34" s="35"/>
    </row>
    <row r="35" spans="1:10" ht="15.75" x14ac:dyDescent="0.25">
      <c r="A35" s="219" t="s">
        <v>48</v>
      </c>
      <c r="B35" s="220"/>
      <c r="C35" s="207"/>
      <c r="D35" s="208"/>
      <c r="E35" s="207"/>
      <c r="F35" s="36"/>
      <c r="G35" s="36"/>
      <c r="H35" s="23">
        <f>H21+H22+H23+H24+H25+H26+H27+H28+H29+H30+H31+H32+H33+H34</f>
        <v>75131.399999999965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207" t="s">
        <v>51</v>
      </c>
      <c r="C37" s="207">
        <v>51555209</v>
      </c>
      <c r="D37" s="208" t="s">
        <v>52</v>
      </c>
      <c r="E37" s="207">
        <v>7000</v>
      </c>
      <c r="F37" s="17">
        <v>4.375</v>
      </c>
      <c r="G37" s="17">
        <v>4.4279999999999999</v>
      </c>
      <c r="H37" s="41">
        <f>(G37-F37)*E37</f>
        <v>370.99999999999955</v>
      </c>
      <c r="I37" s="42"/>
      <c r="J37" s="14"/>
    </row>
    <row r="38" spans="1:10" ht="15.75" x14ac:dyDescent="0.25">
      <c r="A38" s="15" t="s">
        <v>53</v>
      </c>
      <c r="B38" s="207" t="s">
        <v>51</v>
      </c>
      <c r="C38" s="207">
        <v>51555209</v>
      </c>
      <c r="D38" s="208" t="s">
        <v>52</v>
      </c>
      <c r="E38" s="207">
        <v>7000</v>
      </c>
      <c r="F38" s="21">
        <v>9.0210000000000008</v>
      </c>
      <c r="G38" s="21">
        <v>9.0609999999999999</v>
      </c>
      <c r="H38" s="18">
        <f>(G38-F38)*E38</f>
        <v>279.99999999999403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207" t="s">
        <v>51</v>
      </c>
      <c r="C40" s="207">
        <v>51097674</v>
      </c>
      <c r="D40" s="207" t="s">
        <v>14</v>
      </c>
      <c r="E40" s="207">
        <v>7200</v>
      </c>
      <c r="F40" s="21">
        <v>520.14700000000005</v>
      </c>
      <c r="G40" s="21">
        <v>522.62199999999996</v>
      </c>
      <c r="H40" s="18">
        <f>(G40-F40)*E40</f>
        <v>17819.999999999345</v>
      </c>
      <c r="I40" s="47"/>
      <c r="J40" s="20"/>
    </row>
    <row r="41" spans="1:10" ht="15.75" x14ac:dyDescent="0.25">
      <c r="A41" s="27" t="s">
        <v>56</v>
      </c>
      <c r="B41" s="207" t="s">
        <v>51</v>
      </c>
      <c r="C41" s="207">
        <v>51259257</v>
      </c>
      <c r="D41" s="207" t="s">
        <v>14</v>
      </c>
      <c r="E41" s="207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207"/>
      <c r="C42" s="207"/>
      <c r="D42" s="207"/>
      <c r="E42" s="207"/>
      <c r="F42" s="21"/>
      <c r="G42" s="21"/>
      <c r="H42" s="48">
        <f>H40+H41</f>
        <v>17819.999999999345</v>
      </c>
      <c r="I42" s="24">
        <f>H42-H50</f>
        <v>-118.40000000046348</v>
      </c>
      <c r="J42" s="25">
        <f>I42/H42</f>
        <v>-6.644219977579564E-3</v>
      </c>
    </row>
    <row r="43" spans="1:10" ht="15.75" x14ac:dyDescent="0.25">
      <c r="A43" s="15" t="s">
        <v>58</v>
      </c>
      <c r="B43" s="207"/>
      <c r="C43" s="207"/>
      <c r="D43" s="208"/>
      <c r="E43" s="207"/>
      <c r="H43" s="18"/>
      <c r="I43" s="43"/>
      <c r="J43" s="20"/>
    </row>
    <row r="44" spans="1:10" ht="15.75" x14ac:dyDescent="0.25">
      <c r="A44" s="27" t="s">
        <v>59</v>
      </c>
      <c r="B44" s="207" t="s">
        <v>51</v>
      </c>
      <c r="C44" s="32">
        <v>51097648</v>
      </c>
      <c r="D44" s="207" t="s">
        <v>52</v>
      </c>
      <c r="E44" s="207">
        <v>1200</v>
      </c>
      <c r="F44" s="21">
        <v>425.70299999999997</v>
      </c>
      <c r="G44" s="21">
        <v>427.73599999999999</v>
      </c>
      <c r="H44" s="33">
        <f>(G44-F44)*E44</f>
        <v>2439.6000000000186</v>
      </c>
      <c r="I44" s="43"/>
      <c r="J44" s="20"/>
    </row>
    <row r="45" spans="1:10" ht="15.75" x14ac:dyDescent="0.25">
      <c r="A45" s="27" t="s">
        <v>60</v>
      </c>
      <c r="B45" s="207" t="s">
        <v>51</v>
      </c>
      <c r="C45" s="32">
        <v>50555043</v>
      </c>
      <c r="D45" s="207" t="s">
        <v>52</v>
      </c>
      <c r="E45" s="207">
        <v>1200</v>
      </c>
      <c r="F45" s="21">
        <v>1784.4390000000001</v>
      </c>
      <c r="G45" s="21">
        <v>1793.058</v>
      </c>
      <c r="H45" s="33">
        <f>(G45-F45)*E45</f>
        <v>10342.799999999897</v>
      </c>
      <c r="I45" s="43"/>
      <c r="J45" s="20"/>
    </row>
    <row r="46" spans="1:10" ht="15.75" x14ac:dyDescent="0.25">
      <c r="A46" s="27" t="s">
        <v>61</v>
      </c>
      <c r="B46" s="207" t="s">
        <v>51</v>
      </c>
      <c r="C46" s="32">
        <v>51259336</v>
      </c>
      <c r="D46" s="207" t="s">
        <v>62</v>
      </c>
      <c r="E46" s="207">
        <v>2400</v>
      </c>
      <c r="F46" s="21">
        <v>3.7109999999999999</v>
      </c>
      <c r="G46" s="21">
        <v>3.7250000000000001</v>
      </c>
      <c r="H46" s="33">
        <f>(G46-F46)*E46</f>
        <v>33.600000000000563</v>
      </c>
      <c r="I46" s="43"/>
      <c r="J46" s="20"/>
    </row>
    <row r="47" spans="1:10" ht="15.75" x14ac:dyDescent="0.25">
      <c r="A47" s="27" t="s">
        <v>63</v>
      </c>
      <c r="B47" s="207" t="s">
        <v>51</v>
      </c>
      <c r="C47" s="32">
        <v>51259266</v>
      </c>
      <c r="D47" s="207" t="s">
        <v>52</v>
      </c>
      <c r="E47" s="207">
        <v>1200</v>
      </c>
      <c r="F47" s="21">
        <v>864.47400000000005</v>
      </c>
      <c r="G47" s="21">
        <v>868.32399999999996</v>
      </c>
      <c r="H47" s="33">
        <f>(G47-F47)*E47</f>
        <v>4619.9999999998909</v>
      </c>
      <c r="I47" s="43"/>
      <c r="J47" s="20"/>
    </row>
    <row r="48" spans="1:10" ht="15.75" x14ac:dyDescent="0.25">
      <c r="A48" s="27" t="s">
        <v>64</v>
      </c>
      <c r="B48" s="207" t="s">
        <v>51</v>
      </c>
      <c r="C48" s="32">
        <v>51431336</v>
      </c>
      <c r="D48" s="207" t="s">
        <v>52</v>
      </c>
      <c r="E48" s="207">
        <v>1200</v>
      </c>
      <c r="F48" s="21">
        <v>47.41</v>
      </c>
      <c r="G48" s="21">
        <v>47.786999999999999</v>
      </c>
      <c r="H48" s="33">
        <f>(G48-F48)*E48</f>
        <v>452.40000000000293</v>
      </c>
      <c r="I48" s="43"/>
      <c r="J48" s="20"/>
    </row>
    <row r="49" spans="1:10" ht="15.75" x14ac:dyDescent="0.25">
      <c r="A49" s="15" t="s">
        <v>65</v>
      </c>
      <c r="B49" s="207" t="s">
        <v>66</v>
      </c>
      <c r="C49" s="207">
        <v>49174</v>
      </c>
      <c r="D49" s="208" t="s">
        <v>52</v>
      </c>
      <c r="E49" s="207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17938.399999999809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207" t="s">
        <v>51</v>
      </c>
      <c r="C52" s="207">
        <v>51097603</v>
      </c>
      <c r="D52" s="208" t="s">
        <v>52</v>
      </c>
      <c r="E52" s="207">
        <v>7000</v>
      </c>
      <c r="F52" s="17">
        <v>1725.221</v>
      </c>
      <c r="G52" s="17">
        <v>1732.4770000000001</v>
      </c>
      <c r="H52" s="18">
        <f>(G52-F52)*E52</f>
        <v>50792.000000000597</v>
      </c>
      <c r="I52" s="43"/>
      <c r="J52" s="20"/>
    </row>
    <row r="53" spans="1:10" ht="15.75" x14ac:dyDescent="0.25">
      <c r="A53" s="27" t="s">
        <v>71</v>
      </c>
      <c r="B53" s="207" t="s">
        <v>51</v>
      </c>
      <c r="C53" s="207">
        <v>51097590</v>
      </c>
      <c r="D53" s="208" t="s">
        <v>52</v>
      </c>
      <c r="E53" s="207">
        <v>7000</v>
      </c>
      <c r="F53" s="21">
        <v>10.45</v>
      </c>
      <c r="G53" s="21">
        <v>10.526</v>
      </c>
      <c r="H53" s="18">
        <f>(G53-F53)*E53</f>
        <v>532.00000000000364</v>
      </c>
      <c r="I53" s="43"/>
      <c r="J53" s="20"/>
    </row>
    <row r="54" spans="1:10" ht="15.75" x14ac:dyDescent="0.25">
      <c r="A54" s="15" t="s">
        <v>65</v>
      </c>
      <c r="B54" s="207" t="s">
        <v>66</v>
      </c>
      <c r="C54" s="207">
        <v>49174</v>
      </c>
      <c r="D54" s="208" t="s">
        <v>52</v>
      </c>
      <c r="E54" s="207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207"/>
      <c r="D55" s="208"/>
      <c r="E55" s="207"/>
      <c r="F55" s="21"/>
      <c r="G55" s="21"/>
      <c r="H55" s="48">
        <f>H52+H53+H54</f>
        <v>51424.000000000597</v>
      </c>
      <c r="I55" s="47"/>
      <c r="J55" s="59"/>
    </row>
    <row r="56" spans="1:10" ht="15.75" x14ac:dyDescent="0.25">
      <c r="A56" s="27" t="s">
        <v>73</v>
      </c>
      <c r="B56" s="207" t="s">
        <v>51</v>
      </c>
      <c r="C56" s="207">
        <v>51100980</v>
      </c>
      <c r="D56" s="207" t="s">
        <v>74</v>
      </c>
      <c r="E56" s="207">
        <v>12000</v>
      </c>
      <c r="F56" s="21">
        <v>1014.85</v>
      </c>
      <c r="G56" s="21">
        <v>1019.133</v>
      </c>
      <c r="H56" s="18">
        <f>(G56-F56)*E56</f>
        <v>51396.000000000189</v>
      </c>
      <c r="I56" s="47"/>
      <c r="J56" s="58"/>
    </row>
    <row r="57" spans="1:10" ht="15.75" x14ac:dyDescent="0.25">
      <c r="A57" s="27" t="s">
        <v>75</v>
      </c>
      <c r="B57" s="207" t="s">
        <v>51</v>
      </c>
      <c r="C57" s="207">
        <v>51097623</v>
      </c>
      <c r="D57" s="207" t="s">
        <v>74</v>
      </c>
      <c r="E57" s="207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207"/>
      <c r="C58" s="207"/>
      <c r="D58" s="207"/>
      <c r="E58" s="207"/>
      <c r="F58" s="21"/>
      <c r="G58" s="21"/>
      <c r="H58" s="48">
        <f>H56+H57</f>
        <v>51396.000000000189</v>
      </c>
      <c r="I58" s="61">
        <f>H55-H65-H54</f>
        <v>-152.39999999881547</v>
      </c>
      <c r="J58" s="25">
        <f>I58/H58</f>
        <v>-2.9652113004672524E-3</v>
      </c>
    </row>
    <row r="59" spans="1:10" ht="15.75" x14ac:dyDescent="0.25">
      <c r="A59" s="27" t="s">
        <v>77</v>
      </c>
      <c r="B59" s="207" t="s">
        <v>51</v>
      </c>
      <c r="C59" s="207">
        <v>51097675</v>
      </c>
      <c r="D59" s="207" t="s">
        <v>34</v>
      </c>
      <c r="E59" s="207">
        <v>4800</v>
      </c>
      <c r="F59" s="21">
        <v>415.69900000000001</v>
      </c>
      <c r="G59" s="21">
        <v>419.11</v>
      </c>
      <c r="H59" s="18">
        <f t="shared" ref="H59:H64" si="2">(G59-F59)*E59</f>
        <v>16372.800000000007</v>
      </c>
      <c r="I59" s="62"/>
      <c r="J59" s="59"/>
    </row>
    <row r="60" spans="1:10" ht="15.75" x14ac:dyDescent="0.25">
      <c r="A60" s="27" t="s">
        <v>78</v>
      </c>
      <c r="B60" s="207" t="s">
        <v>51</v>
      </c>
      <c r="C60" s="207">
        <v>51100997</v>
      </c>
      <c r="D60" s="207" t="s">
        <v>21</v>
      </c>
      <c r="E60" s="207">
        <v>3600</v>
      </c>
      <c r="F60" s="21">
        <v>1278.758</v>
      </c>
      <c r="G60" s="21">
        <v>1281.7809999999999</v>
      </c>
      <c r="H60" s="18">
        <f t="shared" si="2"/>
        <v>10882.799999999679</v>
      </c>
      <c r="I60" s="62"/>
      <c r="J60" s="59"/>
    </row>
    <row r="61" spans="1:10" ht="15.75" x14ac:dyDescent="0.25">
      <c r="A61" s="27" t="s">
        <v>79</v>
      </c>
      <c r="B61" s="207" t="s">
        <v>51</v>
      </c>
      <c r="C61" s="207">
        <v>51555218</v>
      </c>
      <c r="D61" s="207">
        <f>400/5</f>
        <v>80</v>
      </c>
      <c r="E61" s="207">
        <v>4800</v>
      </c>
      <c r="F61" s="21">
        <v>48.44</v>
      </c>
      <c r="G61" s="21">
        <v>49.029000000000003</v>
      </c>
      <c r="H61" s="18">
        <f t="shared" si="2"/>
        <v>2827.2000000000276</v>
      </c>
      <c r="I61" s="62"/>
      <c r="J61" s="59"/>
    </row>
    <row r="62" spans="1:10" ht="15.75" x14ac:dyDescent="0.25">
      <c r="A62" s="27" t="s">
        <v>80</v>
      </c>
      <c r="B62" s="207" t="s">
        <v>51</v>
      </c>
      <c r="C62" s="207">
        <v>51555151</v>
      </c>
      <c r="D62" s="207">
        <f>400/5</f>
        <v>80</v>
      </c>
      <c r="E62" s="207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207" t="s">
        <v>51</v>
      </c>
      <c r="C63" s="207">
        <v>51097599</v>
      </c>
      <c r="D63" s="207" t="s">
        <v>21</v>
      </c>
      <c r="E63" s="207">
        <v>3600</v>
      </c>
      <c r="F63" s="21">
        <v>892.74800000000005</v>
      </c>
      <c r="G63" s="21">
        <v>895.19200000000001</v>
      </c>
      <c r="H63" s="18">
        <f t="shared" si="2"/>
        <v>8798.3999999998559</v>
      </c>
      <c r="I63" s="62"/>
      <c r="J63" s="59"/>
    </row>
    <row r="64" spans="1:10" ht="15.75" x14ac:dyDescent="0.25">
      <c r="A64" s="27" t="s">
        <v>82</v>
      </c>
      <c r="B64" s="207" t="s">
        <v>51</v>
      </c>
      <c r="C64" s="207">
        <v>51097620</v>
      </c>
      <c r="D64" s="207" t="s">
        <v>34</v>
      </c>
      <c r="E64" s="207">
        <v>4800</v>
      </c>
      <c r="F64" s="21">
        <v>433.33100000000002</v>
      </c>
      <c r="G64" s="21">
        <v>435.95499999999998</v>
      </c>
      <c r="H64" s="18">
        <f t="shared" si="2"/>
        <v>12595.199999999841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51476.399999999412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207" t="s">
        <v>51</v>
      </c>
      <c r="C67" s="9">
        <v>51259238</v>
      </c>
      <c r="D67" s="74" t="s">
        <v>52</v>
      </c>
      <c r="E67" s="74">
        <v>7000</v>
      </c>
      <c r="F67" s="75">
        <v>474.50900000000001</v>
      </c>
      <c r="G67" s="75">
        <v>477.488</v>
      </c>
      <c r="H67" s="76">
        <f>(G67-F67)*E67</f>
        <v>20852.999999999894</v>
      </c>
      <c r="I67" s="77"/>
      <c r="J67" s="78"/>
    </row>
    <row r="68" spans="1:10" ht="15.75" x14ac:dyDescent="0.25">
      <c r="A68" s="27" t="s">
        <v>85</v>
      </c>
      <c r="B68" s="207" t="s">
        <v>51</v>
      </c>
      <c r="C68" s="207">
        <v>51259324</v>
      </c>
      <c r="D68" s="208" t="s">
        <v>52</v>
      </c>
      <c r="E68" s="208">
        <v>7000</v>
      </c>
      <c r="F68" s="21">
        <v>364.6</v>
      </c>
      <c r="G68" s="21">
        <v>366.88099999999997</v>
      </c>
      <c r="H68" s="18">
        <f>(G68-F68)*E68</f>
        <v>15966.999999999643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207">
        <v>51491618</v>
      </c>
      <c r="D69" s="208" t="s">
        <v>62</v>
      </c>
      <c r="E69" s="207">
        <v>40</v>
      </c>
      <c r="F69" s="28">
        <v>931.08100000000002</v>
      </c>
      <c r="G69" s="28">
        <v>943.08799999999997</v>
      </c>
      <c r="H69" s="18">
        <f>(G69-F69)*E69</f>
        <v>480.27999999999793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207">
        <v>51491624</v>
      </c>
      <c r="D70" s="208" t="s">
        <v>62</v>
      </c>
      <c r="E70" s="207">
        <v>40</v>
      </c>
      <c r="F70" s="28">
        <v>125.459</v>
      </c>
      <c r="G70" s="28">
        <v>127.16800000000001</v>
      </c>
      <c r="H70" s="18">
        <f>(G70-F70)*E70</f>
        <v>68.360000000000127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36819.999999999534</v>
      </c>
      <c r="I71" s="85">
        <f>H71-H74-H69-H70</f>
        <v>-808.6400000001654</v>
      </c>
      <c r="J71" s="25">
        <f>I71/H71</f>
        <v>-2.1961977186316557E-2</v>
      </c>
    </row>
    <row r="72" spans="1:10" ht="15.75" x14ac:dyDescent="0.25">
      <c r="A72" s="27" t="s">
        <v>90</v>
      </c>
      <c r="B72" s="207" t="s">
        <v>51</v>
      </c>
      <c r="C72" s="86">
        <v>51097588</v>
      </c>
      <c r="D72" s="208" t="s">
        <v>74</v>
      </c>
      <c r="E72" s="207">
        <v>12000</v>
      </c>
      <c r="F72" s="21">
        <v>286.63400000000001</v>
      </c>
      <c r="G72" s="21">
        <v>288.346</v>
      </c>
      <c r="H72" s="18">
        <f>(G72-F72)*E72</f>
        <v>20543.999999999869</v>
      </c>
      <c r="I72" s="51"/>
      <c r="J72" s="58"/>
    </row>
    <row r="73" spans="1:10" ht="15.75" x14ac:dyDescent="0.25">
      <c r="A73" s="27" t="s">
        <v>91</v>
      </c>
      <c r="B73" s="207" t="s">
        <v>51</v>
      </c>
      <c r="C73" s="86">
        <v>51431335</v>
      </c>
      <c r="D73" s="208" t="s">
        <v>74</v>
      </c>
      <c r="E73" s="207">
        <v>12000</v>
      </c>
      <c r="F73" s="21">
        <v>223.792</v>
      </c>
      <c r="G73" s="21">
        <v>225.17</v>
      </c>
      <c r="H73" s="18">
        <f>(G73-F73)*E73</f>
        <v>16535.999999999833</v>
      </c>
      <c r="I73" s="51"/>
      <c r="J73" s="58"/>
    </row>
    <row r="74" spans="1:10" ht="15.75" x14ac:dyDescent="0.25">
      <c r="A74" s="87" t="s">
        <v>92</v>
      </c>
      <c r="B74" s="207" t="s">
        <v>27</v>
      </c>
      <c r="C74" s="207"/>
      <c r="D74" s="208"/>
      <c r="E74" s="207"/>
      <c r="F74" s="21"/>
      <c r="G74" s="21"/>
      <c r="H74" s="48">
        <f>H72+ H73</f>
        <v>37079.999999999702</v>
      </c>
      <c r="I74" s="85">
        <f>H74-H82</f>
        <v>-105.60000000033324</v>
      </c>
      <c r="J74" s="25">
        <f>I74/H74</f>
        <v>-2.8478964401384599E-3</v>
      </c>
    </row>
    <row r="75" spans="1:10" ht="15.75" x14ac:dyDescent="0.25">
      <c r="A75" s="27" t="s">
        <v>93</v>
      </c>
      <c r="B75" s="207" t="s">
        <v>51</v>
      </c>
      <c r="C75" s="86">
        <v>51097676</v>
      </c>
      <c r="D75" s="88" t="s">
        <v>62</v>
      </c>
      <c r="E75" s="207">
        <v>2400</v>
      </c>
      <c r="F75" s="21">
        <v>586.66999999999996</v>
      </c>
      <c r="G75" s="21">
        <v>590.95100000000002</v>
      </c>
      <c r="H75" s="18">
        <f>(G75-F75)*E75</f>
        <v>10274.400000000151</v>
      </c>
      <c r="I75" s="51"/>
      <c r="J75" s="58"/>
    </row>
    <row r="76" spans="1:10" ht="15.75" x14ac:dyDescent="0.25">
      <c r="A76" s="27" t="s">
        <v>94</v>
      </c>
      <c r="B76" s="207" t="s">
        <v>51</v>
      </c>
      <c r="C76" s="86">
        <v>51431355</v>
      </c>
      <c r="D76" s="208" t="s">
        <v>21</v>
      </c>
      <c r="E76" s="208">
        <v>3600</v>
      </c>
      <c r="F76" s="21">
        <v>323.49599999999998</v>
      </c>
      <c r="G76" s="21">
        <v>324.83100000000002</v>
      </c>
      <c r="H76" s="18">
        <f>(G76-F76)*E76</f>
        <v>4806.000000000131</v>
      </c>
      <c r="I76" s="51"/>
      <c r="J76" s="52"/>
    </row>
    <row r="77" spans="1:10" ht="15.75" x14ac:dyDescent="0.25">
      <c r="A77" s="27" t="s">
        <v>95</v>
      </c>
      <c r="B77" s="207" t="s">
        <v>51</v>
      </c>
      <c r="C77" s="86">
        <v>51259331</v>
      </c>
      <c r="D77" s="88" t="s">
        <v>37</v>
      </c>
      <c r="E77" s="207">
        <v>600</v>
      </c>
      <c r="F77" s="21">
        <v>137.44300000000001</v>
      </c>
      <c r="G77" s="21">
        <v>138.51300000000001</v>
      </c>
      <c r="H77" s="18">
        <f>(G77-F77)*E77</f>
        <v>641.99999999999591</v>
      </c>
      <c r="I77" s="51"/>
      <c r="J77" s="52"/>
    </row>
    <row r="78" spans="1:10" ht="15.75" x14ac:dyDescent="0.25">
      <c r="A78" s="27" t="s">
        <v>96</v>
      </c>
      <c r="B78" s="207" t="s">
        <v>51</v>
      </c>
      <c r="C78" s="86">
        <v>51259326</v>
      </c>
      <c r="D78" s="88" t="s">
        <v>14</v>
      </c>
      <c r="E78" s="207">
        <v>7200</v>
      </c>
      <c r="F78" s="21">
        <v>286.69600000000003</v>
      </c>
      <c r="G78" s="21">
        <v>288.13499999999999</v>
      </c>
      <c r="H78" s="18">
        <f>(G78-F78)*E78</f>
        <v>10360.799999999745</v>
      </c>
      <c r="I78" s="51"/>
      <c r="J78" s="52"/>
    </row>
    <row r="79" spans="1:10" ht="15.75" x14ac:dyDescent="0.25">
      <c r="A79" s="27" t="s">
        <v>97</v>
      </c>
      <c r="B79" s="207" t="s">
        <v>51</v>
      </c>
      <c r="C79" s="86">
        <v>51431351</v>
      </c>
      <c r="D79" s="88" t="s">
        <v>14</v>
      </c>
      <c r="E79" s="207">
        <v>7200</v>
      </c>
      <c r="F79" s="21">
        <v>196.827</v>
      </c>
      <c r="G79" s="21">
        <v>198.369</v>
      </c>
      <c r="H79" s="18">
        <f>(G79-F79)*E79</f>
        <v>11102.400000000012</v>
      </c>
      <c r="I79" s="51"/>
      <c r="J79" s="52"/>
    </row>
    <row r="80" spans="1:10" ht="15.75" x14ac:dyDescent="0.25">
      <c r="A80" s="89" t="s">
        <v>98</v>
      </c>
      <c r="B80" s="207" t="s">
        <v>51</v>
      </c>
      <c r="C80" s="90">
        <v>51097666</v>
      </c>
      <c r="D80" s="88" t="s">
        <v>62</v>
      </c>
      <c r="E80" s="207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207" t="s">
        <v>51</v>
      </c>
      <c r="C81" s="90">
        <v>51259323</v>
      </c>
      <c r="D81" s="88" t="s">
        <v>62</v>
      </c>
      <c r="E81" s="207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37185.600000000035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207" t="s">
        <v>51</v>
      </c>
      <c r="C84" s="106">
        <v>51431297</v>
      </c>
      <c r="D84" s="208" t="s">
        <v>52</v>
      </c>
      <c r="E84" s="100">
        <v>7000</v>
      </c>
      <c r="F84" s="17">
        <v>237.78</v>
      </c>
      <c r="G84" s="17">
        <v>238.63800000000001</v>
      </c>
      <c r="H84" s="18">
        <f>(G84-F84)*E84</f>
        <v>6006.0000000000291</v>
      </c>
      <c r="I84" s="107"/>
      <c r="J84" s="108"/>
    </row>
    <row r="85" spans="1:10" ht="15.75" x14ac:dyDescent="0.25">
      <c r="A85" s="105" t="s">
        <v>85</v>
      </c>
      <c r="B85" s="207" t="s">
        <v>51</v>
      </c>
      <c r="C85" s="106">
        <v>51431332</v>
      </c>
      <c r="D85" s="208" t="s">
        <v>52</v>
      </c>
      <c r="E85" s="100">
        <v>7000</v>
      </c>
      <c r="F85" s="21">
        <v>318.45800000000003</v>
      </c>
      <c r="G85" s="21">
        <v>320.21499999999997</v>
      </c>
      <c r="H85" s="18">
        <f>(G85-F85)*E85</f>
        <v>12298.999999999636</v>
      </c>
      <c r="I85" s="207"/>
      <c r="J85" s="58"/>
    </row>
    <row r="86" spans="1:10" ht="15.75" x14ac:dyDescent="0.25">
      <c r="A86" s="27" t="s">
        <v>86</v>
      </c>
      <c r="B86" s="207" t="s">
        <v>102</v>
      </c>
      <c r="C86" s="109">
        <v>150773</v>
      </c>
      <c r="D86" s="208" t="s">
        <v>52</v>
      </c>
      <c r="E86" s="109">
        <v>20</v>
      </c>
      <c r="F86" s="17">
        <v>15411.6</v>
      </c>
      <c r="G86" s="17">
        <v>15419.9</v>
      </c>
      <c r="H86" s="18">
        <f>(G86-F86)*E86</f>
        <v>165.99999999998545</v>
      </c>
      <c r="I86" s="51"/>
      <c r="J86" s="58"/>
    </row>
    <row r="87" spans="1:10" ht="15.75" x14ac:dyDescent="0.25">
      <c r="A87" s="27" t="s">
        <v>88</v>
      </c>
      <c r="B87" s="207" t="s">
        <v>102</v>
      </c>
      <c r="C87" s="109">
        <v>150791</v>
      </c>
      <c r="D87" s="208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209"/>
      <c r="C88" s="32"/>
      <c r="D88" s="82"/>
      <c r="E88" s="82"/>
      <c r="F88" s="21"/>
      <c r="G88" s="21"/>
      <c r="H88" s="48">
        <f>H84+H85</f>
        <v>18304.999999999665</v>
      </c>
      <c r="I88" s="85">
        <f>H88-H91-H86-H87</f>
        <v>460.59999999971478</v>
      </c>
      <c r="J88" s="25">
        <f>I88/H88</f>
        <v>2.5162523900558492E-2</v>
      </c>
    </row>
    <row r="89" spans="1:10" ht="15.75" x14ac:dyDescent="0.25">
      <c r="A89" s="27" t="s">
        <v>103</v>
      </c>
      <c r="B89" s="207" t="s">
        <v>51</v>
      </c>
      <c r="C89" s="106">
        <v>51431342</v>
      </c>
      <c r="D89" s="88" t="s">
        <v>34</v>
      </c>
      <c r="E89" s="207">
        <v>4800</v>
      </c>
      <c r="F89" s="21">
        <v>336.84100000000001</v>
      </c>
      <c r="G89" s="21">
        <v>338.05399999999997</v>
      </c>
      <c r="H89" s="18">
        <f>(G89-F89)*E89</f>
        <v>5822.3999999998341</v>
      </c>
      <c r="I89" s="51"/>
      <c r="J89" s="52"/>
    </row>
    <row r="90" spans="1:10" ht="15.75" x14ac:dyDescent="0.25">
      <c r="A90" s="27" t="s">
        <v>104</v>
      </c>
      <c r="B90" s="207" t="s">
        <v>51</v>
      </c>
      <c r="C90" s="106">
        <v>51431343</v>
      </c>
      <c r="D90" s="88" t="s">
        <v>34</v>
      </c>
      <c r="E90" s="207">
        <v>4800</v>
      </c>
      <c r="F90" s="21">
        <v>450.83499999999998</v>
      </c>
      <c r="G90" s="21">
        <v>453.30500000000001</v>
      </c>
      <c r="H90" s="18">
        <f>(G90-F90)*E90</f>
        <v>11856.000000000131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17678.399999999965</v>
      </c>
      <c r="I91" s="85">
        <f>H91-H99</f>
        <v>-136.59999999998763</v>
      </c>
      <c r="J91" s="25">
        <f>I91/H91</f>
        <v>-7.7269436148060854E-3</v>
      </c>
    </row>
    <row r="92" spans="1:10" ht="15.75" x14ac:dyDescent="0.25">
      <c r="A92" s="27" t="s">
        <v>106</v>
      </c>
      <c r="B92" s="207" t="s">
        <v>51</v>
      </c>
      <c r="C92" s="106">
        <v>51431347</v>
      </c>
      <c r="D92" s="208" t="s">
        <v>52</v>
      </c>
      <c r="E92" s="207">
        <v>1200</v>
      </c>
      <c r="F92" s="21">
        <v>1015.056</v>
      </c>
      <c r="G92" s="21">
        <v>1023.48</v>
      </c>
      <c r="H92" s="18">
        <f t="shared" ref="H92:H100" si="4">(G92-F92)*E92</f>
        <v>10108.799999999974</v>
      </c>
      <c r="I92" s="51"/>
      <c r="J92" s="52"/>
    </row>
    <row r="93" spans="1:10" ht="15.75" x14ac:dyDescent="0.25">
      <c r="A93" s="27" t="s">
        <v>107</v>
      </c>
      <c r="B93" s="207" t="s">
        <v>51</v>
      </c>
      <c r="C93" s="106">
        <v>51431339</v>
      </c>
      <c r="D93" s="208" t="s">
        <v>52</v>
      </c>
      <c r="E93" s="207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207" t="s">
        <v>51</v>
      </c>
      <c r="C94" s="106">
        <v>51217244</v>
      </c>
      <c r="D94" s="207" t="s">
        <v>37</v>
      </c>
      <c r="E94" s="207">
        <v>600</v>
      </c>
      <c r="F94" s="30">
        <v>278.24599999999998</v>
      </c>
      <c r="G94" s="30">
        <v>281.03899999999999</v>
      </c>
      <c r="H94" s="18">
        <f t="shared" si="4"/>
        <v>1675.8000000000038</v>
      </c>
      <c r="I94" s="51"/>
      <c r="J94" s="52"/>
    </row>
    <row r="95" spans="1:10" ht="15.75" x14ac:dyDescent="0.25">
      <c r="A95" s="27" t="s">
        <v>109</v>
      </c>
      <c r="B95" s="207" t="s">
        <v>51</v>
      </c>
      <c r="C95" s="106">
        <v>51217267</v>
      </c>
      <c r="D95" s="88" t="s">
        <v>62</v>
      </c>
      <c r="E95" s="207">
        <v>2400</v>
      </c>
      <c r="F95" s="30">
        <v>19.321999999999999</v>
      </c>
      <c r="G95" s="30">
        <v>19.353000000000002</v>
      </c>
      <c r="H95" s="18">
        <f t="shared" si="4"/>
        <v>74.400000000005662</v>
      </c>
      <c r="I95" s="51"/>
      <c r="J95" s="52"/>
    </row>
    <row r="96" spans="1:10" ht="15.75" x14ac:dyDescent="0.25">
      <c r="A96" s="27" t="s">
        <v>110</v>
      </c>
      <c r="B96" s="207" t="s">
        <v>51</v>
      </c>
      <c r="C96" s="207">
        <v>51555165</v>
      </c>
      <c r="D96" s="208" t="s">
        <v>52</v>
      </c>
      <c r="E96" s="207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207" t="s">
        <v>51</v>
      </c>
      <c r="C97" s="106">
        <v>51431346</v>
      </c>
      <c r="D97" s="114" t="s">
        <v>37</v>
      </c>
      <c r="E97" s="114">
        <v>600</v>
      </c>
      <c r="F97" s="30">
        <v>313.97500000000002</v>
      </c>
      <c r="G97" s="30">
        <v>314.37900000000002</v>
      </c>
      <c r="H97" s="115">
        <f t="shared" si="4"/>
        <v>242.39999999999782</v>
      </c>
      <c r="I97" s="116"/>
      <c r="J97" s="117"/>
    </row>
    <row r="98" spans="1:10" ht="15.75" x14ac:dyDescent="0.25">
      <c r="A98" s="27" t="s">
        <v>112</v>
      </c>
      <c r="B98" s="207" t="s">
        <v>51</v>
      </c>
      <c r="C98" s="106">
        <v>51431352</v>
      </c>
      <c r="D98" s="88" t="s">
        <v>21</v>
      </c>
      <c r="E98" s="207">
        <v>3600</v>
      </c>
      <c r="F98" s="21">
        <v>179.91499999999999</v>
      </c>
      <c r="G98" s="21">
        <v>181.45599999999999</v>
      </c>
      <c r="H98" s="18">
        <f t="shared" si="4"/>
        <v>5547.5999999999885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17814.999999999953</v>
      </c>
      <c r="I99" s="51"/>
      <c r="J99" s="52"/>
    </row>
    <row r="100" spans="1:10" ht="15.75" x14ac:dyDescent="0.25">
      <c r="A100" s="45" t="s">
        <v>113</v>
      </c>
      <c r="B100" s="207" t="s">
        <v>51</v>
      </c>
      <c r="C100" s="120">
        <v>51431357</v>
      </c>
      <c r="D100" s="208" t="s">
        <v>62</v>
      </c>
      <c r="E100" s="208">
        <v>14000</v>
      </c>
      <c r="F100" s="28">
        <v>726.48900000000003</v>
      </c>
      <c r="G100" s="28">
        <v>730.24400000000003</v>
      </c>
      <c r="H100" s="121">
        <f t="shared" si="4"/>
        <v>52569.999999999935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abSelected="1" zoomScale="85" zoomScaleNormal="85" workbookViewId="0">
      <selection activeCell="A2" sqref="A2:A3"/>
    </sheetView>
  </sheetViews>
  <sheetFormatPr defaultRowHeight="15" x14ac:dyDescent="0.25"/>
  <cols>
    <col min="1" max="1" width="41.7109375" customWidth="1"/>
    <col min="2" max="2" width="25.85546875" customWidth="1"/>
    <col min="3" max="3" width="12.42578125" customWidth="1"/>
    <col min="6" max="7" width="19.140625" customWidth="1"/>
    <col min="8" max="8" width="18" customWidth="1"/>
    <col min="9" max="9" width="21" customWidth="1"/>
    <col min="10" max="10" width="23.85546875" customWidth="1"/>
  </cols>
  <sheetData>
    <row r="1" spans="1:10" ht="16.5" thickBot="1" x14ac:dyDescent="0.3">
      <c r="A1" s="214" t="s">
        <v>145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0" ht="16.5" thickBot="1" x14ac:dyDescent="0.3">
      <c r="A2" s="215" t="s">
        <v>1</v>
      </c>
      <c r="B2" s="215" t="s">
        <v>2</v>
      </c>
      <c r="C2" s="215" t="s">
        <v>3</v>
      </c>
      <c r="D2" s="216" t="s">
        <v>4</v>
      </c>
      <c r="E2" s="215" t="s">
        <v>5</v>
      </c>
      <c r="F2" s="217" t="s">
        <v>6</v>
      </c>
      <c r="G2" s="218"/>
      <c r="H2" s="1" t="s">
        <v>7</v>
      </c>
      <c r="I2" s="2" t="s">
        <v>8</v>
      </c>
      <c r="J2" s="3" t="s">
        <v>8</v>
      </c>
    </row>
    <row r="3" spans="1:10" ht="16.5" thickBot="1" x14ac:dyDescent="0.3">
      <c r="A3" s="215"/>
      <c r="B3" s="215"/>
      <c r="C3" s="215"/>
      <c r="D3" s="216"/>
      <c r="E3" s="215"/>
      <c r="F3" s="4" t="s">
        <v>155</v>
      </c>
      <c r="G3" s="4" t="s">
        <v>156</v>
      </c>
      <c r="H3" s="5" t="s">
        <v>9</v>
      </c>
      <c r="I3" s="6" t="s">
        <v>9</v>
      </c>
      <c r="J3" s="7" t="s">
        <v>10</v>
      </c>
    </row>
    <row r="4" spans="1:10" ht="15.75" x14ac:dyDescent="0.25">
      <c r="A4" s="8"/>
      <c r="B4" s="9"/>
      <c r="C4" s="9"/>
      <c r="D4" s="10" t="s">
        <v>11</v>
      </c>
      <c r="E4" s="9"/>
      <c r="F4" s="11"/>
      <c r="G4" s="11"/>
      <c r="H4" s="12"/>
      <c r="I4" s="13"/>
      <c r="J4" s="14"/>
    </row>
    <row r="5" spans="1:10" ht="15.75" x14ac:dyDescent="0.25">
      <c r="A5" s="15" t="s">
        <v>12</v>
      </c>
      <c r="B5" s="210" t="s">
        <v>13</v>
      </c>
      <c r="C5" s="210">
        <v>51555166</v>
      </c>
      <c r="D5" s="210" t="s">
        <v>14</v>
      </c>
      <c r="E5" s="210">
        <v>132000</v>
      </c>
      <c r="F5" s="17">
        <v>2.5430000000000001</v>
      </c>
      <c r="G5" s="17">
        <v>2.8170000000000002</v>
      </c>
      <c r="H5" s="18">
        <f>(G5-F5)*E5</f>
        <v>36168</v>
      </c>
      <c r="I5" s="19"/>
      <c r="J5" s="20"/>
    </row>
    <row r="6" spans="1:10" ht="15.75" x14ac:dyDescent="0.25">
      <c r="A6" s="15" t="s">
        <v>15</v>
      </c>
      <c r="B6" s="210" t="s">
        <v>13</v>
      </c>
      <c r="C6" s="210">
        <v>51555191</v>
      </c>
      <c r="D6" s="210" t="s">
        <v>14</v>
      </c>
      <c r="E6" s="210">
        <v>132000</v>
      </c>
      <c r="F6" s="21">
        <v>313.012</v>
      </c>
      <c r="G6" s="21">
        <v>314.75799999999998</v>
      </c>
      <c r="H6" s="18">
        <f>(G6-F6)*E6</f>
        <v>230471.99999999747</v>
      </c>
      <c r="I6" s="19"/>
      <c r="J6" s="20"/>
    </row>
    <row r="7" spans="1:10" ht="15.75" x14ac:dyDescent="0.25">
      <c r="A7" s="219" t="s">
        <v>16</v>
      </c>
      <c r="B7" s="220"/>
      <c r="C7" s="210"/>
      <c r="D7" s="211"/>
      <c r="E7" s="210"/>
      <c r="H7" s="23">
        <f>H5+H6</f>
        <v>266639.99999999744</v>
      </c>
      <c r="I7" s="24">
        <f>H7-H10-H20</f>
        <v>1997.9999999966967</v>
      </c>
      <c r="J7" s="25">
        <f>I7/H7</f>
        <v>7.4932493249201763E-3</v>
      </c>
    </row>
    <row r="8" spans="1:10" ht="15.75" x14ac:dyDescent="0.25">
      <c r="A8" s="26" t="s">
        <v>17</v>
      </c>
      <c r="B8" s="210" t="s">
        <v>13</v>
      </c>
      <c r="C8" s="210">
        <v>51097629</v>
      </c>
      <c r="D8" s="211" t="s">
        <v>14</v>
      </c>
      <c r="E8" s="210">
        <v>42000</v>
      </c>
      <c r="F8" s="21">
        <v>973.11199999999997</v>
      </c>
      <c r="G8" s="21">
        <v>976.92399999999998</v>
      </c>
      <c r="H8" s="18">
        <f>(G8-F8)*E8</f>
        <v>160104.00000000049</v>
      </c>
      <c r="I8" s="19"/>
      <c r="J8" s="20"/>
    </row>
    <row r="9" spans="1:10" ht="15.75" x14ac:dyDescent="0.25">
      <c r="A9" s="26" t="s">
        <v>18</v>
      </c>
      <c r="B9" s="210" t="s">
        <v>13</v>
      </c>
      <c r="C9" s="210">
        <v>51616820</v>
      </c>
      <c r="D9" s="211" t="s">
        <v>14</v>
      </c>
      <c r="E9" s="210">
        <v>42000</v>
      </c>
      <c r="F9" s="21">
        <v>4.1980000000000004</v>
      </c>
      <c r="G9" s="21">
        <v>4.7880000000000003</v>
      </c>
      <c r="H9" s="18">
        <f>(G9-F9)*E9</f>
        <v>24779.999999999993</v>
      </c>
      <c r="I9" s="19"/>
      <c r="J9" s="20"/>
    </row>
    <row r="10" spans="1:10" ht="15.75" x14ac:dyDescent="0.25">
      <c r="A10" s="219" t="s">
        <v>19</v>
      </c>
      <c r="B10" s="220"/>
      <c r="C10" s="210"/>
      <c r="D10" s="211"/>
      <c r="E10" s="210"/>
      <c r="F10" s="21"/>
      <c r="G10" s="21"/>
      <c r="H10" s="23">
        <f>H8+H9</f>
        <v>184884.00000000049</v>
      </c>
      <c r="I10" s="24">
        <f>H10-H17</f>
        <v>21.000000002968591</v>
      </c>
      <c r="J10" s="25">
        <f>I10/H10</f>
        <v>1.1358473422777815E-4</v>
      </c>
    </row>
    <row r="11" spans="1:10" ht="15.75" x14ac:dyDescent="0.25">
      <c r="A11" s="27" t="s">
        <v>20</v>
      </c>
      <c r="B11" s="210" t="s">
        <v>13</v>
      </c>
      <c r="C11" s="210">
        <v>51217286</v>
      </c>
      <c r="D11" s="211" t="s">
        <v>21</v>
      </c>
      <c r="E11" s="210">
        <v>21000</v>
      </c>
      <c r="F11" s="21">
        <v>772.71</v>
      </c>
      <c r="G11" s="21">
        <v>776.02499999999998</v>
      </c>
      <c r="H11" s="18">
        <f t="shared" ref="H11:H16" si="0">(G11-F11)*E11</f>
        <v>69614.999999998763</v>
      </c>
      <c r="I11" s="19"/>
      <c r="J11" s="20"/>
    </row>
    <row r="12" spans="1:10" ht="15.75" x14ac:dyDescent="0.25">
      <c r="A12" s="27" t="s">
        <v>22</v>
      </c>
      <c r="B12" s="210" t="s">
        <v>13</v>
      </c>
      <c r="C12" s="210">
        <v>51217292</v>
      </c>
      <c r="D12" s="211" t="s">
        <v>21</v>
      </c>
      <c r="E12" s="210">
        <v>21000</v>
      </c>
      <c r="F12" s="28">
        <v>3.1819999999999999</v>
      </c>
      <c r="G12" s="28">
        <v>3.2090000000000001</v>
      </c>
      <c r="H12" s="18">
        <f>(G12-F12)*E12</f>
        <v>567.00000000000284</v>
      </c>
      <c r="I12" s="19"/>
      <c r="J12" s="20"/>
    </row>
    <row r="13" spans="1:10" ht="15.75" x14ac:dyDescent="0.25">
      <c r="A13" s="27" t="s">
        <v>23</v>
      </c>
      <c r="B13" s="210" t="s">
        <v>13</v>
      </c>
      <c r="C13" s="210">
        <v>51217271</v>
      </c>
      <c r="D13" s="211" t="s">
        <v>21</v>
      </c>
      <c r="E13" s="210">
        <v>21000</v>
      </c>
      <c r="F13" s="21">
        <v>563.83000000000004</v>
      </c>
      <c r="G13" s="21">
        <v>566.41399999999999</v>
      </c>
      <c r="H13" s="18">
        <f t="shared" si="0"/>
        <v>54263.999999998872</v>
      </c>
      <c r="I13" s="19"/>
      <c r="J13" s="20"/>
    </row>
    <row r="14" spans="1:10" ht="15.75" x14ac:dyDescent="0.25">
      <c r="A14" s="27" t="s">
        <v>24</v>
      </c>
      <c r="B14" s="210" t="s">
        <v>13</v>
      </c>
      <c r="C14" s="210">
        <v>51217276</v>
      </c>
      <c r="D14" s="211" t="s">
        <v>21</v>
      </c>
      <c r="E14" s="210">
        <v>21000</v>
      </c>
      <c r="F14" s="28">
        <v>0.443</v>
      </c>
      <c r="G14" s="28">
        <v>0.45100000000000001</v>
      </c>
      <c r="H14" s="18">
        <f>(G14-F14)*E14</f>
        <v>168.00000000000014</v>
      </c>
      <c r="I14" s="19"/>
      <c r="J14" s="20"/>
    </row>
    <row r="15" spans="1:10" ht="15.75" x14ac:dyDescent="0.25">
      <c r="A15" s="27" t="s">
        <v>25</v>
      </c>
      <c r="B15" s="210" t="s">
        <v>13</v>
      </c>
      <c r="C15" s="210">
        <v>51100990</v>
      </c>
      <c r="D15" s="211" t="s">
        <v>21</v>
      </c>
      <c r="E15" s="210">
        <v>21000</v>
      </c>
      <c r="F15" s="29">
        <v>614.28899999999999</v>
      </c>
      <c r="G15" s="29">
        <v>617.14499999999998</v>
      </c>
      <c r="H15" s="18">
        <f t="shared" si="0"/>
        <v>59975.999999999884</v>
      </c>
      <c r="I15" s="19"/>
      <c r="J15" s="20"/>
    </row>
    <row r="16" spans="1:10" ht="15.75" x14ac:dyDescent="0.25">
      <c r="A16" s="27" t="s">
        <v>26</v>
      </c>
      <c r="B16" s="210" t="s">
        <v>13</v>
      </c>
      <c r="C16" s="210">
        <v>51097622</v>
      </c>
      <c r="D16" s="211" t="s">
        <v>21</v>
      </c>
      <c r="E16" s="210">
        <v>21000</v>
      </c>
      <c r="F16" s="21">
        <v>2.702</v>
      </c>
      <c r="G16" s="21">
        <v>2.7149999999999999</v>
      </c>
      <c r="H16" s="18">
        <f t="shared" si="0"/>
        <v>272.9999999999979</v>
      </c>
      <c r="I16" s="19" t="s">
        <v>27</v>
      </c>
      <c r="J16" s="20"/>
    </row>
    <row r="17" spans="1:10" ht="15.75" x14ac:dyDescent="0.25">
      <c r="A17" s="219" t="s">
        <v>28</v>
      </c>
      <c r="B17" s="220"/>
      <c r="C17" s="210"/>
      <c r="D17" s="211"/>
      <c r="E17" s="210"/>
      <c r="F17" s="21"/>
      <c r="G17" s="21"/>
      <c r="H17" s="23">
        <f>H11+H12+H13+H14+H15+H16</f>
        <v>184862.99999999753</v>
      </c>
      <c r="I17" s="19"/>
      <c r="J17" s="20"/>
    </row>
    <row r="18" spans="1:10" ht="15.75" x14ac:dyDescent="0.25">
      <c r="A18" s="26" t="s">
        <v>29</v>
      </c>
      <c r="B18" s="210" t="s">
        <v>13</v>
      </c>
      <c r="C18" s="210">
        <v>51097617</v>
      </c>
      <c r="D18" s="211" t="s">
        <v>30</v>
      </c>
      <c r="E18" s="210">
        <v>18000</v>
      </c>
      <c r="F18" s="30">
        <v>730.81600000000003</v>
      </c>
      <c r="G18" s="30">
        <v>734.65200000000004</v>
      </c>
      <c r="H18" s="18">
        <f>(G18-F18)*E18</f>
        <v>69048.000000000233</v>
      </c>
      <c r="I18" s="19"/>
      <c r="J18" s="20"/>
    </row>
    <row r="19" spans="1:10" ht="15.75" x14ac:dyDescent="0.25">
      <c r="A19" s="26" t="s">
        <v>31</v>
      </c>
      <c r="B19" s="210" t="s">
        <v>13</v>
      </c>
      <c r="C19" s="210">
        <v>51097655</v>
      </c>
      <c r="D19" s="211" t="s">
        <v>30</v>
      </c>
      <c r="E19" s="210">
        <v>18000</v>
      </c>
      <c r="F19" s="30">
        <v>6.1269999999999998</v>
      </c>
      <c r="G19" s="30">
        <v>6.7220000000000004</v>
      </c>
      <c r="H19" s="18">
        <f>(G19-F19)*E19</f>
        <v>10710.000000000011</v>
      </c>
      <c r="I19" s="19"/>
      <c r="J19" s="20"/>
    </row>
    <row r="20" spans="1:10" ht="15.75" x14ac:dyDescent="0.25">
      <c r="A20" s="219" t="s">
        <v>32</v>
      </c>
      <c r="B20" s="220"/>
      <c r="C20" s="210"/>
      <c r="D20" s="211"/>
      <c r="E20" s="210"/>
      <c r="F20" s="30"/>
      <c r="G20" s="30"/>
      <c r="H20" s="23">
        <f>H18+H19</f>
        <v>79758.000000000247</v>
      </c>
      <c r="I20" s="24">
        <f>H20-H35</f>
        <v>3528.6000000008644</v>
      </c>
      <c r="J20" s="25">
        <f>I20/H20</f>
        <v>4.4241330023331242E-2</v>
      </c>
    </row>
    <row r="21" spans="1:10" ht="15.75" x14ac:dyDescent="0.25">
      <c r="A21" s="15" t="s">
        <v>33</v>
      </c>
      <c r="B21" s="210" t="s">
        <v>13</v>
      </c>
      <c r="C21" s="210">
        <v>51217282</v>
      </c>
      <c r="D21" s="211" t="s">
        <v>34</v>
      </c>
      <c r="E21" s="210">
        <v>4800</v>
      </c>
      <c r="F21" s="21">
        <v>379.05399999999997</v>
      </c>
      <c r="G21" s="21">
        <v>379.09699999999998</v>
      </c>
      <c r="H21" s="18">
        <f t="shared" ref="H21:H34" si="1">(G21-F21)*E21</f>
        <v>206.40000000003056</v>
      </c>
      <c r="I21" s="19" t="s">
        <v>27</v>
      </c>
      <c r="J21" s="20"/>
    </row>
    <row r="22" spans="1:10" ht="15.75" x14ac:dyDescent="0.25">
      <c r="A22" s="15" t="s">
        <v>35</v>
      </c>
      <c r="B22" s="210" t="s">
        <v>13</v>
      </c>
      <c r="C22" s="210">
        <v>51217274</v>
      </c>
      <c r="D22" s="211" t="s">
        <v>34</v>
      </c>
      <c r="E22" s="210">
        <v>4800</v>
      </c>
      <c r="F22" s="21">
        <v>1155.165</v>
      </c>
      <c r="G22" s="21">
        <v>1161.3009999999999</v>
      </c>
      <c r="H22" s="18">
        <f t="shared" si="1"/>
        <v>29452.799999999843</v>
      </c>
      <c r="I22" s="19"/>
      <c r="J22" s="20"/>
    </row>
    <row r="23" spans="1:10" ht="15.75" x14ac:dyDescent="0.25">
      <c r="A23" s="15" t="s">
        <v>36</v>
      </c>
      <c r="B23" s="210" t="s">
        <v>13</v>
      </c>
      <c r="C23" s="210">
        <v>51097664</v>
      </c>
      <c r="D23" s="211" t="s">
        <v>37</v>
      </c>
      <c r="E23" s="210">
        <v>600</v>
      </c>
      <c r="F23" s="21">
        <v>4.2430000000000003</v>
      </c>
      <c r="G23" s="21">
        <v>4.2619999999999996</v>
      </c>
      <c r="H23" s="18">
        <f t="shared" si="1"/>
        <v>11.399999999999544</v>
      </c>
      <c r="I23" s="19"/>
      <c r="J23" s="20"/>
    </row>
    <row r="24" spans="1:10" ht="15.75" x14ac:dyDescent="0.25">
      <c r="A24" s="15" t="s">
        <v>38</v>
      </c>
      <c r="B24" s="210" t="s">
        <v>13</v>
      </c>
      <c r="C24" s="210">
        <v>51097615</v>
      </c>
      <c r="D24" s="211" t="s">
        <v>37</v>
      </c>
      <c r="E24" s="210">
        <v>600</v>
      </c>
      <c r="F24" s="21">
        <v>32.762</v>
      </c>
      <c r="G24" s="21">
        <v>33.146999999999998</v>
      </c>
      <c r="H24" s="18">
        <f t="shared" si="1"/>
        <v>230.99999999999881</v>
      </c>
      <c r="I24" s="19"/>
      <c r="J24" s="20"/>
    </row>
    <row r="25" spans="1:10" ht="15.75" x14ac:dyDescent="0.25">
      <c r="A25" s="15" t="s">
        <v>39</v>
      </c>
      <c r="B25" s="210" t="s">
        <v>13</v>
      </c>
      <c r="C25" s="210">
        <v>51217264</v>
      </c>
      <c r="D25" s="211" t="s">
        <v>37</v>
      </c>
      <c r="E25" s="210">
        <v>600</v>
      </c>
      <c r="F25" s="21">
        <v>81.873999999999995</v>
      </c>
      <c r="G25" s="21">
        <v>82.632999999999996</v>
      </c>
      <c r="H25" s="18">
        <f t="shared" si="1"/>
        <v>455.4000000000002</v>
      </c>
      <c r="I25" s="19"/>
      <c r="J25" s="20"/>
    </row>
    <row r="26" spans="1:10" ht="15.75" x14ac:dyDescent="0.25">
      <c r="A26" s="15" t="s">
        <v>40</v>
      </c>
      <c r="B26" s="210" t="s">
        <v>13</v>
      </c>
      <c r="C26" s="210">
        <v>51217288</v>
      </c>
      <c r="D26" s="211" t="s">
        <v>37</v>
      </c>
      <c r="E26" s="210">
        <v>600</v>
      </c>
      <c r="F26" s="21">
        <v>19.466999999999999</v>
      </c>
      <c r="G26" s="21">
        <v>19.498000000000001</v>
      </c>
      <c r="H26" s="18">
        <f t="shared" si="1"/>
        <v>18.600000000001415</v>
      </c>
      <c r="I26" s="19" t="s">
        <v>27</v>
      </c>
      <c r="J26" s="20"/>
    </row>
    <row r="27" spans="1:10" ht="15.75" x14ac:dyDescent="0.25">
      <c r="A27" s="15" t="s">
        <v>41</v>
      </c>
      <c r="B27" s="210" t="s">
        <v>13</v>
      </c>
      <c r="C27" s="210">
        <v>51217279</v>
      </c>
      <c r="D27" s="211" t="s">
        <v>37</v>
      </c>
      <c r="E27" s="210">
        <v>600</v>
      </c>
      <c r="F27" s="21">
        <v>13.539</v>
      </c>
      <c r="G27" s="21">
        <v>13.593</v>
      </c>
      <c r="H27" s="18">
        <f t="shared" si="1"/>
        <v>32.400000000000162</v>
      </c>
      <c r="I27" s="19" t="s">
        <v>27</v>
      </c>
      <c r="J27" s="20"/>
    </row>
    <row r="28" spans="1:10" ht="15.75" x14ac:dyDescent="0.25">
      <c r="A28" s="15" t="s">
        <v>42</v>
      </c>
      <c r="B28" s="210" t="s">
        <v>13</v>
      </c>
      <c r="C28" s="210">
        <v>51217272</v>
      </c>
      <c r="D28" s="211" t="s">
        <v>37</v>
      </c>
      <c r="E28" s="210">
        <v>600</v>
      </c>
      <c r="F28" s="31">
        <v>13.282</v>
      </c>
      <c r="G28" s="31">
        <v>13.335000000000001</v>
      </c>
      <c r="H28" s="18">
        <f t="shared" si="1"/>
        <v>31.800000000000495</v>
      </c>
      <c r="I28" s="19"/>
      <c r="J28" s="20"/>
    </row>
    <row r="29" spans="1:10" ht="15.75" x14ac:dyDescent="0.25">
      <c r="A29" s="15" t="s">
        <v>43</v>
      </c>
      <c r="B29" s="210" t="s">
        <v>13</v>
      </c>
      <c r="C29" s="210">
        <v>51616744</v>
      </c>
      <c r="D29" s="211">
        <f>300/5</f>
        <v>60</v>
      </c>
      <c r="E29" s="210">
        <v>3600</v>
      </c>
      <c r="F29" s="31">
        <v>109.78400000000001</v>
      </c>
      <c r="G29" s="31">
        <v>109.78400000000001</v>
      </c>
      <c r="H29" s="18">
        <f t="shared" si="1"/>
        <v>0</v>
      </c>
      <c r="I29" s="19"/>
      <c r="J29" s="20"/>
    </row>
    <row r="30" spans="1:10" ht="15.75" x14ac:dyDescent="0.25">
      <c r="A30" s="15" t="s">
        <v>44</v>
      </c>
      <c r="B30" s="210" t="s">
        <v>13</v>
      </c>
      <c r="C30" s="210">
        <v>51555226</v>
      </c>
      <c r="D30" s="211">
        <f>300/5</f>
        <v>60</v>
      </c>
      <c r="E30" s="210">
        <v>3600</v>
      </c>
      <c r="F30" s="31">
        <v>385.82400000000001</v>
      </c>
      <c r="G30" s="31">
        <v>390.06200000000001</v>
      </c>
      <c r="H30" s="18">
        <f>(G30-F30)*E30</f>
        <v>15256.8</v>
      </c>
      <c r="I30" s="19"/>
      <c r="J30" s="20"/>
    </row>
    <row r="31" spans="1:10" ht="15.75" x14ac:dyDescent="0.25">
      <c r="A31" s="15" t="s">
        <v>45</v>
      </c>
      <c r="B31" s="210" t="s">
        <v>13</v>
      </c>
      <c r="C31" s="210">
        <v>51097658</v>
      </c>
      <c r="D31" s="211" t="s">
        <v>34</v>
      </c>
      <c r="E31" s="210">
        <v>4800</v>
      </c>
      <c r="F31" s="31">
        <v>557.21400000000006</v>
      </c>
      <c r="G31" s="31">
        <v>561.03099999999995</v>
      </c>
      <c r="H31" s="18">
        <f t="shared" si="1"/>
        <v>18321.599999999489</v>
      </c>
      <c r="I31" s="19"/>
      <c r="J31" s="20"/>
    </row>
    <row r="32" spans="1:10" ht="15.75" x14ac:dyDescent="0.25">
      <c r="A32" s="15" t="s">
        <v>46</v>
      </c>
      <c r="B32" s="210" t="s">
        <v>13</v>
      </c>
      <c r="C32" s="210">
        <v>51097635</v>
      </c>
      <c r="D32" s="211" t="s">
        <v>34</v>
      </c>
      <c r="E32" s="210">
        <v>4800</v>
      </c>
      <c r="F32" s="31">
        <v>48.438000000000002</v>
      </c>
      <c r="G32" s="31">
        <v>48.439</v>
      </c>
      <c r="H32" s="18">
        <f t="shared" si="1"/>
        <v>4.7999999999888132</v>
      </c>
      <c r="I32" s="19"/>
      <c r="J32" s="20"/>
    </row>
    <row r="33" spans="1:10" ht="15.75" x14ac:dyDescent="0.25">
      <c r="A33" s="15" t="s">
        <v>47</v>
      </c>
      <c r="B33" s="210" t="s">
        <v>13</v>
      </c>
      <c r="C33" s="32">
        <v>51097633</v>
      </c>
      <c r="D33" s="211" t="s">
        <v>34</v>
      </c>
      <c r="E33" s="210">
        <v>4800</v>
      </c>
      <c r="F33" s="31">
        <v>110.85</v>
      </c>
      <c r="G33" s="31">
        <v>113.325</v>
      </c>
      <c r="H33" s="33">
        <f t="shared" si="1"/>
        <v>11880.00000000004</v>
      </c>
      <c r="I33" s="34"/>
      <c r="J33" s="35"/>
    </row>
    <row r="34" spans="1:10" ht="15.75" x14ac:dyDescent="0.25">
      <c r="A34" s="15" t="s">
        <v>116</v>
      </c>
      <c r="B34" s="210" t="s">
        <v>13</v>
      </c>
      <c r="C34" s="32">
        <v>51097662</v>
      </c>
      <c r="D34" s="211" t="s">
        <v>34</v>
      </c>
      <c r="E34" s="210">
        <v>4800</v>
      </c>
      <c r="F34" s="31">
        <v>1.9810000000000001</v>
      </c>
      <c r="G34" s="31">
        <v>2.0489999999999999</v>
      </c>
      <c r="H34" s="33">
        <f t="shared" si="1"/>
        <v>326.39999999999924</v>
      </c>
      <c r="I34" s="34"/>
      <c r="J34" s="35"/>
    </row>
    <row r="35" spans="1:10" ht="15.75" x14ac:dyDescent="0.25">
      <c r="A35" s="219" t="s">
        <v>48</v>
      </c>
      <c r="B35" s="220"/>
      <c r="C35" s="210"/>
      <c r="D35" s="211"/>
      <c r="E35" s="210"/>
      <c r="F35" s="36"/>
      <c r="G35" s="36"/>
      <c r="H35" s="23">
        <f>H21+H22+H23+H24+H25+H26+H27+H28+H29+H30+H31+H32+H33+H34</f>
        <v>76229.399999999383</v>
      </c>
      <c r="I35" s="19"/>
      <c r="J35" s="20"/>
    </row>
    <row r="36" spans="1:10" ht="15.75" x14ac:dyDescent="0.25">
      <c r="A36" s="37"/>
      <c r="B36" s="37"/>
      <c r="C36" s="37"/>
      <c r="D36" s="38" t="s">
        <v>49</v>
      </c>
      <c r="E36" s="37"/>
      <c r="F36" s="37"/>
      <c r="G36" s="37"/>
      <c r="H36" s="37"/>
      <c r="I36" s="37"/>
      <c r="J36" s="39"/>
    </row>
    <row r="37" spans="1:10" ht="15.75" x14ac:dyDescent="0.25">
      <c r="A37" s="40" t="s">
        <v>50</v>
      </c>
      <c r="B37" s="210" t="s">
        <v>51</v>
      </c>
      <c r="C37" s="210">
        <v>51555209</v>
      </c>
      <c r="D37" s="211" t="s">
        <v>52</v>
      </c>
      <c r="E37" s="210">
        <v>7000</v>
      </c>
      <c r="F37" s="17">
        <v>4.4279999999999999</v>
      </c>
      <c r="G37" s="17">
        <v>4.4749999999999996</v>
      </c>
      <c r="H37" s="41">
        <f>(G37-F37)*E37</f>
        <v>328.99999999999795</v>
      </c>
      <c r="I37" s="42"/>
      <c r="J37" s="14"/>
    </row>
    <row r="38" spans="1:10" ht="15.75" x14ac:dyDescent="0.25">
      <c r="A38" s="15" t="s">
        <v>53</v>
      </c>
      <c r="B38" s="210" t="s">
        <v>51</v>
      </c>
      <c r="C38" s="210">
        <v>51555209</v>
      </c>
      <c r="D38" s="211" t="s">
        <v>52</v>
      </c>
      <c r="E38" s="210">
        <v>7000</v>
      </c>
      <c r="F38" s="21">
        <v>9.0609999999999999</v>
      </c>
      <c r="G38" s="21">
        <v>9.1129999999999995</v>
      </c>
      <c r="H38" s="18">
        <f>(G38-F38)*E38</f>
        <v>363.99999999999721</v>
      </c>
      <c r="I38" s="43"/>
      <c r="J38" s="20"/>
    </row>
    <row r="39" spans="1:10" ht="15.75" x14ac:dyDescent="0.25">
      <c r="A39" s="44" t="s">
        <v>54</v>
      </c>
      <c r="B39" s="45"/>
      <c r="C39" s="45"/>
      <c r="D39" s="45"/>
      <c r="E39" s="45"/>
      <c r="F39" s="21"/>
      <c r="G39" s="21"/>
      <c r="H39" s="46"/>
      <c r="I39" s="43"/>
      <c r="J39" s="20"/>
    </row>
    <row r="40" spans="1:10" ht="15.75" x14ac:dyDescent="0.25">
      <c r="A40" s="27" t="s">
        <v>55</v>
      </c>
      <c r="B40" s="210" t="s">
        <v>51</v>
      </c>
      <c r="C40" s="210">
        <v>51097674</v>
      </c>
      <c r="D40" s="210" t="s">
        <v>14</v>
      </c>
      <c r="E40" s="210">
        <v>7200</v>
      </c>
      <c r="F40" s="21">
        <v>522.62199999999996</v>
      </c>
      <c r="G40" s="21">
        <v>525.05600000000004</v>
      </c>
      <c r="H40" s="18">
        <f>(G40-F40)*E40</f>
        <v>17524.800000000596</v>
      </c>
      <c r="I40" s="47"/>
      <c r="J40" s="20"/>
    </row>
    <row r="41" spans="1:10" ht="15.75" x14ac:dyDescent="0.25">
      <c r="A41" s="27" t="s">
        <v>56</v>
      </c>
      <c r="B41" s="210" t="s">
        <v>51</v>
      </c>
      <c r="C41" s="210">
        <v>51259257</v>
      </c>
      <c r="D41" s="210" t="s">
        <v>14</v>
      </c>
      <c r="E41" s="210">
        <v>7200</v>
      </c>
      <c r="F41" s="21">
        <v>1.0549999999999999</v>
      </c>
      <c r="G41" s="21">
        <v>1.0549999999999999</v>
      </c>
      <c r="H41" s="18">
        <f>(G41-F41)*E41</f>
        <v>0</v>
      </c>
      <c r="I41" s="43"/>
      <c r="J41" s="20"/>
    </row>
    <row r="42" spans="1:10" ht="15.75" x14ac:dyDescent="0.25">
      <c r="A42" s="44" t="s">
        <v>57</v>
      </c>
      <c r="B42" s="210"/>
      <c r="C42" s="210"/>
      <c r="D42" s="210"/>
      <c r="E42" s="210"/>
      <c r="F42" s="21"/>
      <c r="G42" s="21"/>
      <c r="H42" s="48">
        <f>H40+H41</f>
        <v>17524.800000000596</v>
      </c>
      <c r="I42" s="24">
        <f>H42-H50</f>
        <v>-125.59999999941283</v>
      </c>
      <c r="J42" s="25">
        <f>I42/H42</f>
        <v>-7.1669862137889485E-3</v>
      </c>
    </row>
    <row r="43" spans="1:10" ht="15.75" x14ac:dyDescent="0.25">
      <c r="A43" s="15" t="s">
        <v>58</v>
      </c>
      <c r="B43" s="210"/>
      <c r="C43" s="210"/>
      <c r="D43" s="211"/>
      <c r="E43" s="210"/>
      <c r="H43" s="18"/>
      <c r="I43" s="43"/>
      <c r="J43" s="20"/>
    </row>
    <row r="44" spans="1:10" ht="15.75" x14ac:dyDescent="0.25">
      <c r="A44" s="27" t="s">
        <v>59</v>
      </c>
      <c r="B44" s="210" t="s">
        <v>51</v>
      </c>
      <c r="C44" s="32">
        <v>51097648</v>
      </c>
      <c r="D44" s="210" t="s">
        <v>52</v>
      </c>
      <c r="E44" s="210">
        <v>1200</v>
      </c>
      <c r="F44" s="21">
        <v>427.73599999999999</v>
      </c>
      <c r="G44" s="21">
        <v>429.77300000000002</v>
      </c>
      <c r="H44" s="33">
        <f>(G44-F44)*E44</f>
        <v>2444.4000000000415</v>
      </c>
      <c r="I44" s="43"/>
      <c r="J44" s="20"/>
    </row>
    <row r="45" spans="1:10" ht="15.75" x14ac:dyDescent="0.25">
      <c r="A45" s="27" t="s">
        <v>60</v>
      </c>
      <c r="B45" s="210" t="s">
        <v>51</v>
      </c>
      <c r="C45" s="32">
        <v>50555043</v>
      </c>
      <c r="D45" s="210" t="s">
        <v>52</v>
      </c>
      <c r="E45" s="210">
        <v>1200</v>
      </c>
      <c r="F45" s="21">
        <v>1793.058</v>
      </c>
      <c r="G45" s="21">
        <v>1801.5139999999999</v>
      </c>
      <c r="H45" s="33">
        <f>(G45-F45)*E45</f>
        <v>10147.199999999884</v>
      </c>
      <c r="I45" s="43"/>
      <c r="J45" s="20"/>
    </row>
    <row r="46" spans="1:10" ht="15.75" x14ac:dyDescent="0.25">
      <c r="A46" s="27" t="s">
        <v>61</v>
      </c>
      <c r="B46" s="210" t="s">
        <v>51</v>
      </c>
      <c r="C46" s="32">
        <v>51259336</v>
      </c>
      <c r="D46" s="210" t="s">
        <v>62</v>
      </c>
      <c r="E46" s="210">
        <v>2400</v>
      </c>
      <c r="F46" s="21">
        <v>3.7250000000000001</v>
      </c>
      <c r="G46" s="21">
        <v>3.7389999999999999</v>
      </c>
      <c r="H46" s="33">
        <f>(G46-F46)*E46</f>
        <v>33.599999999999497</v>
      </c>
      <c r="I46" s="43"/>
      <c r="J46" s="20"/>
    </row>
    <row r="47" spans="1:10" ht="15.75" x14ac:dyDescent="0.25">
      <c r="A47" s="27" t="s">
        <v>63</v>
      </c>
      <c r="B47" s="210" t="s">
        <v>51</v>
      </c>
      <c r="C47" s="32">
        <v>51259266</v>
      </c>
      <c r="D47" s="210" t="s">
        <v>52</v>
      </c>
      <c r="E47" s="210">
        <v>1200</v>
      </c>
      <c r="F47" s="21">
        <v>868.32399999999996</v>
      </c>
      <c r="G47" s="21">
        <v>872.14800000000002</v>
      </c>
      <c r="H47" s="33">
        <f>(G47-F47)*E47</f>
        <v>4588.8000000000829</v>
      </c>
      <c r="I47" s="43"/>
      <c r="J47" s="20"/>
    </row>
    <row r="48" spans="1:10" ht="15.75" x14ac:dyDescent="0.25">
      <c r="A48" s="27" t="s">
        <v>64</v>
      </c>
      <c r="B48" s="210" t="s">
        <v>51</v>
      </c>
      <c r="C48" s="32">
        <v>51431336</v>
      </c>
      <c r="D48" s="210" t="s">
        <v>52</v>
      </c>
      <c r="E48" s="210">
        <v>1200</v>
      </c>
      <c r="F48" s="21">
        <v>47.786999999999999</v>
      </c>
      <c r="G48" s="21">
        <v>48.109000000000002</v>
      </c>
      <c r="H48" s="33">
        <f>(G48-F48)*E48</f>
        <v>386.40000000000327</v>
      </c>
      <c r="I48" s="43"/>
      <c r="J48" s="20"/>
    </row>
    <row r="49" spans="1:10" ht="15.75" x14ac:dyDescent="0.25">
      <c r="A49" s="15" t="s">
        <v>65</v>
      </c>
      <c r="B49" s="210" t="s">
        <v>66</v>
      </c>
      <c r="C49" s="210">
        <v>49174</v>
      </c>
      <c r="D49" s="211" t="s">
        <v>52</v>
      </c>
      <c r="E49" s="210">
        <v>20</v>
      </c>
      <c r="F49" s="49"/>
      <c r="G49" s="49"/>
      <c r="H49" s="18">
        <v>50</v>
      </c>
      <c r="I49" s="43"/>
      <c r="J49" s="20"/>
    </row>
    <row r="50" spans="1:10" ht="15.75" x14ac:dyDescent="0.25">
      <c r="A50" s="44" t="s">
        <v>67</v>
      </c>
      <c r="B50" s="45"/>
      <c r="C50" s="45"/>
      <c r="D50" s="45"/>
      <c r="E50" s="45"/>
      <c r="F50" s="49"/>
      <c r="G50" s="49"/>
      <c r="H50" s="50">
        <f>H44+H45+H46+H47+H48+H49</f>
        <v>17650.400000000009</v>
      </c>
      <c r="I50" s="51"/>
      <c r="J50" s="52"/>
    </row>
    <row r="51" spans="1:10" ht="15.75" x14ac:dyDescent="0.25">
      <c r="A51" s="53" t="s">
        <v>68</v>
      </c>
      <c r="B51" s="213" t="s">
        <v>69</v>
      </c>
      <c r="C51" s="213"/>
      <c r="D51" s="213"/>
      <c r="E51" s="213"/>
      <c r="F51" s="54"/>
      <c r="G51" s="54"/>
      <c r="H51" s="55"/>
      <c r="I51" s="56"/>
      <c r="J51" s="57"/>
    </row>
    <row r="52" spans="1:10" ht="15.75" x14ac:dyDescent="0.25">
      <c r="A52" s="27" t="s">
        <v>70</v>
      </c>
      <c r="B52" s="210" t="s">
        <v>51</v>
      </c>
      <c r="C52" s="210">
        <v>51097603</v>
      </c>
      <c r="D52" s="211" t="s">
        <v>52</v>
      </c>
      <c r="E52" s="210">
        <v>7000</v>
      </c>
      <c r="F52" s="17">
        <v>1732.4770000000001</v>
      </c>
      <c r="G52" s="17">
        <v>1739.69</v>
      </c>
      <c r="H52" s="18">
        <f>(G52-F52)*E52</f>
        <v>50490.99999999976</v>
      </c>
      <c r="I52" s="43"/>
      <c r="J52" s="20"/>
    </row>
    <row r="53" spans="1:10" ht="15.75" x14ac:dyDescent="0.25">
      <c r="A53" s="27" t="s">
        <v>71</v>
      </c>
      <c r="B53" s="210" t="s">
        <v>51</v>
      </c>
      <c r="C53" s="210">
        <v>51097590</v>
      </c>
      <c r="D53" s="211" t="s">
        <v>52</v>
      </c>
      <c r="E53" s="210">
        <v>7000</v>
      </c>
      <c r="F53" s="21">
        <v>10.526</v>
      </c>
      <c r="G53" s="21">
        <v>10.603</v>
      </c>
      <c r="H53" s="18">
        <f>(G53-F53)*E53</f>
        <v>538.99999999999966</v>
      </c>
      <c r="I53" s="43"/>
      <c r="J53" s="20"/>
    </row>
    <row r="54" spans="1:10" ht="15.75" x14ac:dyDescent="0.25">
      <c r="A54" s="15" t="s">
        <v>65</v>
      </c>
      <c r="B54" s="210" t="s">
        <v>66</v>
      </c>
      <c r="C54" s="210">
        <v>49174</v>
      </c>
      <c r="D54" s="211" t="s">
        <v>52</v>
      </c>
      <c r="E54" s="210">
        <v>20</v>
      </c>
      <c r="F54" s="21"/>
      <c r="G54" s="21"/>
      <c r="H54" s="18">
        <v>100</v>
      </c>
      <c r="I54" s="47"/>
      <c r="J54" s="58"/>
    </row>
    <row r="55" spans="1:10" ht="15.75" x14ac:dyDescent="0.25">
      <c r="A55" s="44" t="s">
        <v>72</v>
      </c>
      <c r="B55" s="40"/>
      <c r="C55" s="210"/>
      <c r="D55" s="211"/>
      <c r="E55" s="210"/>
      <c r="F55" s="21"/>
      <c r="G55" s="21"/>
      <c r="H55" s="48">
        <f>H52+H53+H54</f>
        <v>51129.99999999976</v>
      </c>
      <c r="I55" s="47"/>
      <c r="J55" s="59"/>
    </row>
    <row r="56" spans="1:10" ht="15.75" x14ac:dyDescent="0.25">
      <c r="A56" s="27" t="s">
        <v>73</v>
      </c>
      <c r="B56" s="210" t="s">
        <v>51</v>
      </c>
      <c r="C56" s="210">
        <v>51100980</v>
      </c>
      <c r="D56" s="210" t="s">
        <v>74</v>
      </c>
      <c r="E56" s="210">
        <v>12000</v>
      </c>
      <c r="F56" s="21">
        <v>1019.133</v>
      </c>
      <c r="G56" s="21">
        <v>1023.3869999999999</v>
      </c>
      <c r="H56" s="18">
        <f>(G56-F56)*E56</f>
        <v>51047.999999998865</v>
      </c>
      <c r="I56" s="47"/>
      <c r="J56" s="58"/>
    </row>
    <row r="57" spans="1:10" ht="15.75" x14ac:dyDescent="0.25">
      <c r="A57" s="27" t="s">
        <v>75</v>
      </c>
      <c r="B57" s="210" t="s">
        <v>51</v>
      </c>
      <c r="C57" s="210">
        <v>51097623</v>
      </c>
      <c r="D57" s="210" t="s">
        <v>74</v>
      </c>
      <c r="E57" s="210">
        <v>12000</v>
      </c>
      <c r="F57" s="21">
        <v>0.129</v>
      </c>
      <c r="G57" s="21">
        <v>0.129</v>
      </c>
      <c r="H57" s="18">
        <f>(G57-F57)*E57</f>
        <v>0</v>
      </c>
      <c r="I57" s="47"/>
      <c r="J57" s="58"/>
    </row>
    <row r="58" spans="1:10" ht="15.75" x14ac:dyDescent="0.25">
      <c r="A58" s="60" t="s">
        <v>76</v>
      </c>
      <c r="B58" s="210"/>
      <c r="C58" s="210"/>
      <c r="D58" s="210"/>
      <c r="E58" s="210"/>
      <c r="F58" s="21"/>
      <c r="G58" s="21"/>
      <c r="H58" s="48">
        <f>H56+H57</f>
        <v>51047.999999998865</v>
      </c>
      <c r="I58" s="61">
        <f>H55-H65-H54</f>
        <v>-99.600000000005821</v>
      </c>
      <c r="J58" s="25">
        <f>I58/H58</f>
        <v>-1.9511048425013328E-3</v>
      </c>
    </row>
    <row r="59" spans="1:10" ht="15.75" x14ac:dyDescent="0.25">
      <c r="A59" s="27" t="s">
        <v>77</v>
      </c>
      <c r="B59" s="210" t="s">
        <v>51</v>
      </c>
      <c r="C59" s="210">
        <v>51097675</v>
      </c>
      <c r="D59" s="210" t="s">
        <v>34</v>
      </c>
      <c r="E59" s="210">
        <v>4800</v>
      </c>
      <c r="F59" s="21">
        <v>419.11</v>
      </c>
      <c r="G59" s="21">
        <v>422.43200000000002</v>
      </c>
      <c r="H59" s="18">
        <f t="shared" ref="H59:H64" si="2">(G59-F59)*E59</f>
        <v>15945.600000000013</v>
      </c>
      <c r="I59" s="62"/>
      <c r="J59" s="59"/>
    </row>
    <row r="60" spans="1:10" ht="15.75" x14ac:dyDescent="0.25">
      <c r="A60" s="27" t="s">
        <v>78</v>
      </c>
      <c r="B60" s="210" t="s">
        <v>51</v>
      </c>
      <c r="C60" s="210">
        <v>51100997</v>
      </c>
      <c r="D60" s="210" t="s">
        <v>21</v>
      </c>
      <c r="E60" s="210">
        <v>3600</v>
      </c>
      <c r="F60" s="21">
        <v>1281.7809999999999</v>
      </c>
      <c r="G60" s="21">
        <v>1284.8209999999999</v>
      </c>
      <c r="H60" s="18">
        <f t="shared" si="2"/>
        <v>10943.999999999869</v>
      </c>
      <c r="I60" s="62"/>
      <c r="J60" s="59"/>
    </row>
    <row r="61" spans="1:10" ht="15.75" x14ac:dyDescent="0.25">
      <c r="A61" s="27" t="s">
        <v>79</v>
      </c>
      <c r="B61" s="210" t="s">
        <v>51</v>
      </c>
      <c r="C61" s="210">
        <v>51555218</v>
      </c>
      <c r="D61" s="210">
        <f>400/5</f>
        <v>80</v>
      </c>
      <c r="E61" s="210">
        <v>4800</v>
      </c>
      <c r="F61" s="21">
        <v>49.029000000000003</v>
      </c>
      <c r="G61" s="21">
        <v>49.606999999999999</v>
      </c>
      <c r="H61" s="18">
        <f t="shared" si="2"/>
        <v>2774.3999999999801</v>
      </c>
      <c r="I61" s="62"/>
      <c r="J61" s="59"/>
    </row>
    <row r="62" spans="1:10" ht="15.75" x14ac:dyDescent="0.25">
      <c r="A62" s="27" t="s">
        <v>80</v>
      </c>
      <c r="B62" s="210" t="s">
        <v>51</v>
      </c>
      <c r="C62" s="210">
        <v>51555151</v>
      </c>
      <c r="D62" s="210">
        <f>400/5</f>
        <v>80</v>
      </c>
      <c r="E62" s="210">
        <v>4800</v>
      </c>
      <c r="F62" s="63">
        <v>0.30599999999999999</v>
      </c>
      <c r="G62" s="63">
        <v>0.30599999999999999</v>
      </c>
      <c r="H62" s="18">
        <f t="shared" si="2"/>
        <v>0</v>
      </c>
      <c r="I62" s="62"/>
      <c r="J62" s="59"/>
    </row>
    <row r="63" spans="1:10" ht="15.75" x14ac:dyDescent="0.25">
      <c r="A63" s="27" t="s">
        <v>81</v>
      </c>
      <c r="B63" s="210" t="s">
        <v>51</v>
      </c>
      <c r="C63" s="210">
        <v>51097599</v>
      </c>
      <c r="D63" s="210" t="s">
        <v>21</v>
      </c>
      <c r="E63" s="210">
        <v>3600</v>
      </c>
      <c r="F63" s="21">
        <v>895.19200000000001</v>
      </c>
      <c r="G63" s="21">
        <v>897.56</v>
      </c>
      <c r="H63" s="18">
        <f t="shared" si="2"/>
        <v>8524.7999999997774</v>
      </c>
      <c r="I63" s="62"/>
      <c r="J63" s="59"/>
    </row>
    <row r="64" spans="1:10" ht="15.75" x14ac:dyDescent="0.25">
      <c r="A64" s="27" t="s">
        <v>82</v>
      </c>
      <c r="B64" s="210" t="s">
        <v>51</v>
      </c>
      <c r="C64" s="210">
        <v>51097620</v>
      </c>
      <c r="D64" s="210" t="s">
        <v>34</v>
      </c>
      <c r="E64" s="210">
        <v>4800</v>
      </c>
      <c r="F64" s="21">
        <v>435.95499999999998</v>
      </c>
      <c r="G64" s="21">
        <v>438.65100000000001</v>
      </c>
      <c r="H64" s="18">
        <f t="shared" si="2"/>
        <v>12940.800000000127</v>
      </c>
      <c r="I64" s="62"/>
      <c r="J64" s="64"/>
    </row>
    <row r="65" spans="1:10" ht="16.5" thickBot="1" x14ac:dyDescent="0.3">
      <c r="A65" s="44" t="s">
        <v>48</v>
      </c>
      <c r="B65" s="45"/>
      <c r="C65" s="45"/>
      <c r="D65" s="45"/>
      <c r="E65" s="45"/>
      <c r="F65" s="21"/>
      <c r="G65" s="21"/>
      <c r="H65" s="50">
        <f>+H60+H61+H62+H63+ H64+H59</f>
        <v>51129.599999999766</v>
      </c>
      <c r="I65" s="65"/>
      <c r="J65" s="59"/>
    </row>
    <row r="66" spans="1:10" ht="16.5" thickBot="1" x14ac:dyDescent="0.3">
      <c r="A66" s="66"/>
      <c r="B66" s="67" t="s">
        <v>83</v>
      </c>
      <c r="C66" s="68"/>
      <c r="D66" s="68"/>
      <c r="E66" s="68"/>
      <c r="F66" s="69"/>
      <c r="G66" s="69"/>
      <c r="H66" s="70"/>
      <c r="I66" s="71"/>
      <c r="J66" s="72"/>
    </row>
    <row r="67" spans="1:10" ht="15.75" x14ac:dyDescent="0.25">
      <c r="A67" s="73" t="s">
        <v>84</v>
      </c>
      <c r="B67" s="210" t="s">
        <v>51</v>
      </c>
      <c r="C67" s="9">
        <v>51259238</v>
      </c>
      <c r="D67" s="74" t="s">
        <v>52</v>
      </c>
      <c r="E67" s="74">
        <v>7000</v>
      </c>
      <c r="F67" s="75">
        <v>477.488</v>
      </c>
      <c r="G67" s="75">
        <v>480.31700000000001</v>
      </c>
      <c r="H67" s="76">
        <f>(G67-F67)*E67</f>
        <v>19803.000000000055</v>
      </c>
      <c r="I67" s="77"/>
      <c r="J67" s="78"/>
    </row>
    <row r="68" spans="1:10" ht="15.75" x14ac:dyDescent="0.25">
      <c r="A68" s="27" t="s">
        <v>85</v>
      </c>
      <c r="B68" s="210" t="s">
        <v>51</v>
      </c>
      <c r="C68" s="210">
        <v>51259324</v>
      </c>
      <c r="D68" s="211" t="s">
        <v>52</v>
      </c>
      <c r="E68" s="211">
        <v>7000</v>
      </c>
      <c r="F68" s="21">
        <v>366.88099999999997</v>
      </c>
      <c r="G68" s="21">
        <v>369.161</v>
      </c>
      <c r="H68" s="18">
        <f>(G68-F68)*E68</f>
        <v>15960.000000000207</v>
      </c>
      <c r="I68" s="51"/>
      <c r="J68" s="58"/>
    </row>
    <row r="69" spans="1:10" ht="15.75" x14ac:dyDescent="0.25">
      <c r="A69" s="27" t="s">
        <v>86</v>
      </c>
      <c r="B69" s="79" t="s">
        <v>87</v>
      </c>
      <c r="C69" s="210">
        <v>51491618</v>
      </c>
      <c r="D69" s="211" t="s">
        <v>62</v>
      </c>
      <c r="E69" s="210">
        <v>40</v>
      </c>
      <c r="F69" s="28">
        <v>943.08799999999997</v>
      </c>
      <c r="G69" s="28">
        <v>954.88</v>
      </c>
      <c r="H69" s="18">
        <f>(G69-F69)*E69</f>
        <v>471.6800000000012</v>
      </c>
      <c r="I69" s="51"/>
      <c r="J69" s="58"/>
    </row>
    <row r="70" spans="1:10" ht="15.75" x14ac:dyDescent="0.25">
      <c r="A70" s="27" t="s">
        <v>88</v>
      </c>
      <c r="B70" s="79" t="s">
        <v>87</v>
      </c>
      <c r="C70" s="210">
        <v>51491624</v>
      </c>
      <c r="D70" s="211" t="s">
        <v>62</v>
      </c>
      <c r="E70" s="210">
        <v>40</v>
      </c>
      <c r="F70" s="28">
        <v>127.16800000000001</v>
      </c>
      <c r="G70" s="28">
        <v>128.84200000000001</v>
      </c>
      <c r="H70" s="18">
        <f>(G70-F70)*E70</f>
        <v>66.960000000000264</v>
      </c>
      <c r="I70" s="51"/>
      <c r="J70" s="58"/>
    </row>
    <row r="71" spans="1:10" ht="15.75" x14ac:dyDescent="0.25">
      <c r="A71" s="80" t="s">
        <v>89</v>
      </c>
      <c r="B71" s="81"/>
      <c r="C71" s="32" t="s">
        <v>27</v>
      </c>
      <c r="D71" s="82"/>
      <c r="E71" s="82"/>
      <c r="F71" s="83"/>
      <c r="G71" s="83"/>
      <c r="H71" s="84">
        <f>H67+H68</f>
        <v>35763.000000000262</v>
      </c>
      <c r="I71" s="85">
        <f>H71-H74-H69-H70</f>
        <v>-883.63999999957218</v>
      </c>
      <c r="J71" s="25">
        <f>I71/H71</f>
        <v>-2.4708217990648595E-2</v>
      </c>
    </row>
    <row r="72" spans="1:10" ht="15.75" x14ac:dyDescent="0.25">
      <c r="A72" s="27" t="s">
        <v>90</v>
      </c>
      <c r="B72" s="210" t="s">
        <v>51</v>
      </c>
      <c r="C72" s="86">
        <v>51097588</v>
      </c>
      <c r="D72" s="211" t="s">
        <v>74</v>
      </c>
      <c r="E72" s="210">
        <v>12000</v>
      </c>
      <c r="F72" s="21">
        <v>288.346</v>
      </c>
      <c r="G72" s="21">
        <v>289.97899999999998</v>
      </c>
      <c r="H72" s="18">
        <f>(G72-F72)*E72</f>
        <v>19595.999999999774</v>
      </c>
      <c r="I72" s="51"/>
      <c r="J72" s="58"/>
    </row>
    <row r="73" spans="1:10" ht="15.75" x14ac:dyDescent="0.25">
      <c r="A73" s="27" t="s">
        <v>91</v>
      </c>
      <c r="B73" s="210" t="s">
        <v>51</v>
      </c>
      <c r="C73" s="86">
        <v>51431335</v>
      </c>
      <c r="D73" s="211" t="s">
        <v>74</v>
      </c>
      <c r="E73" s="210">
        <v>12000</v>
      </c>
      <c r="F73" s="21">
        <v>225.17</v>
      </c>
      <c r="G73" s="21">
        <v>226.54599999999999</v>
      </c>
      <c r="H73" s="18">
        <f>(G73-F73)*E73</f>
        <v>16512.000000000058</v>
      </c>
      <c r="I73" s="51"/>
      <c r="J73" s="58"/>
    </row>
    <row r="74" spans="1:10" ht="15.75" x14ac:dyDescent="0.25">
      <c r="A74" s="87" t="s">
        <v>92</v>
      </c>
      <c r="B74" s="210" t="s">
        <v>27</v>
      </c>
      <c r="C74" s="210"/>
      <c r="D74" s="211"/>
      <c r="E74" s="210"/>
      <c r="F74" s="21"/>
      <c r="G74" s="21"/>
      <c r="H74" s="48">
        <f>H72+ H73</f>
        <v>36107.999999999833</v>
      </c>
      <c r="I74" s="85">
        <f>H74-H82</f>
        <v>-69.600000000369619</v>
      </c>
      <c r="J74" s="25">
        <f>I74/H74</f>
        <v>-1.9275506812997103E-3</v>
      </c>
    </row>
    <row r="75" spans="1:10" ht="15.75" x14ac:dyDescent="0.25">
      <c r="A75" s="27" t="s">
        <v>93</v>
      </c>
      <c r="B75" s="210" t="s">
        <v>51</v>
      </c>
      <c r="C75" s="86">
        <v>51097676</v>
      </c>
      <c r="D75" s="88" t="s">
        <v>62</v>
      </c>
      <c r="E75" s="210">
        <v>2400</v>
      </c>
      <c r="F75" s="21">
        <v>590.95100000000002</v>
      </c>
      <c r="G75" s="21">
        <v>594.88</v>
      </c>
      <c r="H75" s="18">
        <f>(G75-F75)*E75</f>
        <v>9429.5999999999367</v>
      </c>
      <c r="I75" s="51"/>
      <c r="J75" s="58"/>
    </row>
    <row r="76" spans="1:10" ht="15.75" x14ac:dyDescent="0.25">
      <c r="A76" s="27" t="s">
        <v>94</v>
      </c>
      <c r="B76" s="210" t="s">
        <v>51</v>
      </c>
      <c r="C76" s="86">
        <v>51431355</v>
      </c>
      <c r="D76" s="211" t="s">
        <v>21</v>
      </c>
      <c r="E76" s="211">
        <v>3600</v>
      </c>
      <c r="F76" s="21">
        <v>324.83100000000002</v>
      </c>
      <c r="G76" s="21">
        <v>326.19400000000002</v>
      </c>
      <c r="H76" s="18">
        <f>(G76-F76)*E76</f>
        <v>4906.7999999999984</v>
      </c>
      <c r="I76" s="51"/>
      <c r="J76" s="52"/>
    </row>
    <row r="77" spans="1:10" ht="15.75" x14ac:dyDescent="0.25">
      <c r="A77" s="27" t="s">
        <v>95</v>
      </c>
      <c r="B77" s="210" t="s">
        <v>51</v>
      </c>
      <c r="C77" s="86">
        <v>51259331</v>
      </c>
      <c r="D77" s="88" t="s">
        <v>37</v>
      </c>
      <c r="E77" s="210">
        <v>600</v>
      </c>
      <c r="F77" s="21">
        <v>138.51300000000001</v>
      </c>
      <c r="G77" s="21">
        <v>139.46700000000001</v>
      </c>
      <c r="H77" s="18">
        <f>(G77-F77)*E77</f>
        <v>572.40000000000464</v>
      </c>
      <c r="I77" s="51"/>
      <c r="J77" s="52"/>
    </row>
    <row r="78" spans="1:10" ht="15.75" x14ac:dyDescent="0.25">
      <c r="A78" s="27" t="s">
        <v>96</v>
      </c>
      <c r="B78" s="210" t="s">
        <v>51</v>
      </c>
      <c r="C78" s="86">
        <v>51259326</v>
      </c>
      <c r="D78" s="88" t="s">
        <v>14</v>
      </c>
      <c r="E78" s="210">
        <v>7200</v>
      </c>
      <c r="F78" s="21">
        <v>288.13499999999999</v>
      </c>
      <c r="G78" s="21">
        <v>289.55700000000002</v>
      </c>
      <c r="H78" s="18">
        <f>(G78-F78)*E78</f>
        <v>10238.400000000183</v>
      </c>
      <c r="I78" s="51"/>
      <c r="J78" s="52"/>
    </row>
    <row r="79" spans="1:10" ht="15.75" x14ac:dyDescent="0.25">
      <c r="A79" s="27" t="s">
        <v>97</v>
      </c>
      <c r="B79" s="210" t="s">
        <v>51</v>
      </c>
      <c r="C79" s="86">
        <v>51431351</v>
      </c>
      <c r="D79" s="88" t="s">
        <v>14</v>
      </c>
      <c r="E79" s="210">
        <v>7200</v>
      </c>
      <c r="F79" s="21">
        <v>198.369</v>
      </c>
      <c r="G79" s="21">
        <v>199.90100000000001</v>
      </c>
      <c r="H79" s="18">
        <f>(G79-F79)*E79</f>
        <v>11030.400000000078</v>
      </c>
      <c r="I79" s="51"/>
      <c r="J79" s="52"/>
    </row>
    <row r="80" spans="1:10" ht="15.75" x14ac:dyDescent="0.25">
      <c r="A80" s="89" t="s">
        <v>98</v>
      </c>
      <c r="B80" s="210" t="s">
        <v>51</v>
      </c>
      <c r="C80" s="90">
        <v>51097666</v>
      </c>
      <c r="D80" s="88" t="s">
        <v>62</v>
      </c>
      <c r="E80" s="210">
        <v>2400</v>
      </c>
      <c r="F80" s="31">
        <v>0.435</v>
      </c>
      <c r="G80" s="31">
        <v>0.435</v>
      </c>
      <c r="H80" s="33">
        <f t="shared" ref="H80:H81" si="3">(G80-F80)*E80</f>
        <v>0</v>
      </c>
      <c r="I80" s="91"/>
      <c r="J80" s="92"/>
    </row>
    <row r="81" spans="1:10" ht="15.75" x14ac:dyDescent="0.25">
      <c r="A81" s="89" t="s">
        <v>99</v>
      </c>
      <c r="B81" s="210" t="s">
        <v>51</v>
      </c>
      <c r="C81" s="90">
        <v>51259323</v>
      </c>
      <c r="D81" s="88" t="s">
        <v>62</v>
      </c>
      <c r="E81" s="210">
        <v>2400</v>
      </c>
      <c r="F81" s="31">
        <v>7.5999999999999998E-2</v>
      </c>
      <c r="G81" s="31">
        <v>7.5999999999999998E-2</v>
      </c>
      <c r="H81" s="33">
        <f t="shared" si="3"/>
        <v>0</v>
      </c>
      <c r="I81" s="91"/>
      <c r="J81" s="92"/>
    </row>
    <row r="82" spans="1:10" ht="15.75" x14ac:dyDescent="0.25">
      <c r="A82" s="93" t="s">
        <v>100</v>
      </c>
      <c r="B82" s="32"/>
      <c r="C82" s="32"/>
      <c r="D82" s="94"/>
      <c r="E82" s="32"/>
      <c r="F82" s="95"/>
      <c r="G82" s="95"/>
      <c r="H82" s="84">
        <f>H75+H76+H77+H78+H79+H80+H81</f>
        <v>36177.600000000202</v>
      </c>
      <c r="I82" s="91"/>
      <c r="J82" s="96"/>
    </row>
    <row r="83" spans="1:10" ht="15.75" x14ac:dyDescent="0.25">
      <c r="A83" s="97"/>
      <c r="B83" s="98"/>
      <c r="C83" s="99" t="s">
        <v>101</v>
      </c>
      <c r="D83" s="100"/>
      <c r="E83" s="100"/>
      <c r="F83" s="101"/>
      <c r="G83" s="101"/>
      <c r="H83" s="102"/>
      <c r="I83" s="103"/>
      <c r="J83" s="104"/>
    </row>
    <row r="84" spans="1:10" ht="15.75" x14ac:dyDescent="0.25">
      <c r="A84" s="105" t="s">
        <v>84</v>
      </c>
      <c r="B84" s="210" t="s">
        <v>51</v>
      </c>
      <c r="C84" s="106">
        <v>51431297</v>
      </c>
      <c r="D84" s="211" t="s">
        <v>52</v>
      </c>
      <c r="E84" s="100">
        <v>7000</v>
      </c>
      <c r="F84" s="17">
        <v>238.63800000000001</v>
      </c>
      <c r="G84" s="17">
        <v>239.24799999999999</v>
      </c>
      <c r="H84" s="18">
        <f>(G84-F84)*E84</f>
        <v>4269.9999999998963</v>
      </c>
      <c r="I84" s="107"/>
      <c r="J84" s="108"/>
    </row>
    <row r="85" spans="1:10" ht="15.75" x14ac:dyDescent="0.25">
      <c r="A85" s="105" t="s">
        <v>85</v>
      </c>
      <c r="B85" s="210" t="s">
        <v>51</v>
      </c>
      <c r="C85" s="106">
        <v>51431332</v>
      </c>
      <c r="D85" s="211" t="s">
        <v>52</v>
      </c>
      <c r="E85" s="100">
        <v>7000</v>
      </c>
      <c r="F85" s="21">
        <v>320.21499999999997</v>
      </c>
      <c r="G85" s="21">
        <v>322.18200000000002</v>
      </c>
      <c r="H85" s="18">
        <f>(G85-F85)*E85</f>
        <v>13769.000000000289</v>
      </c>
      <c r="I85" s="210"/>
      <c r="J85" s="58"/>
    </row>
    <row r="86" spans="1:10" ht="15.75" x14ac:dyDescent="0.25">
      <c r="A86" s="27" t="s">
        <v>86</v>
      </c>
      <c r="B86" s="210" t="s">
        <v>102</v>
      </c>
      <c r="C86" s="109">
        <v>150773</v>
      </c>
      <c r="D86" s="211" t="s">
        <v>52</v>
      </c>
      <c r="E86" s="109">
        <v>20</v>
      </c>
      <c r="F86" s="17">
        <v>15419.9</v>
      </c>
      <c r="G86" s="17">
        <v>15428.7</v>
      </c>
      <c r="H86" s="18">
        <f>(G86-F86)*E86</f>
        <v>176.00000000002183</v>
      </c>
      <c r="I86" s="51"/>
      <c r="J86" s="58"/>
    </row>
    <row r="87" spans="1:10" ht="15.75" x14ac:dyDescent="0.25">
      <c r="A87" s="27" t="s">
        <v>88</v>
      </c>
      <c r="B87" s="210" t="s">
        <v>102</v>
      </c>
      <c r="C87" s="109">
        <v>150791</v>
      </c>
      <c r="D87" s="211" t="s">
        <v>52</v>
      </c>
      <c r="E87" s="109">
        <v>20</v>
      </c>
      <c r="F87" s="21">
        <v>231.5</v>
      </c>
      <c r="G87" s="21">
        <v>231.5</v>
      </c>
      <c r="H87" s="18">
        <f>(G87-F87)*E87</f>
        <v>0</v>
      </c>
      <c r="I87" s="51"/>
      <c r="J87" s="58"/>
    </row>
    <row r="88" spans="1:10" ht="15.75" x14ac:dyDescent="0.25">
      <c r="A88" s="110" t="s">
        <v>89</v>
      </c>
      <c r="B88" s="212"/>
      <c r="C88" s="32"/>
      <c r="D88" s="82"/>
      <c r="E88" s="82"/>
      <c r="F88" s="21"/>
      <c r="G88" s="21"/>
      <c r="H88" s="48">
        <f>H84+H85</f>
        <v>18039.000000000186</v>
      </c>
      <c r="I88" s="85">
        <f>H88-H91-H86-H87</f>
        <v>453.39999999984502</v>
      </c>
      <c r="J88" s="25">
        <f>I88/H88</f>
        <v>2.5134430955143876E-2</v>
      </c>
    </row>
    <row r="89" spans="1:10" ht="15.75" x14ac:dyDescent="0.25">
      <c r="A89" s="27" t="s">
        <v>103</v>
      </c>
      <c r="B89" s="210" t="s">
        <v>51</v>
      </c>
      <c r="C89" s="106">
        <v>51431342</v>
      </c>
      <c r="D89" s="88" t="s">
        <v>34</v>
      </c>
      <c r="E89" s="210">
        <v>4800</v>
      </c>
      <c r="F89" s="21">
        <v>338.05399999999997</v>
      </c>
      <c r="G89" s="21">
        <v>338.91</v>
      </c>
      <c r="H89" s="18">
        <f>(G89-F89)*E89</f>
        <v>4108.8000000002467</v>
      </c>
      <c r="I89" s="51"/>
      <c r="J89" s="52"/>
    </row>
    <row r="90" spans="1:10" ht="15.75" x14ac:dyDescent="0.25">
      <c r="A90" s="27" t="s">
        <v>104</v>
      </c>
      <c r="B90" s="210" t="s">
        <v>51</v>
      </c>
      <c r="C90" s="106">
        <v>51431343</v>
      </c>
      <c r="D90" s="88" t="s">
        <v>34</v>
      </c>
      <c r="E90" s="210">
        <v>4800</v>
      </c>
      <c r="F90" s="21">
        <v>453.30500000000001</v>
      </c>
      <c r="G90" s="21">
        <v>456.07600000000002</v>
      </c>
      <c r="H90" s="18">
        <f>(G90-F90)*E90</f>
        <v>13300.800000000072</v>
      </c>
      <c r="I90" s="51"/>
      <c r="J90" s="52"/>
    </row>
    <row r="91" spans="1:10" ht="15.75" x14ac:dyDescent="0.25">
      <c r="A91" s="44" t="s">
        <v>105</v>
      </c>
      <c r="B91" s="79"/>
      <c r="C91" s="109"/>
      <c r="D91" s="112"/>
      <c r="E91" s="109"/>
      <c r="F91" s="21"/>
      <c r="G91" s="21"/>
      <c r="H91" s="48">
        <f>H89+H90</f>
        <v>17409.600000000319</v>
      </c>
      <c r="I91" s="85">
        <f>H91-H99</f>
        <v>-143.59999999970387</v>
      </c>
      <c r="J91" s="25">
        <f>I91/H91</f>
        <v>-8.248322764434636E-3</v>
      </c>
    </row>
    <row r="92" spans="1:10" ht="15.75" x14ac:dyDescent="0.25">
      <c r="A92" s="27" t="s">
        <v>106</v>
      </c>
      <c r="B92" s="210" t="s">
        <v>51</v>
      </c>
      <c r="C92" s="106">
        <v>51431347</v>
      </c>
      <c r="D92" s="211" t="s">
        <v>52</v>
      </c>
      <c r="E92" s="210">
        <v>1200</v>
      </c>
      <c r="F92" s="21">
        <v>1023.48</v>
      </c>
      <c r="G92" s="21">
        <v>1031.903</v>
      </c>
      <c r="H92" s="18">
        <f t="shared" ref="H92:H100" si="4">(G92-F92)*E92</f>
        <v>10107.600000000002</v>
      </c>
      <c r="I92" s="51"/>
      <c r="J92" s="52"/>
    </row>
    <row r="93" spans="1:10" ht="15.75" x14ac:dyDescent="0.25">
      <c r="A93" s="27" t="s">
        <v>107</v>
      </c>
      <c r="B93" s="210" t="s">
        <v>51</v>
      </c>
      <c r="C93" s="106">
        <v>51431339</v>
      </c>
      <c r="D93" s="211" t="s">
        <v>52</v>
      </c>
      <c r="E93" s="210">
        <v>1200</v>
      </c>
      <c r="F93" s="21"/>
      <c r="G93" s="21"/>
      <c r="H93" s="18">
        <f t="shared" si="4"/>
        <v>0</v>
      </c>
      <c r="I93" s="51"/>
      <c r="J93" s="52"/>
    </row>
    <row r="94" spans="1:10" ht="15.75" x14ac:dyDescent="0.25">
      <c r="A94" s="27" t="s">
        <v>108</v>
      </c>
      <c r="B94" s="210" t="s">
        <v>51</v>
      </c>
      <c r="C94" s="106">
        <v>51217244</v>
      </c>
      <c r="D94" s="210" t="s">
        <v>37</v>
      </c>
      <c r="E94" s="210">
        <v>600</v>
      </c>
      <c r="F94" s="30">
        <v>281.03899999999999</v>
      </c>
      <c r="G94" s="30">
        <v>283.827</v>
      </c>
      <c r="H94" s="18">
        <f t="shared" si="4"/>
        <v>1672.8000000000065</v>
      </c>
      <c r="I94" s="51"/>
      <c r="J94" s="52"/>
    </row>
    <row r="95" spans="1:10" ht="15.75" x14ac:dyDescent="0.25">
      <c r="A95" s="27" t="s">
        <v>109</v>
      </c>
      <c r="B95" s="210" t="s">
        <v>51</v>
      </c>
      <c r="C95" s="106">
        <v>51217267</v>
      </c>
      <c r="D95" s="88" t="s">
        <v>62</v>
      </c>
      <c r="E95" s="210">
        <v>2400</v>
      </c>
      <c r="F95" s="30">
        <v>19.353000000000002</v>
      </c>
      <c r="G95" s="30">
        <v>19.385000000000002</v>
      </c>
      <c r="H95" s="18">
        <f t="shared" si="4"/>
        <v>76.800000000000068</v>
      </c>
      <c r="I95" s="51"/>
      <c r="J95" s="52"/>
    </row>
    <row r="96" spans="1:10" ht="15.75" x14ac:dyDescent="0.25">
      <c r="A96" s="27" t="s">
        <v>110</v>
      </c>
      <c r="B96" s="210" t="s">
        <v>51</v>
      </c>
      <c r="C96" s="210">
        <v>51555165</v>
      </c>
      <c r="D96" s="211" t="s">
        <v>52</v>
      </c>
      <c r="E96" s="210">
        <v>1200</v>
      </c>
      <c r="F96" s="30">
        <v>771.62699999999995</v>
      </c>
      <c r="G96" s="30">
        <v>771.62699999999995</v>
      </c>
      <c r="H96" s="18">
        <f t="shared" si="4"/>
        <v>0</v>
      </c>
      <c r="I96" s="51" t="s">
        <v>27</v>
      </c>
      <c r="J96" s="52"/>
    </row>
    <row r="97" spans="1:10" ht="15.75" x14ac:dyDescent="0.25">
      <c r="A97" s="113" t="s">
        <v>111</v>
      </c>
      <c r="B97" s="210" t="s">
        <v>51</v>
      </c>
      <c r="C97" s="106">
        <v>51431346</v>
      </c>
      <c r="D97" s="114" t="s">
        <v>37</v>
      </c>
      <c r="E97" s="114">
        <v>600</v>
      </c>
      <c r="F97" s="30">
        <v>314.37900000000002</v>
      </c>
      <c r="G97" s="30">
        <v>314.75900000000001</v>
      </c>
      <c r="H97" s="115">
        <f t="shared" si="4"/>
        <v>227.99999999999727</v>
      </c>
      <c r="I97" s="116"/>
      <c r="J97" s="117"/>
    </row>
    <row r="98" spans="1:10" ht="15.75" x14ac:dyDescent="0.25">
      <c r="A98" s="27" t="s">
        <v>112</v>
      </c>
      <c r="B98" s="210" t="s">
        <v>51</v>
      </c>
      <c r="C98" s="106">
        <v>51431352</v>
      </c>
      <c r="D98" s="88" t="s">
        <v>21</v>
      </c>
      <c r="E98" s="210">
        <v>3600</v>
      </c>
      <c r="F98" s="21">
        <v>181.45599999999999</v>
      </c>
      <c r="G98" s="21">
        <v>182.92599999999999</v>
      </c>
      <c r="H98" s="18">
        <f t="shared" si="4"/>
        <v>5291.9999999999964</v>
      </c>
      <c r="I98" s="51"/>
      <c r="J98" s="52"/>
    </row>
    <row r="99" spans="1:10" ht="15.75" x14ac:dyDescent="0.25">
      <c r="A99" s="44" t="s">
        <v>105</v>
      </c>
      <c r="B99" s="51"/>
      <c r="C99" s="51"/>
      <c r="D99" s="51"/>
      <c r="E99" s="51"/>
      <c r="F99" s="118"/>
      <c r="G99" s="118"/>
      <c r="H99" s="119">
        <f>H92+H93+H94+H95+H96+H97+H98+H86+H87</f>
        <v>17553.200000000023</v>
      </c>
      <c r="I99" s="51"/>
      <c r="J99" s="52"/>
    </row>
    <row r="100" spans="1:10" ht="15.75" x14ac:dyDescent="0.25">
      <c r="A100" s="45" t="s">
        <v>113</v>
      </c>
      <c r="B100" s="210" t="s">
        <v>51</v>
      </c>
      <c r="C100" s="120">
        <v>51431357</v>
      </c>
      <c r="D100" s="211" t="s">
        <v>62</v>
      </c>
      <c r="E100" s="211">
        <v>14000</v>
      </c>
      <c r="F100" s="28">
        <v>730.24400000000003</v>
      </c>
      <c r="G100" s="28">
        <v>734.15800000000002</v>
      </c>
      <c r="H100" s="121">
        <f t="shared" si="4"/>
        <v>54795.999999999825</v>
      </c>
      <c r="I100" s="51"/>
      <c r="J100" s="122"/>
    </row>
  </sheetData>
  <mergeCells count="13">
    <mergeCell ref="B51:E51"/>
    <mergeCell ref="A1:J1"/>
    <mergeCell ref="A2:A3"/>
    <mergeCell ref="B2:B3"/>
    <mergeCell ref="C2:C3"/>
    <mergeCell ref="D2:D3"/>
    <mergeCell ref="E2:E3"/>
    <mergeCell ref="F2:G2"/>
    <mergeCell ref="A7:B7"/>
    <mergeCell ref="A10:B10"/>
    <mergeCell ref="A17:B17"/>
    <mergeCell ref="A20:B20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01.01</vt:lpstr>
      <vt:lpstr>02.01</vt:lpstr>
      <vt:lpstr>03.01</vt:lpstr>
      <vt:lpstr>04.01</vt:lpstr>
      <vt:lpstr>05.01</vt:lpstr>
      <vt:lpstr>06.01</vt:lpstr>
      <vt:lpstr>07.01</vt:lpstr>
      <vt:lpstr>08.01</vt:lpstr>
      <vt:lpstr>09.01</vt:lpstr>
      <vt:lpstr>10.01</vt:lpstr>
      <vt:lpstr>11.01</vt:lpstr>
      <vt:lpstr>12.01</vt:lpstr>
      <vt:lpstr>13.01</vt:lpstr>
      <vt:lpstr>14.01</vt:lpstr>
      <vt:lpstr>15.01</vt:lpstr>
      <vt:lpstr>16.01</vt:lpstr>
      <vt:lpstr>17.01</vt:lpstr>
      <vt:lpstr>18.01</vt:lpstr>
      <vt:lpstr>19.01</vt:lpstr>
      <vt:lpstr>20.01</vt:lpstr>
      <vt:lpstr>21.01</vt:lpstr>
      <vt:lpstr>22.01</vt:lpstr>
      <vt:lpstr>23.01</vt:lpstr>
      <vt:lpstr>24.01</vt:lpstr>
      <vt:lpstr>25.01</vt:lpstr>
      <vt:lpstr>26.01</vt:lpstr>
      <vt:lpstr>27.01</vt:lpstr>
      <vt:lpstr>28.01</vt:lpstr>
      <vt:lpstr>29.01</vt:lpstr>
      <vt:lpstr>30.01</vt:lpstr>
      <vt:lpstr>31.01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2026-02-06T03:57:29Z</dcterms:modified>
</cp:coreProperties>
</file>