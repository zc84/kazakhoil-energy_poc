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FR1PEPF00000B77\EXCELCNV\736c0d79-d217-4c22-b232-390c5c69dcda\"/>
    </mc:Choice>
  </mc:AlternateContent>
  <xr:revisionPtr revIDLastSave="0" documentId="8_{200F883F-386B-4C42-8E41-986EBCB62122}" xr6:coauthVersionLast="47" xr6:coauthVersionMax="47" xr10:uidLastSave="{00000000-0000-0000-0000-000000000000}"/>
  <bookViews>
    <workbookView xWindow="-60" yWindow="-60" windowWidth="15480" windowHeight="11640" tabRatio="594" xr2:uid="{2D5022CD-9326-4CDB-8157-762AA63D0578}"/>
  </bookViews>
  <sheets>
    <sheet name="Тех.Учёт" sheetId="1" r:id="rId1"/>
    <sheet name="Сторонние организации" sheetId="3" r:id="rId2"/>
  </sheets>
  <definedNames>
    <definedName name="_xlnm._FilterDatabase" localSheetId="1" hidden="1">'Сторонние организации'!$C$2:$C$101</definedName>
    <definedName name="_xlnm._FilterDatabase" localSheetId="0" hidden="1">Тех.Учёт!$A$1:$J$509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0" i="1" l="1"/>
  <c r="H152" i="1"/>
  <c r="H408" i="1"/>
  <c r="H407" i="1"/>
  <c r="H406" i="1"/>
  <c r="H38" i="1"/>
  <c r="H275" i="1"/>
  <c r="H24" i="3"/>
  <c r="D97" i="3"/>
  <c r="H273" i="1"/>
  <c r="H54" i="1"/>
  <c r="H222" i="1"/>
  <c r="H53" i="3"/>
  <c r="H86" i="3"/>
  <c r="D99" i="3"/>
  <c r="H446" i="1"/>
  <c r="H411" i="1"/>
  <c r="H384" i="1"/>
  <c r="H354" i="1"/>
  <c r="H337" i="1"/>
  <c r="H392" i="1"/>
  <c r="H353" i="1"/>
  <c r="H351" i="1"/>
  <c r="H350" i="1"/>
  <c r="H348" i="1"/>
  <c r="H347" i="1"/>
  <c r="H346" i="1"/>
  <c r="H345" i="1"/>
  <c r="H344" i="1"/>
  <c r="H343" i="1"/>
  <c r="H342" i="1"/>
  <c r="H341" i="1"/>
  <c r="H340" i="1"/>
  <c r="H339" i="1"/>
  <c r="H338" i="1"/>
  <c r="H200" i="1"/>
  <c r="H422" i="1"/>
  <c r="H385" i="1"/>
  <c r="H54" i="3"/>
  <c r="H55" i="3"/>
  <c r="H56" i="3"/>
  <c r="H369" i="1"/>
  <c r="H371" i="1"/>
  <c r="H386" i="1"/>
  <c r="H198" i="1"/>
  <c r="H423" i="1"/>
  <c r="H9" i="1"/>
  <c r="H472" i="1"/>
  <c r="H473" i="1"/>
  <c r="H75" i="1"/>
  <c r="H211" i="1"/>
  <c r="H424" i="1"/>
  <c r="H49" i="3"/>
  <c r="H50" i="3"/>
  <c r="H159" i="1"/>
  <c r="H111" i="1"/>
  <c r="H41" i="3"/>
  <c r="H37" i="3"/>
  <c r="H456" i="1"/>
  <c r="H90" i="1"/>
  <c r="H79" i="1"/>
  <c r="H457" i="1"/>
  <c r="H455" i="1"/>
  <c r="H82" i="1"/>
  <c r="H434" i="1"/>
  <c r="H433" i="1"/>
  <c r="H439" i="1"/>
  <c r="H440" i="1"/>
  <c r="H441" i="1" s="1"/>
  <c r="H162" i="1"/>
  <c r="H160" i="1"/>
  <c r="H268" i="1"/>
  <c r="H265" i="1"/>
  <c r="H264" i="1"/>
  <c r="H185" i="1"/>
  <c r="H157" i="1"/>
  <c r="H405" i="1"/>
  <c r="H263" i="1"/>
  <c r="H202" i="1"/>
  <c r="H144" i="1"/>
  <c r="H81" i="3"/>
  <c r="H80" i="3"/>
  <c r="H79" i="3"/>
  <c r="H78" i="3"/>
  <c r="H44" i="3"/>
  <c r="H45" i="3"/>
  <c r="H443" i="1"/>
  <c r="H335" i="1"/>
  <c r="H271" i="1"/>
  <c r="H270" i="1"/>
  <c r="H402" i="1"/>
  <c r="H401" i="1"/>
  <c r="H122" i="1"/>
  <c r="H153" i="1"/>
  <c r="H170" i="1"/>
  <c r="H279" i="1"/>
  <c r="H184" i="1"/>
  <c r="H182" i="1"/>
  <c r="D184" i="1"/>
  <c r="H249" i="1"/>
  <c r="H239" i="1"/>
  <c r="H201" i="1"/>
  <c r="H299" i="1"/>
  <c r="H300" i="1"/>
  <c r="H301" i="1"/>
  <c r="H133" i="1"/>
  <c r="H135" i="1"/>
  <c r="H475" i="1"/>
  <c r="H72" i="1"/>
  <c r="H73" i="1"/>
  <c r="H74" i="1" s="1"/>
  <c r="H22" i="3"/>
  <c r="H208" i="1"/>
  <c r="H370" i="1"/>
  <c r="H6" i="3"/>
  <c r="H21" i="3"/>
  <c r="H366" i="1"/>
  <c r="H372" i="1"/>
  <c r="H374" i="1"/>
  <c r="H225" i="1"/>
  <c r="H390" i="1"/>
  <c r="H397" i="1"/>
  <c r="H237" i="1"/>
  <c r="H210" i="1"/>
  <c r="H207" i="1"/>
  <c r="H77" i="1"/>
  <c r="H193" i="1"/>
  <c r="H78" i="1"/>
  <c r="H355" i="1"/>
  <c r="H213" i="1"/>
  <c r="H363" i="1"/>
  <c r="H329" i="1"/>
  <c r="H375" i="1"/>
  <c r="H362" i="1"/>
  <c r="H254" i="1"/>
  <c r="H179" i="1"/>
  <c r="H478" i="1"/>
  <c r="H477" i="1"/>
  <c r="H476" i="1"/>
  <c r="H474" i="1"/>
  <c r="H479" i="1" s="1"/>
  <c r="H481" i="1" s="1"/>
  <c r="H255" i="1"/>
  <c r="H244" i="1"/>
  <c r="H360" i="1"/>
  <c r="H278" i="1"/>
  <c r="H81" i="1"/>
  <c r="H85" i="3"/>
  <c r="H84" i="3"/>
  <c r="H83" i="3"/>
  <c r="H82" i="3"/>
  <c r="H226" i="1"/>
  <c r="H231" i="1"/>
  <c r="H190" i="1"/>
  <c r="H191" i="1"/>
  <c r="H16" i="1"/>
  <c r="H262" i="1"/>
  <c r="H206" i="1"/>
  <c r="H415" i="1"/>
  <c r="H181" i="1"/>
  <c r="H380" i="1"/>
  <c r="H281" i="1"/>
  <c r="H23" i="3"/>
  <c r="H20" i="3"/>
  <c r="H19" i="3"/>
  <c r="H18" i="3"/>
  <c r="H387" i="1"/>
  <c r="H70" i="3"/>
  <c r="H69" i="3"/>
  <c r="H68" i="3"/>
  <c r="H67" i="3"/>
  <c r="H66" i="3"/>
  <c r="H65" i="3"/>
  <c r="H71" i="3" s="1"/>
  <c r="D94" i="3" s="1"/>
  <c r="H52" i="3"/>
  <c r="H51" i="3"/>
  <c r="H48" i="3"/>
  <c r="H47" i="3"/>
  <c r="H46" i="3"/>
  <c r="H43" i="3"/>
  <c r="H42" i="3"/>
  <c r="H40" i="3"/>
  <c r="H39" i="3"/>
  <c r="H38" i="3"/>
  <c r="H36" i="3"/>
  <c r="H35" i="3"/>
  <c r="H34" i="3"/>
  <c r="H33" i="3"/>
  <c r="H17" i="3"/>
  <c r="H16" i="3"/>
  <c r="H15" i="3"/>
  <c r="H14" i="3"/>
  <c r="H13" i="3"/>
  <c r="H12" i="3"/>
  <c r="H11" i="3"/>
  <c r="H10" i="3"/>
  <c r="H9" i="3"/>
  <c r="H8" i="3"/>
  <c r="H7" i="3"/>
  <c r="H91" i="1"/>
  <c r="H88" i="1"/>
  <c r="H186" i="1"/>
  <c r="H238" i="1"/>
  <c r="H252" i="1"/>
  <c r="H84" i="1"/>
  <c r="H253" i="1"/>
  <c r="H316" i="1"/>
  <c r="H435" i="1"/>
  <c r="H232" i="1"/>
  <c r="H194" i="1"/>
  <c r="H261" i="1"/>
  <c r="H260" i="1"/>
  <c r="H250" i="1"/>
  <c r="H229" i="1"/>
  <c r="H42" i="1"/>
  <c r="H245" i="1"/>
  <c r="H101" i="1"/>
  <c r="H10" i="1"/>
  <c r="H11" i="1" s="1"/>
  <c r="H22" i="1"/>
  <c r="H23" i="1"/>
  <c r="H24" i="1" s="1"/>
  <c r="H12" i="1"/>
  <c r="H13" i="1"/>
  <c r="H14" i="1" s="1"/>
  <c r="H15" i="1"/>
  <c r="H17" i="1"/>
  <c r="H18" i="1"/>
  <c r="H19" i="1"/>
  <c r="H20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D33" i="1"/>
  <c r="D34" i="1"/>
  <c r="H41" i="1"/>
  <c r="H44" i="1"/>
  <c r="H45" i="1"/>
  <c r="H46" i="1"/>
  <c r="H47" i="1"/>
  <c r="H48" i="1"/>
  <c r="H49" i="1"/>
  <c r="H50" i="1"/>
  <c r="H51" i="1"/>
  <c r="H53" i="1"/>
  <c r="H57" i="1"/>
  <c r="H58" i="1"/>
  <c r="H60" i="1"/>
  <c r="H61" i="1"/>
  <c r="H62" i="1" s="1"/>
  <c r="H64" i="1"/>
  <c r="H65" i="1"/>
  <c r="H66" i="1"/>
  <c r="H67" i="1"/>
  <c r="H68" i="1"/>
  <c r="H80" i="1"/>
  <c r="H83" i="1"/>
  <c r="H89" i="1"/>
  <c r="H93" i="1"/>
  <c r="H94" i="1"/>
  <c r="H95" i="1" s="1"/>
  <c r="H96" i="1"/>
  <c r="H97" i="1"/>
  <c r="H99" i="1"/>
  <c r="H100" i="1"/>
  <c r="H102" i="1"/>
  <c r="H103" i="1"/>
  <c r="H104" i="1"/>
  <c r="H105" i="1"/>
  <c r="H106" i="1"/>
  <c r="H110" i="1"/>
  <c r="H112" i="1"/>
  <c r="H113" i="1"/>
  <c r="H115" i="1"/>
  <c r="H116" i="1"/>
  <c r="H117" i="1"/>
  <c r="H118" i="1"/>
  <c r="H126" i="1"/>
  <c r="H127" i="1"/>
  <c r="H129" i="1"/>
  <c r="H130" i="1"/>
  <c r="H131" i="1"/>
  <c r="H137" i="1"/>
  <c r="H138" i="1"/>
  <c r="H140" i="1" s="1"/>
  <c r="H141" i="1"/>
  <c r="H142" i="1"/>
  <c r="H143" i="1" s="1"/>
  <c r="H145" i="1"/>
  <c r="H146" i="1"/>
  <c r="H147" i="1"/>
  <c r="H148" i="1"/>
  <c r="H149" i="1"/>
  <c r="D146" i="1"/>
  <c r="D147" i="1"/>
  <c r="H154" i="1"/>
  <c r="H155" i="1"/>
  <c r="H156" i="1"/>
  <c r="H171" i="1"/>
  <c r="H173" i="1"/>
  <c r="H174" i="1"/>
  <c r="H175" i="1" s="1"/>
  <c r="H216" i="1" s="1"/>
  <c r="H176" i="1"/>
  <c r="H177" i="1"/>
  <c r="H178" i="1"/>
  <c r="H188" i="1"/>
  <c r="H189" i="1"/>
  <c r="H192" i="1"/>
  <c r="H195" i="1"/>
  <c r="H203" i="1"/>
  <c r="H209" i="1"/>
  <c r="H212" i="1"/>
  <c r="H214" i="1"/>
  <c r="H221" i="1"/>
  <c r="H223" i="1"/>
  <c r="H227" i="1"/>
  <c r="H228" i="1"/>
  <c r="H230" i="1"/>
  <c r="H233" i="1"/>
  <c r="H234" i="1"/>
  <c r="H236" i="1"/>
  <c r="H243" i="1"/>
  <c r="H246" i="1"/>
  <c r="H247" i="1"/>
  <c r="H248" i="1"/>
  <c r="H251" i="1"/>
  <c r="H256" i="1"/>
  <c r="H257" i="1"/>
  <c r="H258" i="1"/>
  <c r="H259" i="1"/>
  <c r="H269" i="1"/>
  <c r="H274" i="1"/>
  <c r="H277" i="1"/>
  <c r="H285" i="1"/>
  <c r="H284" i="1"/>
  <c r="H286" i="1"/>
  <c r="H276" i="1"/>
  <c r="H294" i="1"/>
  <c r="H295" i="1"/>
  <c r="H296" i="1"/>
  <c r="H298" i="1"/>
  <c r="H307" i="1"/>
  <c r="H308" i="1"/>
  <c r="H311" i="1" s="1"/>
  <c r="H309" i="1"/>
  <c r="H310" i="1"/>
  <c r="H312" i="1"/>
  <c r="H313" i="1"/>
  <c r="H314" i="1" s="1"/>
  <c r="H315" i="1"/>
  <c r="H317" i="1"/>
  <c r="H318" i="1"/>
  <c r="H319" i="1"/>
  <c r="H322" i="1"/>
  <c r="H323" i="1"/>
  <c r="H324" i="1"/>
  <c r="H325" i="1"/>
  <c r="H326" i="1"/>
  <c r="H330" i="1"/>
  <c r="H331" i="1"/>
  <c r="H332" i="1"/>
  <c r="H333" i="1"/>
  <c r="H334" i="1"/>
  <c r="H336" i="1"/>
  <c r="H356" i="1"/>
  <c r="H357" i="1"/>
  <c r="H358" i="1"/>
  <c r="H359" i="1"/>
  <c r="H364" i="1"/>
  <c r="H368" i="1"/>
  <c r="H373" i="1"/>
  <c r="H376" i="1"/>
  <c r="H378" i="1"/>
  <c r="H381" i="1"/>
  <c r="H382" i="1"/>
  <c r="H383" i="1"/>
  <c r="H388" i="1"/>
  <c r="H389" i="1"/>
  <c r="H391" i="1"/>
  <c r="H394" i="1"/>
  <c r="H395" i="1"/>
  <c r="H396" i="1"/>
  <c r="H398" i="1"/>
  <c r="H399" i="1"/>
  <c r="H400" i="1"/>
  <c r="H403" i="1"/>
  <c r="H404" i="1"/>
  <c r="H412" i="1"/>
  <c r="H413" i="1"/>
  <c r="H416" i="1"/>
  <c r="H417" i="1"/>
  <c r="H418" i="1"/>
  <c r="H419" i="1"/>
  <c r="H420" i="1"/>
  <c r="H421" i="1"/>
  <c r="H414" i="1"/>
  <c r="H365" i="1"/>
  <c r="D420" i="1"/>
  <c r="H430" i="1"/>
  <c r="H431" i="1"/>
  <c r="H432" i="1" s="1"/>
  <c r="H436" i="1"/>
  <c r="H437" i="1"/>
  <c r="H442" i="1"/>
  <c r="H444" i="1"/>
  <c r="H445" i="1"/>
  <c r="H447" i="1"/>
  <c r="H448" i="1"/>
  <c r="H449" i="1"/>
  <c r="H450" i="1"/>
  <c r="H454" i="1"/>
  <c r="H458" i="1"/>
  <c r="H459" i="1"/>
  <c r="H460" i="1"/>
  <c r="H462" i="1"/>
  <c r="H464" i="1"/>
  <c r="H465" i="1"/>
  <c r="H466" i="1"/>
  <c r="H467" i="1"/>
  <c r="H468" i="1"/>
  <c r="H220" i="1"/>
  <c r="H461" i="1"/>
  <c r="I458" i="1"/>
  <c r="J458" i="1"/>
  <c r="H87" i="3"/>
  <c r="D95" i="3"/>
  <c r="H57" i="3"/>
  <c r="H58" i="3"/>
  <c r="H26" i="3"/>
  <c r="H25" i="3"/>
  <c r="I152" i="1"/>
  <c r="J152" i="1"/>
  <c r="H59" i="3"/>
  <c r="D93" i="3"/>
  <c r="H27" i="3"/>
  <c r="D92" i="3"/>
  <c r="D100" i="3"/>
  <c r="I44" i="1"/>
  <c r="J44" i="1"/>
  <c r="H52" i="1"/>
  <c r="H55" i="1"/>
  <c r="I52" i="1" s="1"/>
  <c r="J52" i="1" s="1"/>
  <c r="H297" i="1"/>
  <c r="I311" i="1"/>
  <c r="J311" i="1"/>
  <c r="H224" i="1"/>
  <c r="H288" i="1"/>
  <c r="H215" i="1"/>
  <c r="H128" i="1"/>
  <c r="I128" i="1" s="1"/>
  <c r="J128" i="1" s="1"/>
  <c r="H289" i="1"/>
  <c r="H98" i="1"/>
  <c r="H107" i="1"/>
  <c r="H108" i="1"/>
  <c r="I98" i="1"/>
  <c r="J98" i="1"/>
  <c r="H217" i="1"/>
  <c r="I173" i="1"/>
  <c r="J173" i="1"/>
  <c r="H290" i="1"/>
  <c r="I224" i="1"/>
  <c r="J224" i="1"/>
  <c r="H327" i="1"/>
  <c r="H426" i="1"/>
  <c r="H427" i="1"/>
  <c r="H428" i="1" s="1"/>
  <c r="I327" i="1" s="1"/>
  <c r="J327" i="1" s="1"/>
  <c r="I432" i="1"/>
  <c r="J432" i="1"/>
  <c r="H451" i="1"/>
  <c r="I441" i="1"/>
  <c r="J441" i="1"/>
  <c r="H469" i="1" l="1"/>
  <c r="I461" i="1" s="1"/>
  <c r="J461" i="1" s="1"/>
  <c r="H320" i="1"/>
  <c r="I314" i="1" s="1"/>
  <c r="J314" i="1" s="1"/>
  <c r="H303" i="1"/>
  <c r="H304" i="1" s="1"/>
  <c r="I297" i="1" s="1"/>
  <c r="J297" i="1" s="1"/>
  <c r="H150" i="1"/>
  <c r="I143" i="1"/>
  <c r="J143" i="1" s="1"/>
  <c r="H119" i="1"/>
  <c r="H120" i="1"/>
  <c r="H114" i="1"/>
  <c r="I114" i="1" s="1"/>
  <c r="J114" i="1" s="1"/>
  <c r="H70" i="1"/>
  <c r="I62" i="1"/>
  <c r="J62" i="1" s="1"/>
  <c r="H39" i="1"/>
  <c r="I24" i="1" s="1"/>
  <c r="J24" i="1" s="1"/>
  <c r="H21" i="1"/>
  <c r="I14" i="1" s="1"/>
  <c r="J14" i="1" s="1"/>
  <c r="I11" i="1"/>
  <c r="J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KIP i A</author>
  </authors>
  <commentList>
    <comment ref="A90" authorId="0" shapeId="0" xr:uid="{F3158014-4103-45E1-87CE-817C38611601}">
      <text>
        <r>
          <rPr>
            <b/>
            <sz val="9"/>
            <color indexed="81"/>
            <rFont val="Tahoma"/>
            <family val="2"/>
            <charset val="204"/>
          </rPr>
          <t>KIP i A:</t>
        </r>
        <r>
          <rPr>
            <sz val="9"/>
            <color indexed="81"/>
            <rFont val="Tahoma"/>
            <family val="2"/>
            <charset val="204"/>
          </rPr>
          <t xml:space="preserve">
Малая нагрузка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</author>
  </authors>
  <commentList>
    <comment ref="F15" authorId="0" shapeId="0" xr:uid="{94BCD163-2430-4696-9401-66C8EC6CFAD0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15" authorId="0" shapeId="0" xr:uid="{B52B813B-BE55-40A3-AC47-A6C38E4CA1F1}">
      <text>
        <r>
          <rPr>
            <b/>
            <sz val="9"/>
            <color indexed="81"/>
            <rFont val="Tahoma"/>
            <family val="2"/>
            <charset val="204"/>
          </rPr>
          <t>Пользователь: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<sst xmlns="http://schemas.openxmlformats.org/spreadsheetml/2006/main" count="1589" uniqueCount="744">
  <si>
    <t>Баланс по месторождениям "Алибекмола" и "Кожасай"</t>
  </si>
  <si>
    <t>за ноябрь 2025г.</t>
  </si>
  <si>
    <t>Наименование</t>
  </si>
  <si>
    <t>Тип ПУ</t>
  </si>
  <si>
    <t>№ ПУ</t>
  </si>
  <si>
    <t>Тр-р</t>
  </si>
  <si>
    <t>Коэф.</t>
  </si>
  <si>
    <t>Показания</t>
  </si>
  <si>
    <t>Расход</t>
  </si>
  <si>
    <t>Небаланс</t>
  </si>
  <si>
    <t>01.01.26г</t>
  </si>
  <si>
    <t>02.02.26г</t>
  </si>
  <si>
    <t>в кВтч</t>
  </si>
  <si>
    <t>в %</t>
  </si>
  <si>
    <t>ПС-110/35/6кВ</t>
  </si>
  <si>
    <t>Ввод 110кВ от ПС-110/10кВ "Эмба"</t>
  </si>
  <si>
    <t>ARTM2-00 PBR.R</t>
  </si>
  <si>
    <t>600/5</t>
  </si>
  <si>
    <t>Ввод 110кВ от ПС-110/35/6кВ "Кенкияк"</t>
  </si>
  <si>
    <t>Итого по вводам 110 кВ</t>
  </si>
  <si>
    <t xml:space="preserve">Ввод №1 35 кВ </t>
  </si>
  <si>
    <t xml:space="preserve">Ввод №2 35 кВ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</si>
  <si>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</si>
  <si>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Итого по вводам 35 кВ</t>
  </si>
  <si>
    <t xml:space="preserve">ВЛ 35 кВ Север </t>
  </si>
  <si>
    <t>300/5</t>
  </si>
  <si>
    <t>ВЛ 35 кВ Южная</t>
  </si>
  <si>
    <t xml:space="preserve">ВЛ 35 кВ Кожасай  №1 </t>
  </si>
  <si>
    <t xml:space="preserve">ВЛ 35 кВ Кожасай  №2 </t>
  </si>
  <si>
    <t>ВЛ 35 кВ УКПГ  № 1</t>
  </si>
  <si>
    <t>ВЛ 35 кВ УКПГ  № 2</t>
  </si>
  <si>
    <t>Итого по отходящим линиям 35 кВ</t>
  </si>
  <si>
    <t>Ввод №1 6кВ яч. 109 Т-1</t>
  </si>
  <si>
    <t>1500/5</t>
  </si>
  <si>
    <t>Ввод №2 6кВ яч. 204 Т-2</t>
  </si>
  <si>
    <t>Итого по вводам 6 кВ</t>
  </si>
  <si>
    <t>Яч. 111 БКНС ввод 1 6 кВ</t>
  </si>
  <si>
    <t>400/5</t>
  </si>
  <si>
    <t>Яч. 213 БКНС ввод 2 6 кВ</t>
  </si>
  <si>
    <t>Яч.107 ввод  ТСН1 6 кВ</t>
  </si>
  <si>
    <t>50/5</t>
  </si>
  <si>
    <t>Яч. 206 ввод ТСН2 6 кВ</t>
  </si>
  <si>
    <t>Яч.114 КТПГ №1 ввод 1 6 кВ</t>
  </si>
  <si>
    <t>Яч. 214 КТПГ №2 ввод 1 6 кВ</t>
  </si>
  <si>
    <t>Яч. 115 УДГР№1   6 кВ</t>
  </si>
  <si>
    <t>Яч. 215 УДГР№2  6 кВ</t>
  </si>
  <si>
    <t xml:space="preserve">Яч.113 "Каспий нефть-1" </t>
  </si>
  <si>
    <t xml:space="preserve">Яч.212 "Каспий нефть-2" </t>
  </si>
  <si>
    <t>Яч.104 "РП-1-1"</t>
  </si>
  <si>
    <t>Яч.211 "РП-1-2"</t>
  </si>
  <si>
    <t>Яч.207 "СУПС"</t>
  </si>
  <si>
    <t>Яч.210 "ГПЭС"</t>
  </si>
  <si>
    <t>Итого по отходящим линиям 6 кВ</t>
  </si>
  <si>
    <t>ПС35/6кВ "Газзавод Алибекмола"</t>
  </si>
  <si>
    <t>ВЛ 35кВ УКПГ  № 1 с 110 "Алибекмола"</t>
  </si>
  <si>
    <t>ВЛ 35кВ УКПГ  № 2 с 110 "Алибекмола"</t>
  </si>
  <si>
    <t>Сторонние организации</t>
  </si>
  <si>
    <t xml:space="preserve">Итого выдано с ПС110/35/6кВ </t>
  </si>
  <si>
    <t>Газ.завод Ввод 35кВ №1</t>
  </si>
  <si>
    <t>Газ.завод Ввод 35кВ №2</t>
  </si>
  <si>
    <t>Итого по 35кВ</t>
  </si>
  <si>
    <t>Ввод №1 6кВ яч.№1</t>
  </si>
  <si>
    <t>Ввод №2 6кВ яч.№11</t>
  </si>
  <si>
    <t xml:space="preserve">Яч. №2     ТСН-1 </t>
  </si>
  <si>
    <t>ARTMX2-03 PBR.R</t>
  </si>
  <si>
    <t xml:space="preserve">Яч. №12   ТСН-2  </t>
  </si>
  <si>
    <t>Линия 6кВ Газзавод-1 яч №5</t>
  </si>
  <si>
    <t>1000/5</t>
  </si>
  <si>
    <t>Линия 6кВ Газзавод-2 яч №8</t>
  </si>
  <si>
    <t xml:space="preserve">             ПС 35/6 "Северная"</t>
  </si>
  <si>
    <t>ПС Север ВВ35 Сагабулак актив</t>
  </si>
  <si>
    <t xml:space="preserve"> ARTM2-00 PBR.R</t>
  </si>
  <si>
    <t>100/5</t>
  </si>
  <si>
    <t>ПС Север ВВ35 реактив</t>
  </si>
  <si>
    <t>ПС Север ввода 6кВ</t>
  </si>
  <si>
    <t>яч. 2   Ввод 6 кВ № 1</t>
  </si>
  <si>
    <t>яч.15  Ввод 6 кВ № 2</t>
  </si>
  <si>
    <t>Итого по Вводам 6кВ.</t>
  </si>
  <si>
    <t>Отхдящие линии 6 кВ</t>
  </si>
  <si>
    <t>яч.№6 II-водоподьём</t>
  </si>
  <si>
    <t>яч. №7 АГЗУ</t>
  </si>
  <si>
    <t>яч. №10 2-водоподъём</t>
  </si>
  <si>
    <t>200/5</t>
  </si>
  <si>
    <t>яч. №11 Тех.вода</t>
  </si>
  <si>
    <t>яч. №13  I-водоподьём</t>
  </si>
  <si>
    <t xml:space="preserve"> ТСН 2 по 6 кВ</t>
  </si>
  <si>
    <t>СА4-5001Д</t>
  </si>
  <si>
    <t>Итого по отходящим. линиям 6 кВ</t>
  </si>
  <si>
    <t xml:space="preserve">                                                                                       Ячейки №10 и №13 ПС 35/6 "СЕВЕР"</t>
  </si>
  <si>
    <t>Жанажол плюс Водозабор Север</t>
  </si>
  <si>
    <t>СА4У-И678</t>
  </si>
  <si>
    <t>п/вкл.</t>
  </si>
  <si>
    <t xml:space="preserve"> </t>
  </si>
  <si>
    <t>Скважина 64</t>
  </si>
  <si>
    <t>СА4У-Э704</t>
  </si>
  <si>
    <t>FD125650</t>
  </si>
  <si>
    <t>Скважина 305 ЭЦН</t>
  </si>
  <si>
    <t>Меркурий 230</t>
  </si>
  <si>
    <t xml:space="preserve">Скважина 306 ЭЦН    </t>
  </si>
  <si>
    <t>48872202</t>
  </si>
  <si>
    <t>Скважина 307</t>
  </si>
  <si>
    <t>СА4У-Э720</t>
  </si>
  <si>
    <t>NE055297</t>
  </si>
  <si>
    <t xml:space="preserve">Скважина 311 ЭЦН   </t>
  </si>
  <si>
    <t>Нева МТ 323</t>
  </si>
  <si>
    <t>000675</t>
  </si>
  <si>
    <t xml:space="preserve">Скважина 312 ЭЦН </t>
  </si>
  <si>
    <t>FD121949</t>
  </si>
  <si>
    <t>АГЗУ Север-2</t>
  </si>
  <si>
    <t>NE055230</t>
  </si>
  <si>
    <t>Скважина  2Т</t>
  </si>
  <si>
    <t>СА4У-И672МК</t>
  </si>
  <si>
    <t>Скважина  4Т</t>
  </si>
  <si>
    <t>250/5</t>
  </si>
  <si>
    <t>Скважина  5Т</t>
  </si>
  <si>
    <t>нет ПУ</t>
  </si>
  <si>
    <t>Скважина  6Т</t>
  </si>
  <si>
    <t>Скважина  7Т</t>
  </si>
  <si>
    <t>Скважина  8Т</t>
  </si>
  <si>
    <t>Скважина 314 ЭЦН</t>
  </si>
  <si>
    <t>666</t>
  </si>
  <si>
    <t>Скважина 315 ЭЦН</t>
  </si>
  <si>
    <t xml:space="preserve"> 200/5</t>
  </si>
  <si>
    <t xml:space="preserve">Скважина 318  </t>
  </si>
  <si>
    <t>СА4У-Э412-1</t>
  </si>
  <si>
    <t xml:space="preserve"> 250/5</t>
  </si>
  <si>
    <t>Демонтирован</t>
  </si>
  <si>
    <t>РП -1 6кВ "ЦППНГ"</t>
  </si>
  <si>
    <t>яч.№104 РП-1-1 от ПС-110/35/6кВ</t>
  </si>
  <si>
    <t>яч.№211 РП-1-2 от ПС-110/35/6кВ</t>
  </si>
  <si>
    <t>Итого выдано от ПС-110/35/6кВ</t>
  </si>
  <si>
    <t>Ввод-6кВ-1  яч.№8</t>
  </si>
  <si>
    <t xml:space="preserve"> А1802RAL-P4GB</t>
  </si>
  <si>
    <t>Ввод-6кВ-2 яч.№24</t>
  </si>
  <si>
    <t>Итого потребление по вводам 6кВ РП-1</t>
  </si>
  <si>
    <t>УДН КТП -1   250 кВА яч.№6</t>
  </si>
  <si>
    <t>УДН КТП -2   250 кВА яч.№26</t>
  </si>
  <si>
    <t>ППН КТП -1  1000 кВА яч.№5</t>
  </si>
  <si>
    <t>150/5</t>
  </si>
  <si>
    <t>ППН КТП -2  1000 кВА  яч.№27</t>
  </si>
  <si>
    <t>ТП-3-1            630  кВА яч.№3</t>
  </si>
  <si>
    <t>ТП-3-2            630  кВА яч.№19</t>
  </si>
  <si>
    <t>ТП-7-1            400 кВА яч.№4</t>
  </si>
  <si>
    <t>ТП-7-2            400 кВА яч.№20</t>
  </si>
  <si>
    <t>Потери КЛ</t>
  </si>
  <si>
    <t>Итого потребление по отходящим линиям  6кв РП-1</t>
  </si>
  <si>
    <t>ППН - УДН  баланс по 0,4кВ.</t>
  </si>
  <si>
    <t xml:space="preserve">УДН КТП -1  250 кВА  яч № 6 </t>
  </si>
  <si>
    <t>ППН КТП -1  1000 кВА  яч № 5</t>
  </si>
  <si>
    <t>ППН КТП -2  1000 кВА  яч № 27</t>
  </si>
  <si>
    <t>Итого выдана на ППН - УДН с РП-1 по 6кВ.</t>
  </si>
  <si>
    <t>УДН КТП -1  250 кВА   от РП-1-1</t>
  </si>
  <si>
    <t>FA132568</t>
  </si>
  <si>
    <t xml:space="preserve">УДН КТП -2  250 кВА   от РП-1-2 </t>
  </si>
  <si>
    <t>ППН КТП -1  1000 кВА отРП-1-1</t>
  </si>
  <si>
    <t>ЦЭ6803В</t>
  </si>
  <si>
    <t>2000/5</t>
  </si>
  <si>
    <t>ППН КТП -2  1000 кВА отРП-1-2</t>
  </si>
  <si>
    <t>Итого потреблено ППН - УДН   по 0,4кВ.</t>
  </si>
  <si>
    <t>Лаборатория</t>
  </si>
  <si>
    <t>КТП НКУ</t>
  </si>
  <si>
    <t>Итого выдано от ПС 110/35/6</t>
  </si>
  <si>
    <t>яч. 9 Вв 6кВ от яч.111 ПС 110</t>
  </si>
  <si>
    <t>яч. 12 Вв 6кВ от яч.213 ПС 110</t>
  </si>
  <si>
    <t xml:space="preserve">Итого потребление БКНС </t>
  </si>
  <si>
    <t xml:space="preserve">                                                                                          п/ст пл.№4 яч №6 ВЛ 10-кВ ТП 1:2; по ВЛ 0,4 кВ</t>
  </si>
  <si>
    <t>Площадка №4</t>
  </si>
  <si>
    <t>П/С Жем яч. № 17 10 кВ</t>
  </si>
  <si>
    <t>А1805КL-Р4G</t>
  </si>
  <si>
    <t>Потребл.по 0,4 кВ "КОА"</t>
  </si>
  <si>
    <t xml:space="preserve">                                                                       </t>
  </si>
  <si>
    <t xml:space="preserve">                                            ПС 35/6 кВ "ЮЖНАЯ"</t>
  </si>
  <si>
    <t>Юг. Ввод 35 кВ 1Т</t>
  </si>
  <si>
    <t>Юг. Ввод 35 кВ 2Т</t>
  </si>
  <si>
    <t>Итого:по Вводам 35 кВ приём</t>
  </si>
  <si>
    <t>яч. №2 Ввод 6кВ № 1</t>
  </si>
  <si>
    <t>яч. №13 Ввод 6кВ № 2</t>
  </si>
  <si>
    <t>Итого по Вводам 6 кВ.</t>
  </si>
  <si>
    <t>яч. №4 "Пл.№ 22" 6 кВ</t>
  </si>
  <si>
    <t>яч. №5 "АГЗУ"  6 кВ .</t>
  </si>
  <si>
    <t>яч .№6 "Казтрансойл"  6 кВ</t>
  </si>
  <si>
    <t>яч. №11 "Казтрансойл"  6 кВ</t>
  </si>
  <si>
    <t>яч. №9 "СУПС"  6 кВ</t>
  </si>
  <si>
    <t>яч. №10 ТБО 6 кВ .</t>
  </si>
  <si>
    <t xml:space="preserve">                                           Площадка №22 от яч. №4 баланс по 0,4кВ                                                                                                                                 </t>
  </si>
  <si>
    <t xml:space="preserve">ТП-6/0,4 кВ.Ввод 1 400 кВА            </t>
  </si>
  <si>
    <t>EA05RLP1B</t>
  </si>
  <si>
    <t xml:space="preserve">ТП-6/0,4 кВ.Ввод 2 400 кВА             </t>
  </si>
  <si>
    <t>Офис "КОА"</t>
  </si>
  <si>
    <t>30/5</t>
  </si>
  <si>
    <t>Общежитие №1</t>
  </si>
  <si>
    <t>СА4У-И672М</t>
  </si>
  <si>
    <t>Столовая "КОА"</t>
  </si>
  <si>
    <t>Пожарное депо</t>
  </si>
  <si>
    <t>СА4У-ИО699</t>
  </si>
  <si>
    <t>Насос II-го подъёма</t>
  </si>
  <si>
    <t>СА4У-510</t>
  </si>
  <si>
    <t>Механический цех</t>
  </si>
  <si>
    <t>СА4-Э703</t>
  </si>
  <si>
    <t xml:space="preserve">Новые мастерские. (сауна)        </t>
  </si>
  <si>
    <t>0179021</t>
  </si>
  <si>
    <t>Гараж "ГРАСИС"</t>
  </si>
  <si>
    <t>25кВТ</t>
  </si>
  <si>
    <t>КНС</t>
  </si>
  <si>
    <t>20/5</t>
  </si>
  <si>
    <t>Склад-ангар №1, №2</t>
  </si>
  <si>
    <t>26,5 кВт</t>
  </si>
  <si>
    <t>Пост пл №22</t>
  </si>
  <si>
    <t>4кВТ</t>
  </si>
  <si>
    <t>Пост пл №22  на дороге</t>
  </si>
  <si>
    <t xml:space="preserve">Освещение                                    </t>
  </si>
  <si>
    <t>GH46ha</t>
  </si>
  <si>
    <t>Дизельная</t>
  </si>
  <si>
    <t>15кВт</t>
  </si>
  <si>
    <t>Вагончики добычи</t>
  </si>
  <si>
    <t>Потери ВЛ 0,4</t>
  </si>
  <si>
    <t>Итого баланс по 0,4 кВ.</t>
  </si>
  <si>
    <t>Ячейки №5 ПС 35/6 "ЮЖНАЯ" яч №7 ПС 35/6 "СЕВЕР"</t>
  </si>
  <si>
    <t>яч. №7 "АГЗУ"  п/с Север</t>
  </si>
  <si>
    <t xml:space="preserve">яч. №5 "АГЗУ"  п/с  Южная        </t>
  </si>
  <si>
    <t>Итого по 6 кВ</t>
  </si>
  <si>
    <t>МАФ 1</t>
  </si>
  <si>
    <t xml:space="preserve">Скважина  06В      ЭЦН     </t>
  </si>
  <si>
    <t>Скважина  05В      ЭЦН</t>
  </si>
  <si>
    <t>Скважина 8</t>
  </si>
  <si>
    <t>ДТ292</t>
  </si>
  <si>
    <t>Скважина 9</t>
  </si>
  <si>
    <t>Скважина 09В       ЭЦН</t>
  </si>
  <si>
    <t>СА4У-Э412</t>
  </si>
  <si>
    <t xml:space="preserve">Скважина 10В   </t>
  </si>
  <si>
    <t>СА4У-Э704-1Т</t>
  </si>
  <si>
    <t>FA137678</t>
  </si>
  <si>
    <t xml:space="preserve">Скважина 28 </t>
  </si>
  <si>
    <t xml:space="preserve">Скважина 52 </t>
  </si>
  <si>
    <t>CА4У-Э720</t>
  </si>
  <si>
    <t>NE055317</t>
  </si>
  <si>
    <t xml:space="preserve">Скважина 53   </t>
  </si>
  <si>
    <t xml:space="preserve">Скважина 55  ППД  КТП - 1 </t>
  </si>
  <si>
    <t xml:space="preserve">Скважина 55  ППД  КТП - 2          </t>
  </si>
  <si>
    <t>FD122453</t>
  </si>
  <si>
    <t>Скважина 102      ЭЦН</t>
  </si>
  <si>
    <t xml:space="preserve">Скважина 103      ЭЦН                 </t>
  </si>
  <si>
    <t xml:space="preserve">Скважина 104      ЭЦН        </t>
  </si>
  <si>
    <t>FD126031</t>
  </si>
  <si>
    <t xml:space="preserve">Скважина 106      ЭЦН  </t>
  </si>
  <si>
    <t>6098118</t>
  </si>
  <si>
    <t>Скважина 107      ЭЦН</t>
  </si>
  <si>
    <t>СА4У-И0699</t>
  </si>
  <si>
    <t>Скважина 108</t>
  </si>
  <si>
    <t>Скважина 109     ЭЦН</t>
  </si>
  <si>
    <t xml:space="preserve"> Дала СА4У  </t>
  </si>
  <si>
    <t>ND154975</t>
  </si>
  <si>
    <t>Скважина 111     ЭЦН</t>
  </si>
  <si>
    <t>Меркурий230</t>
  </si>
  <si>
    <t>Скважина 115</t>
  </si>
  <si>
    <t xml:space="preserve">Скважина  121            </t>
  </si>
  <si>
    <t xml:space="preserve">Скважина  122    ЭЦН                               </t>
  </si>
  <si>
    <t>Скважина 123</t>
  </si>
  <si>
    <t>Скважина  10      ЭЦН</t>
  </si>
  <si>
    <t>Скважина  131     ЭЦН</t>
  </si>
  <si>
    <t>NЕ054652</t>
  </si>
  <si>
    <t xml:space="preserve">Скважина 137                                    </t>
  </si>
  <si>
    <t>FA137466</t>
  </si>
  <si>
    <t xml:space="preserve">Скважина  200    </t>
  </si>
  <si>
    <t>Дала СА4У-Э720</t>
  </si>
  <si>
    <t>NC146296</t>
  </si>
  <si>
    <t xml:space="preserve">   </t>
  </si>
  <si>
    <t>Скважина  201</t>
  </si>
  <si>
    <t xml:space="preserve">Скважина  207  </t>
  </si>
  <si>
    <t xml:space="preserve">нет ПУ  </t>
  </si>
  <si>
    <t>АГЗУ Север №1</t>
  </si>
  <si>
    <t>Скважина 316</t>
  </si>
  <si>
    <t xml:space="preserve">Скважина  320      ЭЦН   </t>
  </si>
  <si>
    <t>FD122348</t>
  </si>
  <si>
    <t>Скважина  324</t>
  </si>
  <si>
    <t>FA135680</t>
  </si>
  <si>
    <t>Скважина  327</t>
  </si>
  <si>
    <t>Скважина  323 ЭЦН</t>
  </si>
  <si>
    <t xml:space="preserve">Скважина  507     ЭЦН       </t>
  </si>
  <si>
    <t xml:space="preserve">Скважина  513     ЭЦН     </t>
  </si>
  <si>
    <t>Газопровод "Жанажол"-КС13 КУУГ</t>
  </si>
  <si>
    <t>FA135933</t>
  </si>
  <si>
    <t>Потери по линии 6 кВ</t>
  </si>
  <si>
    <t xml:space="preserve">Потери по ТП </t>
  </si>
  <si>
    <t>Итого баланс по 0.4 кВ.</t>
  </si>
  <si>
    <t>Яч. №10 "ТБО" Яч. №4 "Площадка №22" Яч. №9 "СУПС" Яч. №207 "СУПС " баланс по 0.4 кВ.</t>
  </si>
  <si>
    <t>яч. №4 "Пл.№ 22"  п/с 35/6 кВ  "Юг"</t>
  </si>
  <si>
    <t>яч. №10 "ТБО"  п/с 35/6 кВ  "Юг"</t>
  </si>
  <si>
    <t>яч.№9 "СУПС" п/с 35/6 кВ  "Юг"</t>
  </si>
  <si>
    <t>Яч.207 "СУПС" п/с110"Алибекмола"</t>
  </si>
  <si>
    <t xml:space="preserve">Скважина 10      ЭЦН  </t>
  </si>
  <si>
    <t>Скважина 01В      ЭЦН</t>
  </si>
  <si>
    <t>САР4У-Э712</t>
  </si>
  <si>
    <t>KL002329</t>
  </si>
  <si>
    <t xml:space="preserve">Скважина  02А     ЭЦН </t>
  </si>
  <si>
    <t>Скважина  03А     ЭЦН</t>
  </si>
  <si>
    <t>ND155154</t>
  </si>
  <si>
    <t>Скважина  06А    ЭЦН</t>
  </si>
  <si>
    <t xml:space="preserve">Меркурий 230 </t>
  </si>
  <si>
    <t xml:space="preserve">Скважина  07А ЭЦН         </t>
  </si>
  <si>
    <t>KL002354</t>
  </si>
  <si>
    <t xml:space="preserve">Скважина  10А  ЭЦН    </t>
  </si>
  <si>
    <t>000662</t>
  </si>
  <si>
    <t>МАФ 2</t>
  </si>
  <si>
    <t>Скважина  54</t>
  </si>
  <si>
    <t>Скважина 56        ЭЦН</t>
  </si>
  <si>
    <t xml:space="preserve">Скважина 113     ЭЦН   </t>
  </si>
  <si>
    <t>СА4У-Э703</t>
  </si>
  <si>
    <t>FA214008</t>
  </si>
  <si>
    <t>Скважина 116      ЭЦН</t>
  </si>
  <si>
    <t xml:space="preserve">Скважина 117 </t>
  </si>
  <si>
    <t>ДАЛА СА4У-Э720</t>
  </si>
  <si>
    <t>ND152748</t>
  </si>
  <si>
    <t>Скважина 119   ЭЦН</t>
  </si>
  <si>
    <t>ND152742</t>
  </si>
  <si>
    <t xml:space="preserve">   200/5</t>
  </si>
  <si>
    <t xml:space="preserve">Скважина  203      ЭЦН  </t>
  </si>
  <si>
    <t>000679</t>
  </si>
  <si>
    <t>Скважина  205</t>
  </si>
  <si>
    <t>0006652</t>
  </si>
  <si>
    <t>Скважина  204</t>
  </si>
  <si>
    <t>Скважина 206</t>
  </si>
  <si>
    <t xml:space="preserve">Нефтесливная "Кожасай"    </t>
  </si>
  <si>
    <t>000654</t>
  </si>
  <si>
    <t>Скважина 07В     ЭЦН</t>
  </si>
  <si>
    <t xml:space="preserve">Пожарное депо. Новое.   </t>
  </si>
  <si>
    <t>ND141135</t>
  </si>
  <si>
    <t>Скважина 12B     ЭЦН</t>
  </si>
  <si>
    <t>F0128201</t>
  </si>
  <si>
    <t>Скважина 13В     ЭЦН</t>
  </si>
  <si>
    <t>FA133185</t>
  </si>
  <si>
    <t>Скважина 17B     ЭЦН</t>
  </si>
  <si>
    <t>FA135678</t>
  </si>
  <si>
    <t>Скважина 20B     ЭЦН</t>
  </si>
  <si>
    <t>NЕ055211</t>
  </si>
  <si>
    <t xml:space="preserve">Скважина 151      ЭЦН  </t>
  </si>
  <si>
    <t>000663</t>
  </si>
  <si>
    <t>Скважина 27       ЭЦН</t>
  </si>
  <si>
    <t xml:space="preserve">Скважина 51       ЭЦН    </t>
  </si>
  <si>
    <t xml:space="preserve"> А1805RAL-P4GB</t>
  </si>
  <si>
    <t>Скважина 58        ЭЦН</t>
  </si>
  <si>
    <t xml:space="preserve">Скважина 114 </t>
  </si>
  <si>
    <t>000280</t>
  </si>
  <si>
    <t>Скважина 134     ЭЦН</t>
  </si>
  <si>
    <t>ДТ 292</t>
  </si>
  <si>
    <t>Скважина 135      ЭЦН</t>
  </si>
  <si>
    <t>ND154908</t>
  </si>
  <si>
    <t>Скважина 136      ЭЦН</t>
  </si>
  <si>
    <t xml:space="preserve">Скважина 139           </t>
  </si>
  <si>
    <t>FA136490</t>
  </si>
  <si>
    <t xml:space="preserve">Скважина  141     ЭЦН   </t>
  </si>
  <si>
    <t>000619</t>
  </si>
  <si>
    <t>61346,738</t>
  </si>
  <si>
    <t>61889,705</t>
  </si>
  <si>
    <t xml:space="preserve">Скважина  142     ЭЦН                     </t>
  </si>
  <si>
    <t xml:space="preserve">Скважина 143      </t>
  </si>
  <si>
    <t>СА4У-ДАЛА</t>
  </si>
  <si>
    <t>ND154101</t>
  </si>
  <si>
    <t xml:space="preserve">Скважина 144                  </t>
  </si>
  <si>
    <t>FA133490</t>
  </si>
  <si>
    <t xml:space="preserve">Скважина 145    </t>
  </si>
  <si>
    <t xml:space="preserve">Скважина 147     ЭЦН   </t>
  </si>
  <si>
    <t>48872281</t>
  </si>
  <si>
    <t xml:space="preserve">Скважина 148     ЭЦН  </t>
  </si>
  <si>
    <t>000250</t>
  </si>
  <si>
    <t xml:space="preserve"> 400/5</t>
  </si>
  <si>
    <t>44713,7</t>
  </si>
  <si>
    <t>45010,961</t>
  </si>
  <si>
    <t>Скважина 210</t>
  </si>
  <si>
    <t>Скважина 211</t>
  </si>
  <si>
    <t>Скважина 215</t>
  </si>
  <si>
    <t>ND142474</t>
  </si>
  <si>
    <t>75/5</t>
  </si>
  <si>
    <t xml:space="preserve">Скважина  212     ЭЦН </t>
  </si>
  <si>
    <t>СА4У-И412МК</t>
  </si>
  <si>
    <t>Скважина 213</t>
  </si>
  <si>
    <t xml:space="preserve">МАФ 4           </t>
  </si>
  <si>
    <t>Очистные сооружения</t>
  </si>
  <si>
    <t xml:space="preserve">Ввод 1 пос."Мунайши" </t>
  </si>
  <si>
    <t>Ввод 2 пос."Мунайши"</t>
  </si>
  <si>
    <t xml:space="preserve">ТП-6/0,4 кВ.Ввод 1 400 кВА              </t>
  </si>
  <si>
    <t xml:space="preserve">ТП-6/0,4 кВ.Ввод 2 400 кВА              </t>
  </si>
  <si>
    <t>Скважина  127 ЭЦН</t>
  </si>
  <si>
    <t>АГЗУ "Центр" КТП-40 кВА</t>
  </si>
  <si>
    <t xml:space="preserve">Скважина 130   ЭЦН         </t>
  </si>
  <si>
    <t>Скважина 209</t>
  </si>
  <si>
    <t>Скважина 26 ЭЦН</t>
  </si>
  <si>
    <t>ДАЛА 4 У</t>
  </si>
  <si>
    <t>ND152861</t>
  </si>
  <si>
    <t xml:space="preserve">Скважина 62  </t>
  </si>
  <si>
    <t>СА4-Э704</t>
  </si>
  <si>
    <t xml:space="preserve">Скважина 118  </t>
  </si>
  <si>
    <t xml:space="preserve">нет ПУ </t>
  </si>
  <si>
    <t>СУПС (скважина №12)</t>
  </si>
  <si>
    <t xml:space="preserve">МАФ 3                                           </t>
  </si>
  <si>
    <t xml:space="preserve">Офис "КОА"  </t>
  </si>
  <si>
    <t>ДАЛА СА4 Э720</t>
  </si>
  <si>
    <t>NC107918</t>
  </si>
  <si>
    <t xml:space="preserve"> Итого баланс по 0.4 кВ.</t>
  </si>
  <si>
    <t xml:space="preserve">                                                                                </t>
  </si>
  <si>
    <t>Баланс по стороне 35кВ м/р "Кожасай".</t>
  </si>
  <si>
    <t xml:space="preserve">ПС 110/35/6 ВЛ 35кВ Кожасай №1 </t>
  </si>
  <si>
    <t xml:space="preserve">ПС 110/35/6 ВЛ 35кВ Кожасай №2 </t>
  </si>
  <si>
    <t>Ввод 35 кВ  "Южный Жанажол"</t>
  </si>
  <si>
    <t>Итого выдано по линиям 35 кВ.</t>
  </si>
  <si>
    <t>Ввод 35 кВ Т-1  35/6 "Кожасай"</t>
  </si>
  <si>
    <t>Ввод 35 кВ Т-2   35/6 "Кожасай"</t>
  </si>
  <si>
    <t>Ввод 35 кВ Т-1   35/6 "БКНС Кожасай"</t>
  </si>
  <si>
    <t>Ввод 35 кВ Т-2   35/6 "БКНС Кожасай"</t>
  </si>
  <si>
    <t>Потери по ВЛ 35 кВ Кожасай 1 и 2</t>
  </si>
  <si>
    <t xml:space="preserve"> Итого баланс по 35кВ.</t>
  </si>
  <si>
    <t xml:space="preserve">                                                                                            П/С  35/6 "Кожасай"</t>
  </si>
  <si>
    <t>Ввод 35 кВ Т-1</t>
  </si>
  <si>
    <t>Ввод 35 кВ Т-2</t>
  </si>
  <si>
    <t xml:space="preserve">ТСН-1 </t>
  </si>
  <si>
    <t>ТСН-2</t>
  </si>
  <si>
    <t xml:space="preserve">Итого получено по вводам 35 кВ </t>
  </si>
  <si>
    <t>Ввод -1 6 кВ ячейка №4</t>
  </si>
  <si>
    <t>Ввод -2 6 кВ ячейка №13</t>
  </si>
  <si>
    <t xml:space="preserve"> Итого по вводам  6 кВ </t>
  </si>
  <si>
    <t xml:space="preserve">Яч № 2 В/городок </t>
  </si>
  <si>
    <t xml:space="preserve">Яч №11 Месторождение </t>
  </si>
  <si>
    <t>Яч №16 ЭХЗ</t>
  </si>
  <si>
    <t xml:space="preserve">Яч №7 РП-6     Нас.перекачки-1 </t>
  </si>
  <si>
    <t xml:space="preserve">Яч №15 РП-6   Нас.перекачки-2 </t>
  </si>
  <si>
    <t xml:space="preserve">                                      Итого по яч 6кВ.</t>
  </si>
  <si>
    <t>Баланс по линиям 6кВ</t>
  </si>
  <si>
    <t>Яч № 2 В.городок ПС 35/6кВ "Кожасай"</t>
  </si>
  <si>
    <t>Яч №11 Месторождение ПС 35/6кВ "Кожасай"</t>
  </si>
  <si>
    <t>яч №8  К002  п/с 35/6кВ "БКНС Кожасай"</t>
  </si>
  <si>
    <t>яч.№11 К001 п/с 35/6кВ "БКНС Кожасай"</t>
  </si>
  <si>
    <t>Итого по линиям  6кВ:</t>
  </si>
  <si>
    <t>АБК Кожасай</t>
  </si>
  <si>
    <t>Дала Э720</t>
  </si>
  <si>
    <t>NF028218</t>
  </si>
  <si>
    <t>Водозабор  КТП №1</t>
  </si>
  <si>
    <t>Водозабор  КТП №2</t>
  </si>
  <si>
    <t>Водозабор  КТП №3</t>
  </si>
  <si>
    <t>Городок КОА  Т-1</t>
  </si>
  <si>
    <t>ND143438</t>
  </si>
  <si>
    <t>Городок КОА  Т-2</t>
  </si>
  <si>
    <t>ND143306</t>
  </si>
  <si>
    <t>Скважина №К001+АГЗУ-2</t>
  </si>
  <si>
    <t>Скважина №К002</t>
  </si>
  <si>
    <t>Скважина №К004</t>
  </si>
  <si>
    <t>Скважина №К003</t>
  </si>
  <si>
    <t>Скважина №К005</t>
  </si>
  <si>
    <t>Скважина №К006</t>
  </si>
  <si>
    <t>Скважина №К007</t>
  </si>
  <si>
    <t>Скважина №К008</t>
  </si>
  <si>
    <t>FA137805</t>
  </si>
  <si>
    <t>Скважина №К009</t>
  </si>
  <si>
    <t>Скважина №К016</t>
  </si>
  <si>
    <t>Скважина №К017</t>
  </si>
  <si>
    <t>Скважина №К018</t>
  </si>
  <si>
    <t>Скважина №К019</t>
  </si>
  <si>
    <t>Скважина №К020</t>
  </si>
  <si>
    <t>Скважина №К021</t>
  </si>
  <si>
    <t>Скважина №К022</t>
  </si>
  <si>
    <t>Скважина №К023</t>
  </si>
  <si>
    <t>DT862/4</t>
  </si>
  <si>
    <t xml:space="preserve">Скважина №К024 </t>
  </si>
  <si>
    <t>Скважина №К026</t>
  </si>
  <si>
    <t xml:space="preserve">Скважина №К039                  </t>
  </si>
  <si>
    <t>ND142496</t>
  </si>
  <si>
    <t>Скважина №К040</t>
  </si>
  <si>
    <t>FA137659</t>
  </si>
  <si>
    <t>Скважина №К042</t>
  </si>
  <si>
    <t>ND142475</t>
  </si>
  <si>
    <t>Скважина №К044</t>
  </si>
  <si>
    <t>ND143457</t>
  </si>
  <si>
    <t>Скважина №К045</t>
  </si>
  <si>
    <t>ND141342</t>
  </si>
  <si>
    <t>Скважина №К046</t>
  </si>
  <si>
    <t>Скважина №К047 ЭЦН</t>
  </si>
  <si>
    <t>000657</t>
  </si>
  <si>
    <t>не работает экран</t>
  </si>
  <si>
    <t>Скважина №К048Д</t>
  </si>
  <si>
    <t>Скважина №К049</t>
  </si>
  <si>
    <t>ND142494</t>
  </si>
  <si>
    <t>Скважина №К051</t>
  </si>
  <si>
    <t>ND141272</t>
  </si>
  <si>
    <t>Скважина №К052</t>
  </si>
  <si>
    <t>FD123517</t>
  </si>
  <si>
    <t xml:space="preserve">Скважина №К054 </t>
  </si>
  <si>
    <t>Скважина №К055</t>
  </si>
  <si>
    <t>ND141255</t>
  </si>
  <si>
    <t>Скважина №К056  ЭЦН</t>
  </si>
  <si>
    <t>FA137679</t>
  </si>
  <si>
    <t>Скважина №К058  ЭЦН</t>
  </si>
  <si>
    <t>ND152774</t>
  </si>
  <si>
    <t>Скважина №К064  ЭЦН</t>
  </si>
  <si>
    <t>000685</t>
  </si>
  <si>
    <t>Скважина №К065</t>
  </si>
  <si>
    <t>Скважина №К068</t>
  </si>
  <si>
    <t>СА4У-Э704-1-Т</t>
  </si>
  <si>
    <t>FA137693</t>
  </si>
  <si>
    <t>Скважина №К071</t>
  </si>
  <si>
    <t>Скважина №К073</t>
  </si>
  <si>
    <t>ND142742</t>
  </si>
  <si>
    <t>Скважина №К077</t>
  </si>
  <si>
    <t>FD127678</t>
  </si>
  <si>
    <t>Скважина №К081</t>
  </si>
  <si>
    <t xml:space="preserve">Скважина №К086          </t>
  </si>
  <si>
    <t>ND141369</t>
  </si>
  <si>
    <t xml:space="preserve"> 75/5</t>
  </si>
  <si>
    <t>Скважина №К091</t>
  </si>
  <si>
    <t xml:space="preserve">Скважина №К095 </t>
  </si>
  <si>
    <t>Скважина №К097</t>
  </si>
  <si>
    <t>FD125669</t>
  </si>
  <si>
    <t>Скважина №К098</t>
  </si>
  <si>
    <t xml:space="preserve">Скважина №К102 </t>
  </si>
  <si>
    <t xml:space="preserve">Скважина №К103 </t>
  </si>
  <si>
    <t>Скважина №К104</t>
  </si>
  <si>
    <t>СА4У-7704-1-Т</t>
  </si>
  <si>
    <t>FA137672</t>
  </si>
  <si>
    <t xml:space="preserve">Скважина №К105              </t>
  </si>
  <si>
    <t xml:space="preserve">Скважина №К122               </t>
  </si>
  <si>
    <t>Скважина №К123</t>
  </si>
  <si>
    <t>FA135596</t>
  </si>
  <si>
    <t>Скважина №К125</t>
  </si>
  <si>
    <t>FA133474</t>
  </si>
  <si>
    <t>Скважина №К126</t>
  </si>
  <si>
    <t>FA136468</t>
  </si>
  <si>
    <t>Скважина №К128</t>
  </si>
  <si>
    <t>FA136424</t>
  </si>
  <si>
    <t>Скважина №К130</t>
  </si>
  <si>
    <t>ND142514</t>
  </si>
  <si>
    <t xml:space="preserve">Скважина №К131             </t>
  </si>
  <si>
    <t>Скважина №К132</t>
  </si>
  <si>
    <t>FA136318</t>
  </si>
  <si>
    <t>Скважина №К134</t>
  </si>
  <si>
    <t>FA137699</t>
  </si>
  <si>
    <t>Демонтирован КТП</t>
  </si>
  <si>
    <t>Скважина №К135 КТП</t>
  </si>
  <si>
    <t>FA136824</t>
  </si>
  <si>
    <t>Скважина №К137</t>
  </si>
  <si>
    <t>FA137857</t>
  </si>
  <si>
    <t xml:space="preserve">Скважина №К139    </t>
  </si>
  <si>
    <t>FA137688</t>
  </si>
  <si>
    <t xml:space="preserve">Скважина №К141 </t>
  </si>
  <si>
    <t>ND142502</t>
  </si>
  <si>
    <t>Скважина №К142 ЭЦН</t>
  </si>
  <si>
    <t>FA137710</t>
  </si>
  <si>
    <t>Скважина №К143</t>
  </si>
  <si>
    <t>FA135824</t>
  </si>
  <si>
    <t>Скважина №К135 КТПН</t>
  </si>
  <si>
    <t>Скважина №К202</t>
  </si>
  <si>
    <t>FA133242</t>
  </si>
  <si>
    <t>Скважина №К204</t>
  </si>
  <si>
    <t>FA137732</t>
  </si>
  <si>
    <t>Скважина №К306</t>
  </si>
  <si>
    <t>FA137655</t>
  </si>
  <si>
    <t>Скважина №К343</t>
  </si>
  <si>
    <t>ND 142516</t>
  </si>
  <si>
    <t>Скважина №К344</t>
  </si>
  <si>
    <t>FA 137845</t>
  </si>
  <si>
    <t>Скважина №К612 ЭЦН</t>
  </si>
  <si>
    <t xml:space="preserve"> Узел задвижек №1</t>
  </si>
  <si>
    <t xml:space="preserve"> Узел задвижек №2</t>
  </si>
  <si>
    <t xml:space="preserve">Блок задвижек </t>
  </si>
  <si>
    <t>МАФ 3</t>
  </si>
  <si>
    <t xml:space="preserve">АГЗУ 9 </t>
  </si>
  <si>
    <t>ND141328</t>
  </si>
  <si>
    <t>ППД Скв К 01</t>
  </si>
  <si>
    <t>АГЗУ-4</t>
  </si>
  <si>
    <t>FD125455</t>
  </si>
  <si>
    <t>АГЗУ-5</t>
  </si>
  <si>
    <t>АГЗУ-6</t>
  </si>
  <si>
    <t>DT292K</t>
  </si>
  <si>
    <t xml:space="preserve">АГЗУ 8 </t>
  </si>
  <si>
    <t>FA133241</t>
  </si>
  <si>
    <t>ВРП-3</t>
  </si>
  <si>
    <t>СА4У-Э720ТХ</t>
  </si>
  <si>
    <t>NF015654</t>
  </si>
  <si>
    <t>ВРП-4</t>
  </si>
  <si>
    <t>FD125673</t>
  </si>
  <si>
    <t>Скважина №П-2 УДНГ</t>
  </si>
  <si>
    <t>КПП Охрана (Мост)</t>
  </si>
  <si>
    <t>ДТ-292-К</t>
  </si>
  <si>
    <t>откл КТП</t>
  </si>
  <si>
    <t>Пож.депо  Кожасай</t>
  </si>
  <si>
    <t>А024553</t>
  </si>
  <si>
    <t xml:space="preserve">Потери по ВЛ </t>
  </si>
  <si>
    <t xml:space="preserve">                                                                                                                                                                                                                      ПО ВЛ 6кВ  "Кожасай"-"Насосная перекачки"</t>
  </si>
  <si>
    <t xml:space="preserve">П/с "Кожасай"   яч. №7  РП-6-1 </t>
  </si>
  <si>
    <t xml:space="preserve">П/с "Кожасай" яч. №15  РП-6-2 </t>
  </si>
  <si>
    <t>ИТОГО:</t>
  </si>
  <si>
    <t>РП-6  "Нас. Пер." яч. №3 Ввод №1</t>
  </si>
  <si>
    <t>РП-6  "Нас. Пер." яч. №20 Ввод  №2</t>
  </si>
  <si>
    <t>УПН-Кожасай</t>
  </si>
  <si>
    <t>Насосная перекачки нефти</t>
  </si>
  <si>
    <t xml:space="preserve">                                                                                                РП 6кВ "Насосная перекачки"</t>
  </si>
  <si>
    <t>яч. №3 Ввод 6 кВ №1</t>
  </si>
  <si>
    <t>яч. №20 Ввод 6 кВ №2</t>
  </si>
  <si>
    <t>ИТОГО по вводам 6кВ:</t>
  </si>
  <si>
    <t>яч. №7 АД №1</t>
  </si>
  <si>
    <t>ТОО "Урихтау Оперейтинг" Кожасай яч.№18</t>
  </si>
  <si>
    <t>А1805RLX-P4G-PW</t>
  </si>
  <si>
    <t>яч. №11 УБПВД №1</t>
  </si>
  <si>
    <t>яч. №13 УПГ №1</t>
  </si>
  <si>
    <t>яч. 19 УПН КТП 400кВА №1</t>
  </si>
  <si>
    <t>яч. 4 УПН КТП 400кВА №2</t>
  </si>
  <si>
    <t>яч. №8 АД №2</t>
  </si>
  <si>
    <t>яч. №12 УБПВД  №2</t>
  </si>
  <si>
    <t>яч. №14 УПГ №2</t>
  </si>
  <si>
    <t>ИТОГО ПО 6 кВ:</t>
  </si>
  <si>
    <t xml:space="preserve">                                             П/С  35/6 "БКНС Кожасай"</t>
  </si>
  <si>
    <t>яч. № 13   Ввод 6 кВ №1</t>
  </si>
  <si>
    <t>яч. № 4     Ввод 6 кВ №2</t>
  </si>
  <si>
    <t>яч. № 2  АД 3</t>
  </si>
  <si>
    <t>яч. № 1  АД 1</t>
  </si>
  <si>
    <t>яч. № 14  КТПН 2</t>
  </si>
  <si>
    <t>яч. № 8  К002</t>
  </si>
  <si>
    <t>яч. № 7  АД 2</t>
  </si>
  <si>
    <t>яч. № 3  КТПН 1</t>
  </si>
  <si>
    <t>яч. № 11 К001</t>
  </si>
  <si>
    <t>Анализатор СНОС - пос. Кожасай</t>
  </si>
  <si>
    <t>пр</t>
  </si>
  <si>
    <t>Анализатор СНОС - пос. Жаркемер</t>
  </si>
  <si>
    <t>1</t>
  </si>
  <si>
    <t xml:space="preserve">ИТОГО    общее потребление: </t>
  </si>
  <si>
    <t xml:space="preserve">ИТОГО   сторонине организации: </t>
  </si>
  <si>
    <t xml:space="preserve">ИТОГО    ТОО"Казах Ойл Актобе": </t>
  </si>
  <si>
    <t xml:space="preserve">                                                Главный энергетик ТОО "КОА"                                                     </t>
  </si>
  <si>
    <t xml:space="preserve">                           Сейтенов Т.К.</t>
  </si>
  <si>
    <t>Ещанов С.</t>
  </si>
  <si>
    <t xml:space="preserve">                                               Ст. смены РЗиА  ТОО "XXI-Энергосервис"                                                           Аймуратов М.Т./ Тажанов Ж.         </t>
  </si>
  <si>
    <t xml:space="preserve">  </t>
  </si>
  <si>
    <t>Потребление сторонних организаций от яч.№4 Площадка №22Яч. №9 "СУПС" Яч. №207 "СУПС "</t>
  </si>
  <si>
    <t xml:space="preserve"> 01.01.2025г</t>
  </si>
  <si>
    <t xml:space="preserve"> 02.02.2026г</t>
  </si>
  <si>
    <t xml:space="preserve">Сан.Др. КТП  6/0.4 кВ    ввод  1   </t>
  </si>
  <si>
    <t xml:space="preserve">Сан.Др. КТП  6/0.4 кВ    ввод  2               </t>
  </si>
  <si>
    <t xml:space="preserve">Халибёртон Ввод   1 </t>
  </si>
  <si>
    <t xml:space="preserve"> А1802R L-P4GB</t>
  </si>
  <si>
    <t xml:space="preserve">Халибёртон Ввод   2 </t>
  </si>
  <si>
    <t>Вахт.лагерь "Каспий нефть"</t>
  </si>
  <si>
    <t>СЕ301</t>
  </si>
  <si>
    <t xml:space="preserve">ТОО "Леопард"     </t>
  </si>
  <si>
    <t>Альфа 1800</t>
  </si>
  <si>
    <t>ТОО "Асыл Тау Курылыс" Вахт.гор.</t>
  </si>
  <si>
    <t xml:space="preserve">ТОО "Реал ракурс"    </t>
  </si>
  <si>
    <t>ИП Коптлеуова Ж.Р.  - вахтовый поселок  (Адани)</t>
  </si>
  <si>
    <t xml:space="preserve">База ТОО "Шлюмберже" </t>
  </si>
  <si>
    <t xml:space="preserve"> А1805RL-P4G-DW</t>
  </si>
  <si>
    <t>ТОО "Центркомсервис" "Алибекмола"</t>
  </si>
  <si>
    <t>ТОО "Мират Азия"</t>
  </si>
  <si>
    <t>11075192542331</t>
  </si>
  <si>
    <t xml:space="preserve"> 150/5</t>
  </si>
  <si>
    <t>ТОО "SM Cтрой ЛТД"</t>
  </si>
  <si>
    <t>Меркурий 290</t>
  </si>
  <si>
    <t>ТОО"КомбиТрейд"(АЗС пл. 22)</t>
  </si>
  <si>
    <t>Меркурий231</t>
  </si>
  <si>
    <t>"Казахтелеком"                    пл. 22</t>
  </si>
  <si>
    <t xml:space="preserve">СА4-Э708ТХ </t>
  </si>
  <si>
    <t>ЕС014291</t>
  </si>
  <si>
    <t>ТОО "КАР-ТЕЛ"                 пл. 22</t>
  </si>
  <si>
    <t>ТОО "ТSG Construction" Алибекмола</t>
  </si>
  <si>
    <t>МАРС-1,0-31-Р7-5</t>
  </si>
  <si>
    <t>ТОО "GSM Казахстан"       пл. 22</t>
  </si>
  <si>
    <t>СА4-Э720ТХ</t>
  </si>
  <si>
    <t>пс 051557</t>
  </si>
  <si>
    <t>ТОО "Emerald Building" (ПЛ №22)</t>
  </si>
  <si>
    <t>011067205326251</t>
  </si>
  <si>
    <t xml:space="preserve"> Итого по линии 6 кВ</t>
  </si>
  <si>
    <t xml:space="preserve"> Итого по 0,4 кВ</t>
  </si>
  <si>
    <t>Итого стороние организации</t>
  </si>
  <si>
    <t xml:space="preserve">Потребление сторонних организаций м/р "Кожасай"  </t>
  </si>
  <si>
    <t>Пост охраны "Атжаксы"</t>
  </si>
  <si>
    <t>ТОО КазСпецСтрой Кожасай</t>
  </si>
  <si>
    <t>LM 013843</t>
  </si>
  <si>
    <t>ТОО "МобТелСервис"     Кожасай</t>
  </si>
  <si>
    <t>ес011923</t>
  </si>
  <si>
    <t xml:space="preserve">"Казахтелеком"  м/р "Кожасай" </t>
  </si>
  <si>
    <t>СО-Э711</t>
  </si>
  <si>
    <t>ТОО "КАР-ТЕЛ"</t>
  </si>
  <si>
    <t>НН039575</t>
  </si>
  <si>
    <t>п\вкл</t>
  </si>
  <si>
    <t>ТОО "GSM Казахстан"    Кожасай</t>
  </si>
  <si>
    <t>ТОО "Центркомсервис" "Кожасай"</t>
  </si>
  <si>
    <t>Сv0222248</t>
  </si>
  <si>
    <t>ТОО "Центркомсервис" УПН "Кожасай"</t>
  </si>
  <si>
    <t>Сv0260868</t>
  </si>
  <si>
    <t>ТОО "Асыл Тау Курылыс В/поселок Қожасай</t>
  </si>
  <si>
    <t>А138228</t>
  </si>
  <si>
    <t>ТОО "Мират Азия" Кожасай</t>
  </si>
  <si>
    <t>11075192540847</t>
  </si>
  <si>
    <t>ТОО"Полис МунайКурылыс"</t>
  </si>
  <si>
    <t>Нева МТ 313</t>
  </si>
  <si>
    <t>1176199374010</t>
  </si>
  <si>
    <t xml:space="preserve"> 100/5</t>
  </si>
  <si>
    <t>КХ "Нұрдаулет"</t>
  </si>
  <si>
    <t>ТОО"GasProces.Comp", В/гор 1</t>
  </si>
  <si>
    <t>ТОО"GasProces.Comp."-вод.скв.№2</t>
  </si>
  <si>
    <t>ТОО"GasProces.Comp."-вод.скв.№1</t>
  </si>
  <si>
    <t>ТОО"GasProces.Comp."-пруд-испар.</t>
  </si>
  <si>
    <t>ТОО"GasProces.Comp." В/гор 2</t>
  </si>
  <si>
    <t xml:space="preserve">ТОО"GasProces.Comp." В/гор 3 </t>
  </si>
  <si>
    <t>ТОО "GasProcsComp" 0,4кВ ввод-1</t>
  </si>
  <si>
    <t>Меркурий 234</t>
  </si>
  <si>
    <t>ТОО "GasProcsComp" 0,4кВ ввод-2</t>
  </si>
  <si>
    <t>Скважина №К344 (МНСК СИНОПЭК)</t>
  </si>
  <si>
    <t>Ввод-1 35 кВ 35/6 "GasProsComp"</t>
  </si>
  <si>
    <t>Ввод-2 35 кВ 35/6 "GasProsComp"</t>
  </si>
  <si>
    <t xml:space="preserve"> Итого по линии 35 кВ</t>
  </si>
  <si>
    <t xml:space="preserve"> Итого </t>
  </si>
  <si>
    <t>Потребление сторонних организаций Площадка №4</t>
  </si>
  <si>
    <t>ТОО  ЦТС "АЗИЯ"</t>
  </si>
  <si>
    <t>СО060252</t>
  </si>
  <si>
    <t xml:space="preserve">ТОО "АНСК"  пл. №4                      </t>
  </si>
  <si>
    <t>"25 КОРПУС"</t>
  </si>
  <si>
    <t>ТОО "Моб.Тел.Сервис"- Теле2</t>
  </si>
  <si>
    <t>СА4-Э708</t>
  </si>
  <si>
    <t>ЕС010175</t>
  </si>
  <si>
    <t>ТОО "Gazimpeksas" Пл. № 4</t>
  </si>
  <si>
    <t xml:space="preserve">Потребление сторонних организаций Газзавод </t>
  </si>
  <si>
    <t>ТОО "ADEK Group"</t>
  </si>
  <si>
    <t>11551174228224</t>
  </si>
  <si>
    <t>ТОО "Актайлак ППН"</t>
  </si>
  <si>
    <t>11075163148219</t>
  </si>
  <si>
    <t>280,6</t>
  </si>
  <si>
    <t>ТОО "Актайлак ЦПНГ"</t>
  </si>
  <si>
    <t>11073176307240</t>
  </si>
  <si>
    <t>180,4</t>
  </si>
  <si>
    <t>ТОО "Монтаж Строй Дом"</t>
  </si>
  <si>
    <t>11074183530377</t>
  </si>
  <si>
    <t>162,3</t>
  </si>
  <si>
    <t>ТОО "Бастау Сервис"</t>
  </si>
  <si>
    <t>Нева МТ-123</t>
  </si>
  <si>
    <t>ТОО "ИК СтройТехно" ЦПиПГ</t>
  </si>
  <si>
    <t xml:space="preserve">ТОО "ECOS"                     </t>
  </si>
  <si>
    <t>Нева-103</t>
  </si>
  <si>
    <t>ТОО "Серт ЛТД"</t>
  </si>
  <si>
    <t>ТОО "СК Достык Вест"</t>
  </si>
  <si>
    <t xml:space="preserve">Потребление </t>
  </si>
  <si>
    <t>Потребление общее</t>
  </si>
  <si>
    <t>Потребление сторонних организаций м/р "Кожасай"</t>
  </si>
  <si>
    <t>Потребление сторонних организаций Газзавод</t>
  </si>
  <si>
    <t>М-е"Алибек Южный".Яч.113 (20084) ТР 20022 - Касп.нефть 1</t>
  </si>
  <si>
    <t>М-е"Алибек Южный".Яч.212 (20084) ТР 20022- Касп.нефть 2</t>
  </si>
  <si>
    <t>ГНПС"Алибекмола"Ввод 2 ТР 20005 - КазТрансОйл  2 (яч. № 11)</t>
  </si>
  <si>
    <t>ГНПС"Алибекмола"Ввод 1 ТР 20005 - КазТрансОйл    1 (яч. № 6)</t>
  </si>
  <si>
    <t xml:space="preserve">ИТОГО   Коммерческого организации: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</si>
</sst>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"/>
    <numFmt numFmtId="167" formatCode="#,##0.000"/>
  </numFmts>
  <fonts count="37">
    <font>
      <sz val="10"/>
      <name val="Arial Cyr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2"/>
      <name val="Times New Roman"/>
      <family val="1"/>
      <charset val="204"/>
    </font>
    <font>
      <sz val="12"/>
      <name val="Arial Cyr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56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z val="10"/>
      <name val="Arial"/>
      <family val="2"/>
      <charset val="204"/>
    </font>
    <font>
      <sz val="14"/>
      <name val="Arial Cyr"/>
      <charset val="204"/>
    </font>
    <font>
      <sz val="10"/>
      <color indexed="8"/>
      <name val="Arial Cyr"/>
      <charset val="204"/>
    </font>
    <font>
      <b/>
      <sz val="8"/>
      <name val="Arial Cyr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9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2"/>
      <color rgb="FFFF0000"/>
      <name val="Arial Cyr"/>
      <charset val="204"/>
    </font>
    <font>
      <sz val="14"/>
      <color rgb="FFFF0000"/>
      <name val="Times New Roman"/>
      <family val="1"/>
      <charset val="204"/>
    </font>
    <font>
      <sz val="12"/>
      <color theme="0"/>
      <name val="Times New Roman"/>
      <family val="1"/>
      <charset val="204"/>
    </font>
    <font>
      <sz val="12"/>
      <color rgb="FF3F3F3F"/>
      <name val="Times New Roman"/>
      <family val="1"/>
      <charset val="204"/>
    </font>
    <font>
      <sz val="12"/>
      <color rgb="FF00206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24" fillId="2" borderId="0" applyNumberFormat="0" applyBorder="0" applyAlignment="0" applyProtection="0"/>
    <xf numFmtId="0" fontId="24" fillId="4" borderId="0" applyNumberFormat="0" applyBorder="0" applyAlignment="0" applyProtection="0"/>
    <xf numFmtId="0" fontId="25" fillId="3" borderId="69" applyNumberFormat="0" applyAlignment="0" applyProtection="0"/>
    <xf numFmtId="0" fontId="11" fillId="0" borderId="0"/>
    <xf numFmtId="0" fontId="26" fillId="0" borderId="0"/>
    <xf numFmtId="0" fontId="1" fillId="5" borderId="70" applyNumberFormat="0" applyFont="0" applyAlignment="0" applyProtection="0"/>
  </cellStyleXfs>
  <cellXfs count="386">
    <xf numFmtId="0" fontId="0" fillId="0" borderId="0" xfId="0"/>
    <xf numFmtId="0" fontId="5" fillId="6" borderId="1" xfId="0" applyFont="1" applyFill="1" applyBorder="1"/>
    <xf numFmtId="0" fontId="5" fillId="6" borderId="2" xfId="0" applyFont="1" applyFill="1" applyBorder="1" applyAlignment="1">
      <alignment horizontal="center"/>
    </xf>
    <xf numFmtId="49" fontId="5" fillId="6" borderId="2" xfId="0" applyNumberFormat="1" applyFont="1" applyFill="1" applyBorder="1" applyAlignment="1">
      <alignment horizontal="center"/>
    </xf>
    <xf numFmtId="0" fontId="7" fillId="6" borderId="1" xfId="0" applyFont="1" applyFill="1" applyBorder="1"/>
    <xf numFmtId="0" fontId="5" fillId="6" borderId="1" xfId="0" applyFont="1" applyFill="1" applyBorder="1" applyAlignment="1">
      <alignment wrapText="1"/>
    </xf>
    <xf numFmtId="0" fontId="5" fillId="6" borderId="1" xfId="0" applyFont="1" applyFill="1" applyBorder="1" applyAlignment="1">
      <alignment horizontal="left"/>
    </xf>
    <xf numFmtId="4" fontId="5" fillId="6" borderId="2" xfId="0" applyNumberFormat="1" applyFont="1" applyFill="1" applyBorder="1" applyAlignment="1">
      <alignment horizontal="right"/>
    </xf>
    <xf numFmtId="0" fontId="5" fillId="6" borderId="3" xfId="0" applyFont="1" applyFill="1" applyBorder="1" applyAlignment="1">
      <alignment horizontal="center"/>
    </xf>
    <xf numFmtId="0" fontId="2" fillId="6" borderId="1" xfId="0" applyFont="1" applyFill="1" applyBorder="1"/>
    <xf numFmtId="0" fontId="5" fillId="6" borderId="2" xfId="0" applyFont="1" applyFill="1" applyBorder="1"/>
    <xf numFmtId="4" fontId="2" fillId="6" borderId="2" xfId="0" applyNumberFormat="1" applyFont="1" applyFill="1" applyBorder="1" applyAlignment="1">
      <alignment horizontal="right"/>
    </xf>
    <xf numFmtId="166" fontId="2" fillId="6" borderId="4" xfId="0" applyNumberFormat="1" applyFont="1" applyFill="1" applyBorder="1" applyAlignment="1">
      <alignment horizontal="right"/>
    </xf>
    <xf numFmtId="10" fontId="2" fillId="6" borderId="5" xfId="0" applyNumberFormat="1" applyFont="1" applyFill="1" applyBorder="1" applyAlignment="1">
      <alignment horizontal="center"/>
    </xf>
    <xf numFmtId="164" fontId="5" fillId="6" borderId="6" xfId="0" applyNumberFormat="1" applyFont="1" applyFill="1" applyBorder="1" applyAlignment="1">
      <alignment horizontal="center"/>
    </xf>
    <xf numFmtId="0" fontId="5" fillId="6" borderId="6" xfId="0" applyFont="1" applyFill="1" applyBorder="1"/>
    <xf numFmtId="0" fontId="5" fillId="6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165" fontId="5" fillId="6" borderId="2" xfId="0" applyNumberFormat="1" applyFont="1" applyFill="1" applyBorder="1"/>
    <xf numFmtId="4" fontId="5" fillId="6" borderId="2" xfId="0" applyNumberFormat="1" applyFont="1" applyFill="1" applyBorder="1"/>
    <xf numFmtId="0" fontId="5" fillId="6" borderId="8" xfId="0" applyFont="1" applyFill="1" applyBorder="1" applyAlignment="1">
      <alignment horizontal="center"/>
    </xf>
    <xf numFmtId="49" fontId="5" fillId="6" borderId="8" xfId="0" applyNumberFormat="1" applyFont="1" applyFill="1" applyBorder="1" applyAlignment="1">
      <alignment horizontal="center"/>
    </xf>
    <xf numFmtId="165" fontId="5" fillId="6" borderId="8" xfId="0" applyNumberFormat="1" applyFont="1" applyFill="1" applyBorder="1" applyAlignment="1">
      <alignment horizontal="right"/>
    </xf>
    <xf numFmtId="4" fontId="2" fillId="6" borderId="8" xfId="0" applyNumberFormat="1" applyFont="1" applyFill="1" applyBorder="1" applyAlignment="1">
      <alignment horizontal="right"/>
    </xf>
    <xf numFmtId="0" fontId="5" fillId="6" borderId="9" xfId="0" applyFont="1" applyFill="1" applyBorder="1" applyAlignment="1">
      <alignment horizontal="center"/>
    </xf>
    <xf numFmtId="4" fontId="5" fillId="6" borderId="10" xfId="0" applyNumberFormat="1" applyFont="1" applyFill="1" applyBorder="1" applyAlignment="1">
      <alignment horizontal="right"/>
    </xf>
    <xf numFmtId="4" fontId="5" fillId="6" borderId="11" xfId="0" applyNumberFormat="1" applyFont="1" applyFill="1" applyBorder="1" applyAlignment="1">
      <alignment horizontal="right"/>
    </xf>
    <xf numFmtId="166" fontId="2" fillId="6" borderId="2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5" fillId="6" borderId="10" xfId="0" applyFont="1" applyFill="1" applyBorder="1"/>
    <xf numFmtId="0" fontId="5" fillId="6" borderId="12" xfId="0" applyFont="1" applyFill="1" applyBorder="1"/>
    <xf numFmtId="2" fontId="5" fillId="6" borderId="8" xfId="0" applyNumberFormat="1" applyFont="1" applyFill="1" applyBorder="1"/>
    <xf numFmtId="0" fontId="5" fillId="6" borderId="13" xfId="0" applyFont="1" applyFill="1" applyBorder="1"/>
    <xf numFmtId="165" fontId="7" fillId="6" borderId="2" xfId="0" applyNumberFormat="1" applyFont="1" applyFill="1" applyBorder="1" applyAlignment="1">
      <alignment horizontal="right"/>
    </xf>
    <xf numFmtId="0" fontId="5" fillId="6" borderId="2" xfId="0" applyFont="1" applyFill="1" applyBorder="1" applyAlignment="1">
      <alignment horizontal="left"/>
    </xf>
    <xf numFmtId="1" fontId="5" fillId="6" borderId="4" xfId="0" applyNumberFormat="1" applyFont="1" applyFill="1" applyBorder="1" applyAlignment="1">
      <alignment horizontal="right"/>
    </xf>
    <xf numFmtId="4" fontId="5" fillId="6" borderId="3" xfId="0" applyNumberFormat="1" applyFont="1" applyFill="1" applyBorder="1" applyAlignment="1">
      <alignment horizontal="right"/>
    </xf>
    <xf numFmtId="166" fontId="5" fillId="6" borderId="4" xfId="0" applyNumberFormat="1" applyFont="1" applyFill="1" applyBorder="1" applyAlignment="1">
      <alignment horizontal="right"/>
    </xf>
    <xf numFmtId="2" fontId="5" fillId="6" borderId="5" xfId="0" applyNumberFormat="1" applyFont="1" applyFill="1" applyBorder="1"/>
    <xf numFmtId="2" fontId="5" fillId="6" borderId="14" xfId="0" applyNumberFormat="1" applyFont="1" applyFill="1" applyBorder="1" applyAlignment="1">
      <alignment horizontal="center"/>
    </xf>
    <xf numFmtId="165" fontId="5" fillId="6" borderId="2" xfId="0" quotePrefix="1" applyNumberFormat="1" applyFont="1" applyFill="1" applyBorder="1" applyAlignment="1">
      <alignment horizontal="center"/>
    </xf>
    <xf numFmtId="4" fontId="5" fillId="6" borderId="14" xfId="0" applyNumberFormat="1" applyFont="1" applyFill="1" applyBorder="1" applyAlignment="1">
      <alignment horizontal="right"/>
    </xf>
    <xf numFmtId="4" fontId="5" fillId="6" borderId="5" xfId="0" applyNumberFormat="1" applyFont="1" applyFill="1" applyBorder="1" applyAlignment="1">
      <alignment horizontal="right"/>
    </xf>
    <xf numFmtId="166" fontId="5" fillId="6" borderId="5" xfId="0" applyNumberFormat="1" applyFont="1" applyFill="1" applyBorder="1" applyAlignment="1">
      <alignment horizontal="right"/>
    </xf>
    <xf numFmtId="166" fontId="5" fillId="6" borderId="14" xfId="0" applyNumberFormat="1" applyFont="1" applyFill="1" applyBorder="1" applyAlignment="1">
      <alignment horizontal="right"/>
    </xf>
    <xf numFmtId="165" fontId="5" fillId="6" borderId="3" xfId="0" applyNumberFormat="1" applyFont="1" applyFill="1" applyBorder="1" applyAlignment="1">
      <alignment horizontal="center"/>
    </xf>
    <xf numFmtId="4" fontId="7" fillId="6" borderId="5" xfId="0" applyNumberFormat="1" applyFont="1" applyFill="1" applyBorder="1" applyAlignment="1">
      <alignment horizontal="right"/>
    </xf>
    <xf numFmtId="167" fontId="5" fillId="6" borderId="15" xfId="0" applyNumberFormat="1" applyFont="1" applyFill="1" applyBorder="1" applyAlignment="1">
      <alignment horizontal="center"/>
    </xf>
    <xf numFmtId="1" fontId="5" fillId="6" borderId="2" xfId="0" applyNumberFormat="1" applyFont="1" applyFill="1" applyBorder="1" applyAlignment="1">
      <alignment horizontal="center"/>
    </xf>
    <xf numFmtId="1" fontId="5" fillId="6" borderId="5" xfId="0" applyNumberFormat="1" applyFont="1" applyFill="1" applyBorder="1"/>
    <xf numFmtId="0" fontId="5" fillId="6" borderId="16" xfId="0" applyFont="1" applyFill="1" applyBorder="1"/>
    <xf numFmtId="0" fontId="5" fillId="6" borderId="17" xfId="0" applyFont="1" applyFill="1" applyBorder="1"/>
    <xf numFmtId="0" fontId="2" fillId="6" borderId="2" xfId="0" applyFont="1" applyFill="1" applyBorder="1"/>
    <xf numFmtId="4" fontId="8" fillId="6" borderId="5" xfId="0" applyNumberFormat="1" applyFont="1" applyFill="1" applyBorder="1" applyAlignment="1">
      <alignment horizontal="right"/>
    </xf>
    <xf numFmtId="0" fontId="5" fillId="6" borderId="0" xfId="0" applyFont="1" applyFill="1"/>
    <xf numFmtId="0" fontId="7" fillId="6" borderId="0" xfId="0" applyFont="1" applyFill="1"/>
    <xf numFmtId="0" fontId="8" fillId="6" borderId="0" xfId="0" applyFont="1" applyFill="1"/>
    <xf numFmtId="0" fontId="2" fillId="6" borderId="0" xfId="0" applyFont="1" applyFill="1"/>
    <xf numFmtId="166" fontId="5" fillId="6" borderId="2" xfId="0" applyNumberFormat="1" applyFont="1" applyFill="1" applyBorder="1" applyAlignment="1">
      <alignment horizontal="right"/>
    </xf>
    <xf numFmtId="0" fontId="5" fillId="6" borderId="2" xfId="0" applyFont="1" applyFill="1" applyBorder="1" applyAlignment="1">
      <alignment horizontal="center" vertical="center"/>
    </xf>
    <xf numFmtId="0" fontId="0" fillId="6" borderId="0" xfId="0" applyFill="1"/>
    <xf numFmtId="166" fontId="5" fillId="6" borderId="2" xfId="0" applyNumberFormat="1" applyFont="1" applyFill="1" applyBorder="1" applyAlignment="1">
      <alignment horizontal="center"/>
    </xf>
    <xf numFmtId="2" fontId="5" fillId="6" borderId="5" xfId="0" applyNumberFormat="1" applyFont="1" applyFill="1" applyBorder="1" applyAlignment="1">
      <alignment horizontal="center"/>
    </xf>
    <xf numFmtId="166" fontId="5" fillId="6" borderId="2" xfId="0" applyNumberFormat="1" applyFont="1" applyFill="1" applyBorder="1"/>
    <xf numFmtId="0" fontId="5" fillId="6" borderId="5" xfId="0" applyFont="1" applyFill="1" applyBorder="1"/>
    <xf numFmtId="166" fontId="5" fillId="6" borderId="4" xfId="0" applyNumberFormat="1" applyFont="1" applyFill="1" applyBorder="1"/>
    <xf numFmtId="2" fontId="5" fillId="6" borderId="2" xfId="0" applyNumberFormat="1" applyFont="1" applyFill="1" applyBorder="1"/>
    <xf numFmtId="166" fontId="5" fillId="6" borderId="4" xfId="0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165" fontId="5" fillId="6" borderId="2" xfId="0" applyNumberFormat="1" applyFont="1" applyFill="1" applyBorder="1" applyAlignment="1">
      <alignment horizontal="right"/>
    </xf>
    <xf numFmtId="2" fontId="14" fillId="6" borderId="18" xfId="0" applyNumberFormat="1" applyFont="1" applyFill="1" applyBorder="1" applyAlignment="1">
      <alignment horizontal="left"/>
    </xf>
    <xf numFmtId="2" fontId="14" fillId="6" borderId="19" xfId="0" applyNumberFormat="1" applyFont="1" applyFill="1" applyBorder="1" applyAlignment="1">
      <alignment horizontal="left"/>
    </xf>
    <xf numFmtId="2" fontId="14" fillId="6" borderId="20" xfId="0" applyNumberFormat="1" applyFont="1" applyFill="1" applyBorder="1" applyAlignment="1">
      <alignment horizontal="left"/>
    </xf>
    <xf numFmtId="2" fontId="14" fillId="6" borderId="21" xfId="0" applyNumberFormat="1" applyFont="1" applyFill="1" applyBorder="1" applyAlignment="1">
      <alignment horizontal="left"/>
    </xf>
    <xf numFmtId="2" fontId="14" fillId="6" borderId="22" xfId="0" applyNumberFormat="1" applyFont="1" applyFill="1" applyBorder="1" applyAlignment="1">
      <alignment horizontal="left"/>
    </xf>
    <xf numFmtId="0" fontId="27" fillId="6" borderId="0" xfId="0" applyFont="1" applyFill="1"/>
    <xf numFmtId="0" fontId="8" fillId="6" borderId="1" xfId="0" applyFont="1" applyFill="1" applyBorder="1"/>
    <xf numFmtId="0" fontId="9" fillId="6" borderId="2" xfId="0" applyFont="1" applyFill="1" applyBorder="1"/>
    <xf numFmtId="0" fontId="9" fillId="6" borderId="2" xfId="0" applyFont="1" applyFill="1" applyBorder="1" applyAlignment="1">
      <alignment horizontal="left"/>
    </xf>
    <xf numFmtId="0" fontId="9" fillId="6" borderId="2" xfId="0" applyFont="1" applyFill="1" applyBorder="1" applyAlignment="1">
      <alignment horizontal="center"/>
    </xf>
    <xf numFmtId="165" fontId="5" fillId="6" borderId="3" xfId="0" applyNumberFormat="1" applyFont="1" applyFill="1" applyBorder="1" applyAlignment="1">
      <alignment horizontal="right"/>
    </xf>
    <xf numFmtId="165" fontId="5" fillId="6" borderId="6" xfId="0" applyNumberFormat="1" applyFont="1" applyFill="1" applyBorder="1" applyAlignment="1">
      <alignment horizontal="right"/>
    </xf>
    <xf numFmtId="4" fontId="5" fillId="6" borderId="7" xfId="0" applyNumberFormat="1" applyFont="1" applyFill="1" applyBorder="1" applyAlignment="1">
      <alignment horizontal="right"/>
    </xf>
    <xf numFmtId="2" fontId="5" fillId="6" borderId="2" xfId="0" applyNumberFormat="1" applyFont="1" applyFill="1" applyBorder="1" applyAlignment="1">
      <alignment horizontal="center"/>
    </xf>
    <xf numFmtId="4" fontId="5" fillId="6" borderId="0" xfId="0" applyNumberFormat="1" applyFont="1" applyFill="1"/>
    <xf numFmtId="166" fontId="5" fillId="6" borderId="0" xfId="0" applyNumberFormat="1" applyFont="1" applyFill="1"/>
    <xf numFmtId="0" fontId="5" fillId="6" borderId="21" xfId="0" applyFont="1" applyFill="1" applyBorder="1" applyAlignment="1">
      <alignment horizontal="center"/>
    </xf>
    <xf numFmtId="165" fontId="5" fillId="6" borderId="21" xfId="0" applyNumberFormat="1" applyFont="1" applyFill="1" applyBorder="1" applyAlignment="1">
      <alignment horizontal="center"/>
    </xf>
    <xf numFmtId="4" fontId="5" fillId="6" borderId="21" xfId="0" applyNumberFormat="1" applyFont="1" applyFill="1" applyBorder="1" applyAlignment="1">
      <alignment horizontal="center"/>
    </xf>
    <xf numFmtId="166" fontId="5" fillId="6" borderId="21" xfId="0" applyNumberFormat="1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4" fontId="5" fillId="6" borderId="11" xfId="0" applyNumberFormat="1" applyFont="1" applyFill="1" applyBorder="1" applyAlignment="1">
      <alignment horizontal="center"/>
    </xf>
    <xf numFmtId="4" fontId="2" fillId="6" borderId="2" xfId="0" applyNumberFormat="1" applyFont="1" applyFill="1" applyBorder="1"/>
    <xf numFmtId="166" fontId="2" fillId="6" borderId="4" xfId="0" applyNumberFormat="1" applyFont="1" applyFill="1" applyBorder="1" applyAlignment="1">
      <alignment horizontal="center"/>
    </xf>
    <xf numFmtId="165" fontId="5" fillId="6" borderId="7" xfId="0" applyNumberFormat="1" applyFont="1" applyFill="1" applyBorder="1" applyAlignment="1">
      <alignment horizontal="center"/>
    </xf>
    <xf numFmtId="166" fontId="5" fillId="6" borderId="23" xfId="0" applyNumberFormat="1" applyFont="1" applyFill="1" applyBorder="1" applyAlignment="1">
      <alignment horizontal="center"/>
    </xf>
    <xf numFmtId="2" fontId="5" fillId="6" borderId="24" xfId="0" applyNumberFormat="1" applyFont="1" applyFill="1" applyBorder="1" applyAlignment="1">
      <alignment horizontal="center"/>
    </xf>
    <xf numFmtId="4" fontId="2" fillId="6" borderId="3" xfId="0" applyNumberFormat="1" applyFont="1" applyFill="1" applyBorder="1"/>
    <xf numFmtId="0" fontId="2" fillId="6" borderId="13" xfId="0" applyFont="1" applyFill="1" applyBorder="1" applyAlignment="1">
      <alignment horizontal="center"/>
    </xf>
    <xf numFmtId="4" fontId="2" fillId="6" borderId="7" xfId="0" applyNumberFormat="1" applyFont="1" applyFill="1" applyBorder="1"/>
    <xf numFmtId="4" fontId="2" fillId="6" borderId="4" xfId="0" applyNumberFormat="1" applyFont="1" applyFill="1" applyBorder="1"/>
    <xf numFmtId="4" fontId="2" fillId="6" borderId="6" xfId="0" applyNumberFormat="1" applyFont="1" applyFill="1" applyBorder="1"/>
    <xf numFmtId="166" fontId="5" fillId="6" borderId="6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166" fontId="2" fillId="6" borderId="2" xfId="0" applyNumberFormat="1" applyFont="1" applyFill="1" applyBorder="1" applyAlignment="1">
      <alignment horizontal="center"/>
    </xf>
    <xf numFmtId="4" fontId="5" fillId="6" borderId="25" xfId="0" applyNumberFormat="1" applyFont="1" applyFill="1" applyBorder="1" applyAlignment="1">
      <alignment horizontal="right"/>
    </xf>
    <xf numFmtId="166" fontId="5" fillId="6" borderId="26" xfId="0" applyNumberFormat="1" applyFont="1" applyFill="1" applyBorder="1" applyAlignment="1">
      <alignment horizontal="right"/>
    </xf>
    <xf numFmtId="2" fontId="5" fillId="6" borderId="27" xfId="0" applyNumberFormat="1" applyFont="1" applyFill="1" applyBorder="1" applyAlignment="1">
      <alignment horizontal="center"/>
    </xf>
    <xf numFmtId="0" fontId="5" fillId="6" borderId="3" xfId="0" applyFont="1" applyFill="1" applyBorder="1"/>
    <xf numFmtId="164" fontId="5" fillId="6" borderId="2" xfId="0" applyNumberFormat="1" applyFont="1" applyFill="1" applyBorder="1" applyAlignment="1">
      <alignment horizontal="center"/>
    </xf>
    <xf numFmtId="4" fontId="5" fillId="6" borderId="2" xfId="0" applyNumberFormat="1" applyFont="1" applyFill="1" applyBorder="1" applyAlignment="1">
      <alignment horizontal="center"/>
    </xf>
    <xf numFmtId="0" fontId="5" fillId="6" borderId="28" xfId="0" applyFont="1" applyFill="1" applyBorder="1"/>
    <xf numFmtId="0" fontId="5" fillId="6" borderId="29" xfId="0" applyFont="1" applyFill="1" applyBorder="1"/>
    <xf numFmtId="165" fontId="5" fillId="6" borderId="30" xfId="0" applyNumberFormat="1" applyFont="1" applyFill="1" applyBorder="1" applyAlignment="1">
      <alignment horizontal="center"/>
    </xf>
    <xf numFmtId="166" fontId="5" fillId="6" borderId="29" xfId="0" applyNumberFormat="1" applyFont="1" applyFill="1" applyBorder="1" applyAlignment="1">
      <alignment horizontal="center"/>
    </xf>
    <xf numFmtId="4" fontId="5" fillId="6" borderId="8" xfId="0" applyNumberFormat="1" applyFont="1" applyFill="1" applyBorder="1" applyAlignment="1">
      <alignment horizontal="right"/>
    </xf>
    <xf numFmtId="0" fontId="5" fillId="6" borderId="31" xfId="0" applyFont="1" applyFill="1" applyBorder="1" applyAlignment="1">
      <alignment horizontal="left"/>
    </xf>
    <xf numFmtId="4" fontId="5" fillId="6" borderId="32" xfId="0" applyNumberFormat="1" applyFont="1" applyFill="1" applyBorder="1"/>
    <xf numFmtId="0" fontId="5" fillId="6" borderId="33" xfId="0" applyFont="1" applyFill="1" applyBorder="1"/>
    <xf numFmtId="0" fontId="5" fillId="6" borderId="8" xfId="0" applyFont="1" applyFill="1" applyBorder="1"/>
    <xf numFmtId="4" fontId="5" fillId="6" borderId="8" xfId="0" applyNumberFormat="1" applyFont="1" applyFill="1" applyBorder="1"/>
    <xf numFmtId="0" fontId="5" fillId="6" borderId="31" xfId="0" applyFont="1" applyFill="1" applyBorder="1"/>
    <xf numFmtId="0" fontId="8" fillId="6" borderId="28" xfId="0" applyFont="1" applyFill="1" applyBorder="1"/>
    <xf numFmtId="0" fontId="2" fillId="6" borderId="28" xfId="0" applyFont="1" applyFill="1" applyBorder="1"/>
    <xf numFmtId="4" fontId="2" fillId="6" borderId="8" xfId="0" applyNumberFormat="1" applyFont="1" applyFill="1" applyBorder="1"/>
    <xf numFmtId="4" fontId="2" fillId="6" borderId="0" xfId="0" applyNumberFormat="1" applyFont="1" applyFill="1"/>
    <xf numFmtId="166" fontId="2" fillId="6" borderId="4" xfId="0" applyNumberFormat="1" applyFont="1" applyFill="1" applyBorder="1"/>
    <xf numFmtId="0" fontId="2" fillId="6" borderId="10" xfId="0" applyFont="1" applyFill="1" applyBorder="1"/>
    <xf numFmtId="0" fontId="5" fillId="6" borderId="10" xfId="0" applyFont="1" applyFill="1" applyBorder="1" applyAlignment="1">
      <alignment horizontal="left"/>
    </xf>
    <xf numFmtId="0" fontId="5" fillId="6" borderId="10" xfId="0" applyFont="1" applyFill="1" applyBorder="1" applyAlignment="1">
      <alignment horizontal="center"/>
    </xf>
    <xf numFmtId="4" fontId="2" fillId="6" borderId="10" xfId="0" applyNumberFormat="1" applyFont="1" applyFill="1" applyBorder="1" applyAlignment="1">
      <alignment horizontal="right"/>
    </xf>
    <xf numFmtId="0" fontId="9" fillId="6" borderId="3" xfId="0" applyFont="1" applyFill="1" applyBorder="1"/>
    <xf numFmtId="0" fontId="9" fillId="6" borderId="3" xfId="0" applyFont="1" applyFill="1" applyBorder="1" applyAlignment="1">
      <alignment horizontal="left"/>
    </xf>
    <xf numFmtId="0" fontId="9" fillId="6" borderId="3" xfId="0" applyFont="1" applyFill="1" applyBorder="1" applyAlignment="1">
      <alignment horizontal="center"/>
    </xf>
    <xf numFmtId="165" fontId="7" fillId="6" borderId="3" xfId="0" applyNumberFormat="1" applyFont="1" applyFill="1" applyBorder="1" applyAlignment="1">
      <alignment horizontal="right"/>
    </xf>
    <xf numFmtId="165" fontId="5" fillId="6" borderId="17" xfId="0" applyNumberFormat="1" applyFont="1" applyFill="1" applyBorder="1"/>
    <xf numFmtId="0" fontId="5" fillId="6" borderId="34" xfId="0" applyFont="1" applyFill="1" applyBorder="1"/>
    <xf numFmtId="164" fontId="5" fillId="6" borderId="3" xfId="0" applyNumberFormat="1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0" fillId="6" borderId="2" xfId="0" applyFill="1" applyBorder="1"/>
    <xf numFmtId="10" fontId="5" fillId="6" borderId="5" xfId="0" applyNumberFormat="1" applyFont="1" applyFill="1" applyBorder="1" applyAlignment="1">
      <alignment horizontal="center"/>
    </xf>
    <xf numFmtId="0" fontId="8" fillId="6" borderId="2" xfId="0" applyFont="1" applyFill="1" applyBorder="1"/>
    <xf numFmtId="0" fontId="5" fillId="6" borderId="0" xfId="0" applyFont="1" applyFill="1" applyAlignment="1">
      <alignment horizontal="left"/>
    </xf>
    <xf numFmtId="4" fontId="5" fillId="6" borderId="0" xfId="0" applyNumberFormat="1" applyFont="1" applyFill="1" applyAlignment="1">
      <alignment horizontal="right"/>
    </xf>
    <xf numFmtId="0" fontId="6" fillId="6" borderId="0" xfId="0" applyFont="1" applyFill="1"/>
    <xf numFmtId="165" fontId="5" fillId="6" borderId="0" xfId="0" applyNumberFormat="1" applyFont="1" applyFill="1"/>
    <xf numFmtId="4" fontId="5" fillId="6" borderId="35" xfId="0" applyNumberFormat="1" applyFont="1" applyFill="1" applyBorder="1" applyAlignment="1">
      <alignment horizontal="center"/>
    </xf>
    <xf numFmtId="166" fontId="5" fillId="6" borderId="35" xfId="0" applyNumberFormat="1" applyFont="1" applyFill="1" applyBorder="1" applyAlignment="1">
      <alignment horizontal="center"/>
    </xf>
    <xf numFmtId="2" fontId="5" fillId="6" borderId="36" xfId="0" applyNumberFormat="1" applyFont="1" applyFill="1" applyBorder="1" applyAlignment="1">
      <alignment horizontal="center"/>
    </xf>
    <xf numFmtId="4" fontId="5" fillId="6" borderId="37" xfId="0" applyNumberFormat="1" applyFont="1" applyFill="1" applyBorder="1" applyAlignment="1">
      <alignment horizontal="center"/>
    </xf>
    <xf numFmtId="166" fontId="5" fillId="6" borderId="38" xfId="0" applyNumberFormat="1" applyFont="1" applyFill="1" applyBorder="1" applyAlignment="1">
      <alignment horizontal="center"/>
    </xf>
    <xf numFmtId="2" fontId="5" fillId="6" borderId="39" xfId="0" applyNumberFormat="1" applyFont="1" applyFill="1" applyBorder="1" applyAlignment="1">
      <alignment horizontal="center"/>
    </xf>
    <xf numFmtId="166" fontId="5" fillId="6" borderId="26" xfId="0" applyNumberFormat="1" applyFont="1" applyFill="1" applyBorder="1" applyAlignment="1">
      <alignment horizontal="center"/>
    </xf>
    <xf numFmtId="166" fontId="2" fillId="6" borderId="6" xfId="0" applyNumberFormat="1" applyFont="1" applyFill="1" applyBorder="1" applyAlignment="1">
      <alignment horizontal="center"/>
    </xf>
    <xf numFmtId="49" fontId="5" fillId="6" borderId="11" xfId="0" applyNumberFormat="1" applyFont="1" applyFill="1" applyBorder="1" applyAlignment="1">
      <alignment horizontal="center"/>
    </xf>
    <xf numFmtId="2" fontId="5" fillId="6" borderId="40" xfId="0" applyNumberFormat="1" applyFont="1" applyFill="1" applyBorder="1" applyAlignment="1">
      <alignment horizontal="center"/>
    </xf>
    <xf numFmtId="166" fontId="5" fillId="6" borderId="10" xfId="0" applyNumberFormat="1" applyFont="1" applyFill="1" applyBorder="1" applyAlignment="1">
      <alignment horizontal="right"/>
    </xf>
    <xf numFmtId="2" fontId="5" fillId="6" borderId="41" xfId="0" applyNumberFormat="1" applyFont="1" applyFill="1" applyBorder="1" applyAlignment="1">
      <alignment horizontal="center"/>
    </xf>
    <xf numFmtId="166" fontId="5" fillId="6" borderId="42" xfId="0" applyNumberFormat="1" applyFont="1" applyFill="1" applyBorder="1" applyAlignment="1">
      <alignment horizontal="right"/>
    </xf>
    <xf numFmtId="2" fontId="5" fillId="6" borderId="40" xfId="0" applyNumberFormat="1" applyFont="1" applyFill="1" applyBorder="1"/>
    <xf numFmtId="2" fontId="5" fillId="6" borderId="41" xfId="0" applyNumberFormat="1" applyFont="1" applyFill="1" applyBorder="1"/>
    <xf numFmtId="2" fontId="5" fillId="6" borderId="14" xfId="0" applyNumberFormat="1" applyFont="1" applyFill="1" applyBorder="1"/>
    <xf numFmtId="166" fontId="5" fillId="6" borderId="42" xfId="0" applyNumberFormat="1" applyFont="1" applyFill="1" applyBorder="1"/>
    <xf numFmtId="0" fontId="5" fillId="6" borderId="40" xfId="0" applyFont="1" applyFill="1" applyBorder="1"/>
    <xf numFmtId="166" fontId="5" fillId="6" borderId="32" xfId="0" applyNumberFormat="1" applyFont="1" applyFill="1" applyBorder="1" applyAlignment="1">
      <alignment horizontal="right"/>
    </xf>
    <xf numFmtId="10" fontId="5" fillId="6" borderId="43" xfId="0" applyNumberFormat="1" applyFont="1" applyFill="1" applyBorder="1" applyAlignment="1">
      <alignment horizontal="center"/>
    </xf>
    <xf numFmtId="166" fontId="5" fillId="6" borderId="6" xfId="0" applyNumberFormat="1" applyFont="1" applyFill="1" applyBorder="1" applyAlignment="1">
      <alignment horizontal="right"/>
    </xf>
    <xf numFmtId="166" fontId="5" fillId="6" borderId="30" xfId="0" applyNumberFormat="1" applyFont="1" applyFill="1" applyBorder="1" applyAlignment="1">
      <alignment horizontal="right"/>
    </xf>
    <xf numFmtId="166" fontId="5" fillId="6" borderId="32" xfId="0" applyNumberFormat="1" applyFont="1" applyFill="1" applyBorder="1"/>
    <xf numFmtId="166" fontId="5" fillId="6" borderId="8" xfId="0" applyNumberFormat="1" applyFont="1" applyFill="1" applyBorder="1"/>
    <xf numFmtId="10" fontId="5" fillId="6" borderId="4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6" fontId="5" fillId="6" borderId="44" xfId="0" applyNumberFormat="1" applyFont="1" applyFill="1" applyBorder="1"/>
    <xf numFmtId="0" fontId="5" fillId="6" borderId="27" xfId="0" applyFont="1" applyFill="1" applyBorder="1"/>
    <xf numFmtId="4" fontId="2" fillId="6" borderId="37" xfId="0" applyNumberFormat="1" applyFont="1" applyFill="1" applyBorder="1"/>
    <xf numFmtId="166" fontId="5" fillId="6" borderId="29" xfId="0" applyNumberFormat="1" applyFont="1" applyFill="1" applyBorder="1"/>
    <xf numFmtId="4" fontId="5" fillId="6" borderId="10" xfId="0" applyNumberFormat="1" applyFont="1" applyFill="1" applyBorder="1"/>
    <xf numFmtId="10" fontId="5" fillId="6" borderId="40" xfId="0" applyNumberFormat="1" applyFont="1" applyFill="1" applyBorder="1" applyAlignment="1">
      <alignment horizontal="center"/>
    </xf>
    <xf numFmtId="10" fontId="5" fillId="6" borderId="33" xfId="0" applyNumberFormat="1" applyFont="1" applyFill="1" applyBorder="1" applyAlignment="1">
      <alignment horizontal="center"/>
    </xf>
    <xf numFmtId="166" fontId="5" fillId="6" borderId="4" xfId="0" applyNumberFormat="1" applyFont="1" applyFill="1" applyBorder="1" applyAlignment="1">
      <alignment horizontal="left"/>
    </xf>
    <xf numFmtId="165" fontId="5" fillId="6" borderId="10" xfId="0" applyNumberFormat="1" applyFont="1" applyFill="1" applyBorder="1" applyAlignment="1">
      <alignment horizontal="right"/>
    </xf>
    <xf numFmtId="10" fontId="5" fillId="6" borderId="14" xfId="0" applyNumberFormat="1" applyFont="1" applyFill="1" applyBorder="1" applyAlignment="1">
      <alignment horizontal="center"/>
    </xf>
    <xf numFmtId="1" fontId="5" fillId="6" borderId="2" xfId="0" applyNumberFormat="1" applyFont="1" applyFill="1" applyBorder="1"/>
    <xf numFmtId="166" fontId="5" fillId="6" borderId="5" xfId="0" applyNumberFormat="1" applyFont="1" applyFill="1" applyBorder="1" applyAlignment="1">
      <alignment horizontal="center"/>
    </xf>
    <xf numFmtId="1" fontId="5" fillId="6" borderId="5" xfId="0" applyNumberFormat="1" applyFont="1" applyFill="1" applyBorder="1" applyAlignment="1">
      <alignment horizontal="right"/>
    </xf>
    <xf numFmtId="0" fontId="5" fillId="6" borderId="14" xfId="0" applyFont="1" applyFill="1" applyBorder="1"/>
    <xf numFmtId="166" fontId="5" fillId="6" borderId="7" xfId="0" applyNumberFormat="1" applyFont="1" applyFill="1" applyBorder="1" applyAlignment="1">
      <alignment horizontal="right"/>
    </xf>
    <xf numFmtId="0" fontId="2" fillId="6" borderId="16" xfId="0" applyFont="1" applyFill="1" applyBorder="1"/>
    <xf numFmtId="0" fontId="5" fillId="6" borderId="3" xfId="0" applyFont="1" applyFill="1" applyBorder="1" applyAlignment="1">
      <alignment horizontal="left"/>
    </xf>
    <xf numFmtId="4" fontId="2" fillId="6" borderId="45" xfId="0" applyNumberFormat="1" applyFont="1" applyFill="1" applyBorder="1" applyAlignment="1">
      <alignment horizontal="right"/>
    </xf>
    <xf numFmtId="166" fontId="5" fillId="6" borderId="23" xfId="0" applyNumberFormat="1" applyFont="1" applyFill="1" applyBorder="1" applyAlignment="1">
      <alignment horizontal="right"/>
    </xf>
    <xf numFmtId="10" fontId="5" fillId="6" borderId="24" xfId="0" applyNumberFormat="1" applyFont="1" applyFill="1" applyBorder="1" applyAlignment="1">
      <alignment horizontal="center"/>
    </xf>
    <xf numFmtId="0" fontId="2" fillId="6" borderId="8" xfId="0" applyFont="1" applyFill="1" applyBorder="1"/>
    <xf numFmtId="0" fontId="5" fillId="6" borderId="8" xfId="0" applyFont="1" applyFill="1" applyBorder="1" applyAlignment="1">
      <alignment horizontal="left"/>
    </xf>
    <xf numFmtId="166" fontId="5" fillId="6" borderId="8" xfId="0" applyNumberFormat="1" applyFont="1" applyFill="1" applyBorder="1" applyAlignment="1">
      <alignment horizontal="right"/>
    </xf>
    <xf numFmtId="0" fontId="5" fillId="6" borderId="46" xfId="0" applyFont="1" applyFill="1" applyBorder="1"/>
    <xf numFmtId="165" fontId="5" fillId="6" borderId="47" xfId="0" applyNumberFormat="1" applyFont="1" applyFill="1" applyBorder="1" applyAlignment="1">
      <alignment horizontal="right"/>
    </xf>
    <xf numFmtId="4" fontId="2" fillId="6" borderId="47" xfId="0" applyNumberFormat="1" applyFont="1" applyFill="1" applyBorder="1" applyAlignment="1">
      <alignment horizontal="right"/>
    </xf>
    <xf numFmtId="4" fontId="2" fillId="6" borderId="48" xfId="0" applyNumberFormat="1" applyFont="1" applyFill="1" applyBorder="1" applyAlignment="1">
      <alignment horizontal="right"/>
    </xf>
    <xf numFmtId="0" fontId="5" fillId="6" borderId="9" xfId="0" applyFont="1" applyFill="1" applyBorder="1"/>
    <xf numFmtId="4" fontId="5" fillId="6" borderId="32" xfId="0" applyNumberFormat="1" applyFont="1" applyFill="1" applyBorder="1" applyAlignment="1">
      <alignment horizontal="right"/>
    </xf>
    <xf numFmtId="166" fontId="5" fillId="6" borderId="11" xfId="0" applyNumberFormat="1" applyFont="1" applyFill="1" applyBorder="1" applyAlignment="1">
      <alignment horizontal="right"/>
    </xf>
    <xf numFmtId="0" fontId="2" fillId="6" borderId="13" xfId="0" applyFont="1" applyFill="1" applyBorder="1" applyAlignment="1">
      <alignment horizontal="left"/>
    </xf>
    <xf numFmtId="165" fontId="5" fillId="6" borderId="23" xfId="0" applyNumberFormat="1" applyFont="1" applyFill="1" applyBorder="1"/>
    <xf numFmtId="165" fontId="5" fillId="6" borderId="3" xfId="0" applyNumberFormat="1" applyFont="1" applyFill="1" applyBorder="1"/>
    <xf numFmtId="0" fontId="2" fillId="6" borderId="8" xfId="0" applyFont="1" applyFill="1" applyBorder="1" applyAlignment="1">
      <alignment horizontal="center"/>
    </xf>
    <xf numFmtId="164" fontId="5" fillId="6" borderId="8" xfId="0" applyNumberFormat="1" applyFont="1" applyFill="1" applyBorder="1" applyAlignment="1">
      <alignment horizontal="center"/>
    </xf>
    <xf numFmtId="165" fontId="5" fillId="6" borderId="8" xfId="0" applyNumberFormat="1" applyFont="1" applyFill="1" applyBorder="1"/>
    <xf numFmtId="0" fontId="5" fillId="6" borderId="49" xfId="0" applyFont="1" applyFill="1" applyBorder="1" applyAlignment="1">
      <alignment horizontal="center"/>
    </xf>
    <xf numFmtId="165" fontId="5" fillId="6" borderId="42" xfId="0" applyNumberFormat="1" applyFont="1" applyFill="1" applyBorder="1"/>
    <xf numFmtId="4" fontId="2" fillId="6" borderId="29" xfId="0" applyNumberFormat="1" applyFont="1" applyFill="1" applyBorder="1" applyAlignment="1">
      <alignment horizontal="right"/>
    </xf>
    <xf numFmtId="166" fontId="5" fillId="6" borderId="29" xfId="0" applyNumberFormat="1" applyFont="1" applyFill="1" applyBorder="1" applyAlignment="1">
      <alignment horizontal="right"/>
    </xf>
    <xf numFmtId="10" fontId="5" fillId="6" borderId="50" xfId="0" applyNumberFormat="1" applyFont="1" applyFill="1" applyBorder="1" applyAlignment="1">
      <alignment horizontal="center"/>
    </xf>
    <xf numFmtId="10" fontId="5" fillId="6" borderId="27" xfId="0" applyNumberFormat="1" applyFont="1" applyFill="1" applyBorder="1" applyAlignment="1">
      <alignment horizontal="center"/>
    </xf>
    <xf numFmtId="4" fontId="2" fillId="6" borderId="3" xfId="0" applyNumberFormat="1" applyFont="1" applyFill="1" applyBorder="1" applyAlignment="1">
      <alignment horizontal="right"/>
    </xf>
    <xf numFmtId="166" fontId="5" fillId="6" borderId="11" xfId="0" applyNumberFormat="1" applyFont="1" applyFill="1" applyBorder="1"/>
    <xf numFmtId="4" fontId="5" fillId="6" borderId="6" xfId="0" applyNumberFormat="1" applyFont="1" applyFill="1" applyBorder="1" applyAlignment="1">
      <alignment horizontal="right"/>
    </xf>
    <xf numFmtId="2" fontId="5" fillId="6" borderId="51" xfId="0" applyNumberFormat="1" applyFont="1" applyFill="1" applyBorder="1"/>
    <xf numFmtId="0" fontId="5" fillId="6" borderId="13" xfId="0" applyFont="1" applyFill="1" applyBorder="1" applyAlignment="1">
      <alignment horizontal="center"/>
    </xf>
    <xf numFmtId="165" fontId="5" fillId="6" borderId="6" xfId="0" applyNumberFormat="1" applyFont="1" applyFill="1" applyBorder="1"/>
    <xf numFmtId="4" fontId="2" fillId="6" borderId="6" xfId="0" applyNumberFormat="1" applyFont="1" applyFill="1" applyBorder="1" applyAlignment="1">
      <alignment horizontal="right"/>
    </xf>
    <xf numFmtId="49" fontId="5" fillId="6" borderId="6" xfId="0" applyNumberFormat="1" applyFont="1" applyFill="1" applyBorder="1" applyAlignment="1">
      <alignment horizontal="center"/>
    </xf>
    <xf numFmtId="4" fontId="2" fillId="6" borderId="7" xfId="0" applyNumberFormat="1" applyFont="1" applyFill="1" applyBorder="1" applyAlignment="1">
      <alignment horizontal="right"/>
    </xf>
    <xf numFmtId="165" fontId="5" fillId="6" borderId="0" xfId="0" applyNumberFormat="1" applyFont="1" applyFill="1" applyAlignment="1">
      <alignment horizontal="center"/>
    </xf>
    <xf numFmtId="0" fontId="8" fillId="6" borderId="52" xfId="0" applyFont="1" applyFill="1" applyBorder="1"/>
    <xf numFmtId="0" fontId="8" fillId="6" borderId="12" xfId="0" applyFont="1" applyFill="1" applyBorder="1"/>
    <xf numFmtId="49" fontId="5" fillId="6" borderId="3" xfId="0" applyNumberFormat="1" applyFont="1" applyFill="1" applyBorder="1" applyAlignment="1">
      <alignment horizontal="center"/>
    </xf>
    <xf numFmtId="4" fontId="8" fillId="6" borderId="53" xfId="0" applyNumberFormat="1" applyFont="1" applyFill="1" applyBorder="1" applyAlignment="1">
      <alignment horizontal="right"/>
    </xf>
    <xf numFmtId="4" fontId="28" fillId="6" borderId="2" xfId="0" applyNumberFormat="1" applyFont="1" applyFill="1" applyBorder="1" applyAlignment="1">
      <alignment horizontal="right"/>
    </xf>
    <xf numFmtId="2" fontId="5" fillId="6" borderId="37" xfId="0" applyNumberFormat="1" applyFont="1" applyFill="1" applyBorder="1" applyAlignment="1">
      <alignment horizontal="center"/>
    </xf>
    <xf numFmtId="4" fontId="2" fillId="6" borderId="40" xfId="0" applyNumberFormat="1" applyFont="1" applyFill="1" applyBorder="1" applyAlignment="1">
      <alignment horizontal="right"/>
    </xf>
    <xf numFmtId="0" fontId="0" fillId="6" borderId="21" xfId="0" applyFill="1" applyBorder="1"/>
    <xf numFmtId="0" fontId="14" fillId="6" borderId="54" xfId="0" applyFont="1" applyFill="1" applyBorder="1"/>
    <xf numFmtId="0" fontId="14" fillId="6" borderId="55" xfId="0" applyFont="1" applyFill="1" applyBorder="1"/>
    <xf numFmtId="0" fontId="14" fillId="6" borderId="54" xfId="0" applyFont="1" applyFill="1" applyBorder="1" applyAlignment="1">
      <alignment horizontal="center" vertical="center" wrapText="1"/>
    </xf>
    <xf numFmtId="0" fontId="14" fillId="6" borderId="55" xfId="0" applyFont="1" applyFill="1" applyBorder="1" applyAlignment="1">
      <alignment horizontal="center" vertical="center" wrapText="1"/>
    </xf>
    <xf numFmtId="0" fontId="16" fillId="6" borderId="20" xfId="0" applyFont="1" applyFill="1" applyBorder="1" applyAlignment="1">
      <alignment horizontal="left"/>
    </xf>
    <xf numFmtId="0" fontId="17" fillId="6" borderId="20" xfId="0" applyFont="1" applyFill="1" applyBorder="1" applyAlignment="1">
      <alignment horizontal="center"/>
    </xf>
    <xf numFmtId="0" fontId="18" fillId="6" borderId="20" xfId="0" applyFont="1" applyFill="1" applyBorder="1"/>
    <xf numFmtId="4" fontId="29" fillId="6" borderId="20" xfId="0" applyNumberFormat="1" applyFont="1" applyFill="1" applyBorder="1"/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10" fillId="6" borderId="0" xfId="0" applyFont="1" applyFill="1"/>
    <xf numFmtId="0" fontId="13" fillId="6" borderId="0" xfId="0" applyFont="1" applyFill="1"/>
    <xf numFmtId="165" fontId="5" fillId="6" borderId="2" xfId="0" applyNumberFormat="1" applyFont="1" applyFill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wrapText="1"/>
    </xf>
    <xf numFmtId="0" fontId="2" fillId="6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4" fontId="8" fillId="6" borderId="0" xfId="0" applyNumberFormat="1" applyFont="1" applyFill="1"/>
    <xf numFmtId="4" fontId="8" fillId="6" borderId="6" xfId="0" applyNumberFormat="1" applyFont="1" applyFill="1" applyBorder="1"/>
    <xf numFmtId="4" fontId="2" fillId="6" borderId="53" xfId="0" applyNumberFormat="1" applyFont="1" applyFill="1" applyBorder="1" applyAlignment="1">
      <alignment horizontal="right"/>
    </xf>
    <xf numFmtId="165" fontId="5" fillId="6" borderId="5" xfId="0" applyNumberFormat="1" applyFont="1" applyFill="1" applyBorder="1"/>
    <xf numFmtId="166" fontId="5" fillId="6" borderId="7" xfId="0" applyNumberFormat="1" applyFont="1" applyFill="1" applyBorder="1"/>
    <xf numFmtId="4" fontId="7" fillId="6" borderId="2" xfId="0" applyNumberFormat="1" applyFont="1" applyFill="1" applyBorder="1" applyAlignment="1">
      <alignment horizontal="right"/>
    </xf>
    <xf numFmtId="49" fontId="7" fillId="6" borderId="2" xfId="0" applyNumberFormat="1" applyFont="1" applyFill="1" applyBorder="1" applyAlignment="1">
      <alignment horizontal="center"/>
    </xf>
    <xf numFmtId="166" fontId="7" fillId="6" borderId="2" xfId="0" applyNumberFormat="1" applyFont="1" applyFill="1" applyBorder="1" applyAlignment="1">
      <alignment horizontal="right"/>
    </xf>
    <xf numFmtId="0" fontId="7" fillId="6" borderId="2" xfId="0" applyFont="1" applyFill="1" applyBorder="1"/>
    <xf numFmtId="4" fontId="5" fillId="6" borderId="20" xfId="0" applyNumberFormat="1" applyFont="1" applyFill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5" fontId="8" fillId="6" borderId="20" xfId="0" applyNumberFormat="1" applyFont="1" applyFill="1" applyBorder="1" applyAlignment="1">
      <alignment horizontal="center"/>
    </xf>
    <xf numFmtId="0" fontId="5" fillId="6" borderId="37" xfId="0" applyFont="1" applyFill="1" applyBorder="1" applyAlignment="1">
      <alignment horizontal="center"/>
    </xf>
    <xf numFmtId="10" fontId="2" fillId="6" borderId="14" xfId="0" applyNumberFormat="1" applyFont="1" applyFill="1" applyBorder="1" applyAlignment="1">
      <alignment horizontal="center"/>
    </xf>
    <xf numFmtId="10" fontId="2" fillId="6" borderId="27" xfId="0" applyNumberFormat="1" applyFont="1" applyFill="1" applyBorder="1" applyAlignment="1">
      <alignment horizontal="center"/>
    </xf>
    <xf numFmtId="0" fontId="2" fillId="6" borderId="30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left"/>
    </xf>
    <xf numFmtId="2" fontId="21" fillId="6" borderId="2" xfId="0" applyNumberFormat="1" applyFont="1" applyFill="1" applyBorder="1" applyAlignment="1">
      <alignment horizontal="center"/>
    </xf>
    <xf numFmtId="167" fontId="20" fillId="6" borderId="2" xfId="6" applyNumberFormat="1" applyFont="1" applyFill="1" applyBorder="1" applyAlignment="1">
      <alignment horizontal="center" vertical="center"/>
    </xf>
    <xf numFmtId="165" fontId="20" fillId="6" borderId="3" xfId="0" applyNumberFormat="1" applyFont="1" applyFill="1" applyBorder="1" applyAlignment="1">
      <alignment horizontal="center"/>
    </xf>
    <xf numFmtId="0" fontId="30" fillId="6" borderId="2" xfId="1" applyFont="1" applyFill="1" applyBorder="1" applyAlignment="1">
      <alignment vertical="center"/>
    </xf>
    <xf numFmtId="0" fontId="30" fillId="6" borderId="2" xfId="1" applyFont="1" applyFill="1" applyBorder="1" applyAlignment="1">
      <alignment horizontal="center" vertical="center"/>
    </xf>
    <xf numFmtId="49" fontId="30" fillId="6" borderId="2" xfId="1" applyNumberFormat="1" applyFont="1" applyFill="1" applyBorder="1" applyAlignment="1">
      <alignment horizontal="center" vertical="center"/>
    </xf>
    <xf numFmtId="4" fontId="30" fillId="6" borderId="2" xfId="1" applyNumberFormat="1" applyFont="1" applyFill="1" applyBorder="1" applyAlignment="1">
      <alignment horizontal="right" vertical="center"/>
    </xf>
    <xf numFmtId="165" fontId="5" fillId="6" borderId="57" xfId="0" applyNumberFormat="1" applyFont="1" applyFill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4" fontId="5" fillId="0" borderId="2" xfId="0" applyNumberFormat="1" applyFont="1" applyBorder="1" applyAlignment="1">
      <alignment horizontal="right"/>
    </xf>
    <xf numFmtId="166" fontId="5" fillId="0" borderId="2" xfId="0" applyNumberFormat="1" applyFont="1" applyBorder="1" applyAlignment="1">
      <alignment horizontal="right"/>
    </xf>
    <xf numFmtId="2" fontId="5" fillId="0" borderId="5" xfId="0" applyNumberFormat="1" applyFont="1" applyBorder="1"/>
    <xf numFmtId="0" fontId="5" fillId="0" borderId="0" xfId="0" applyFont="1"/>
    <xf numFmtId="165" fontId="30" fillId="6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vertical="center"/>
    </xf>
    <xf numFmtId="0" fontId="2" fillId="6" borderId="7" xfId="0" applyFont="1" applyFill="1" applyBorder="1"/>
    <xf numFmtId="165" fontId="5" fillId="6" borderId="11" xfId="0" applyNumberFormat="1" applyFont="1" applyFill="1" applyBorder="1" applyAlignment="1">
      <alignment horizontal="center"/>
    </xf>
    <xf numFmtId="165" fontId="5" fillId="6" borderId="35" xfId="0" applyNumberFormat="1" applyFont="1" applyFill="1" applyBorder="1" applyAlignment="1">
      <alignment horizontal="right"/>
    </xf>
    <xf numFmtId="49" fontId="5" fillId="6" borderId="37" xfId="0" applyNumberFormat="1" applyFont="1" applyFill="1" applyBorder="1" applyAlignment="1">
      <alignment horizontal="center"/>
    </xf>
    <xf numFmtId="12" fontId="5" fillId="6" borderId="2" xfId="0" applyNumberFormat="1" applyFont="1" applyFill="1" applyBorder="1" applyAlignment="1">
      <alignment horizontal="center"/>
    </xf>
    <xf numFmtId="0" fontId="31" fillId="6" borderId="33" xfId="0" applyFont="1" applyFill="1" applyBorder="1" applyAlignment="1">
      <alignment horizontal="center" vertical="center"/>
    </xf>
    <xf numFmtId="4" fontId="17" fillId="6" borderId="58" xfId="0" applyNumberFormat="1" applyFont="1" applyFill="1" applyBorder="1" applyAlignment="1">
      <alignment horizontal="center" vertical="center"/>
    </xf>
    <xf numFmtId="0" fontId="17" fillId="6" borderId="48" xfId="0" applyFont="1" applyFill="1" applyBorder="1" applyAlignment="1">
      <alignment horizontal="center" vertical="center"/>
    </xf>
    <xf numFmtId="4" fontId="31" fillId="6" borderId="20" xfId="0" applyNumberFormat="1" applyFont="1" applyFill="1" applyBorder="1" applyAlignment="1">
      <alignment horizontal="center" vertical="center"/>
    </xf>
    <xf numFmtId="4" fontId="17" fillId="6" borderId="2" xfId="0" applyNumberFormat="1" applyFont="1" applyFill="1" applyBorder="1" applyAlignment="1">
      <alignment horizontal="center" vertical="center"/>
    </xf>
    <xf numFmtId="165" fontId="5" fillId="6" borderId="2" xfId="5" applyNumberFormat="1" applyFont="1" applyFill="1" applyBorder="1" applyAlignment="1">
      <alignment horizontal="center"/>
    </xf>
    <xf numFmtId="0" fontId="32" fillId="6" borderId="0" xfId="0" applyFont="1" applyFill="1"/>
    <xf numFmtId="165" fontId="33" fillId="6" borderId="59" xfId="5" applyNumberFormat="1" applyFont="1" applyFill="1" applyBorder="1" applyAlignment="1">
      <alignment horizontal="left"/>
    </xf>
    <xf numFmtId="0" fontId="0" fillId="6" borderId="5" xfId="0" applyFill="1" applyBorder="1"/>
    <xf numFmtId="0" fontId="34" fillId="6" borderId="0" xfId="0" applyFont="1" applyFill="1"/>
    <xf numFmtId="4" fontId="23" fillId="6" borderId="2" xfId="0" applyNumberFormat="1" applyFont="1" applyFill="1" applyBorder="1" applyAlignment="1">
      <alignment horizontal="center"/>
    </xf>
    <xf numFmtId="165" fontId="5" fillId="6" borderId="8" xfId="0" applyNumberFormat="1" applyFont="1" applyFill="1" applyBorder="1" applyAlignment="1">
      <alignment horizontal="center"/>
    </xf>
    <xf numFmtId="165" fontId="5" fillId="6" borderId="60" xfId="0" applyNumberFormat="1" applyFont="1" applyFill="1" applyBorder="1" applyAlignment="1">
      <alignment horizontal="right"/>
    </xf>
    <xf numFmtId="165" fontId="5" fillId="6" borderId="11" xfId="0" applyNumberFormat="1" applyFont="1" applyFill="1" applyBorder="1"/>
    <xf numFmtId="0" fontId="5" fillId="6" borderId="2" xfId="2" applyFont="1" applyFill="1" applyBorder="1" applyAlignment="1">
      <alignment horizontal="center" vertical="center"/>
    </xf>
    <xf numFmtId="0" fontId="2" fillId="6" borderId="7" xfId="0" applyFont="1" applyFill="1" applyBorder="1" applyAlignment="1">
      <alignment vertical="center"/>
    </xf>
    <xf numFmtId="164" fontId="2" fillId="6" borderId="10" xfId="0" applyNumberFormat="1" applyFont="1" applyFill="1" applyBorder="1"/>
    <xf numFmtId="164" fontId="2" fillId="6" borderId="61" xfId="0" applyNumberFormat="1" applyFont="1" applyFill="1" applyBorder="1"/>
    <xf numFmtId="164" fontId="2" fillId="6" borderId="57" xfId="0" applyNumberFormat="1" applyFont="1" applyFill="1" applyBorder="1"/>
    <xf numFmtId="164" fontId="2" fillId="6" borderId="62" xfId="0" applyNumberFormat="1" applyFont="1" applyFill="1" applyBorder="1"/>
    <xf numFmtId="0" fontId="2" fillId="6" borderId="32" xfId="0" applyFont="1" applyFill="1" applyBorder="1"/>
    <xf numFmtId="0" fontId="2" fillId="6" borderId="6" xfId="0" applyFont="1" applyFill="1" applyBorder="1"/>
    <xf numFmtId="164" fontId="2" fillId="6" borderId="32" xfId="0" applyNumberFormat="1" applyFont="1" applyFill="1" applyBorder="1"/>
    <xf numFmtId="0" fontId="30" fillId="0" borderId="2" xfId="0" applyFont="1" applyBorder="1" applyAlignment="1">
      <alignment horizontal="center"/>
    </xf>
    <xf numFmtId="2" fontId="30" fillId="6" borderId="2" xfId="1" applyNumberFormat="1" applyFont="1" applyFill="1" applyBorder="1" applyAlignment="1">
      <alignment horizontal="center" vertical="center"/>
    </xf>
    <xf numFmtId="165" fontId="5" fillId="6" borderId="4" xfId="0" applyNumberFormat="1" applyFont="1" applyFill="1" applyBorder="1" applyAlignment="1">
      <alignment horizontal="center"/>
    </xf>
    <xf numFmtId="2" fontId="22" fillId="6" borderId="3" xfId="0" applyNumberFormat="1" applyFont="1" applyFill="1" applyBorder="1" applyAlignment="1">
      <alignment horizontal="center"/>
    </xf>
    <xf numFmtId="2" fontId="5" fillId="6" borderId="7" xfId="0" applyNumberFormat="1" applyFont="1" applyFill="1" applyBorder="1" applyAlignment="1">
      <alignment horizontal="center"/>
    </xf>
    <xf numFmtId="167" fontId="5" fillId="6" borderId="2" xfId="6" applyNumberFormat="1" applyFont="1" applyFill="1" applyBorder="1" applyAlignment="1">
      <alignment horizontal="center" vertical="center"/>
    </xf>
    <xf numFmtId="167" fontId="30" fillId="6" borderId="2" xfId="1" applyNumberFormat="1" applyFont="1" applyFill="1" applyBorder="1" applyAlignment="1">
      <alignment horizontal="center" vertical="center"/>
    </xf>
    <xf numFmtId="167" fontId="5" fillId="6" borderId="2" xfId="6" applyNumberFormat="1" applyFont="1" applyFill="1" applyBorder="1" applyAlignment="1">
      <alignment horizontal="center"/>
    </xf>
    <xf numFmtId="167" fontId="5" fillId="6" borderId="2" xfId="1" applyNumberFormat="1" applyFont="1" applyFill="1" applyBorder="1" applyAlignment="1">
      <alignment horizontal="center" vertical="center"/>
    </xf>
    <xf numFmtId="4" fontId="5" fillId="6" borderId="2" xfId="0" applyNumberFormat="1" applyFont="1" applyFill="1" applyBorder="1" applyAlignment="1">
      <alignment horizontal="center" vertical="center"/>
    </xf>
    <xf numFmtId="49" fontId="5" fillId="6" borderId="2" xfId="1" applyNumberFormat="1" applyFont="1" applyFill="1" applyBorder="1" applyAlignment="1">
      <alignment horizontal="center" vertical="center"/>
    </xf>
    <xf numFmtId="167" fontId="5" fillId="6" borderId="2" xfId="0" applyNumberFormat="1" applyFont="1" applyFill="1" applyBorder="1" applyAlignment="1">
      <alignment horizontal="center"/>
    </xf>
    <xf numFmtId="4" fontId="5" fillId="6" borderId="2" xfId="6" applyNumberFormat="1" applyFont="1" applyFill="1" applyBorder="1" applyAlignment="1">
      <alignment horizontal="center" vertical="center"/>
    </xf>
    <xf numFmtId="167" fontId="5" fillId="6" borderId="2" xfId="0" applyNumberFormat="1" applyFont="1" applyFill="1" applyBorder="1" applyAlignment="1">
      <alignment horizontal="center" vertical="center"/>
    </xf>
    <xf numFmtId="167" fontId="35" fillId="0" borderId="69" xfId="3" applyNumberFormat="1" applyFont="1" applyFill="1" applyAlignment="1">
      <alignment horizontal="center" vertical="center"/>
    </xf>
    <xf numFmtId="165" fontId="27" fillId="6" borderId="2" xfId="0" applyNumberFormat="1" applyFont="1" applyFill="1" applyBorder="1" applyAlignment="1">
      <alignment horizontal="center"/>
    </xf>
    <xf numFmtId="164" fontId="5" fillId="6" borderId="4" xfId="0" applyNumberFormat="1" applyFont="1" applyFill="1" applyBorder="1" applyAlignment="1">
      <alignment horizontal="center"/>
    </xf>
    <xf numFmtId="165" fontId="7" fillId="6" borderId="8" xfId="0" applyNumberFormat="1" applyFont="1" applyFill="1" applyBorder="1" applyAlignment="1">
      <alignment horizontal="center"/>
    </xf>
    <xf numFmtId="0" fontId="5" fillId="6" borderId="60" xfId="0" applyFont="1" applyFill="1" applyBorder="1" applyAlignment="1">
      <alignment horizontal="center"/>
    </xf>
    <xf numFmtId="167" fontId="5" fillId="6" borderId="3" xfId="6" applyNumberFormat="1" applyFont="1" applyFill="1" applyBorder="1" applyAlignment="1">
      <alignment horizontal="center" vertical="center"/>
    </xf>
    <xf numFmtId="49" fontId="5" fillId="6" borderId="60" xfId="0" applyNumberFormat="1" applyFont="1" applyFill="1" applyBorder="1" applyAlignment="1">
      <alignment horizontal="center"/>
    </xf>
    <xf numFmtId="165" fontId="5" fillId="6" borderId="2" xfId="0" applyNumberFormat="1" applyFont="1" applyFill="1" applyBorder="1" applyAlignment="1">
      <alignment horizontal="left"/>
    </xf>
    <xf numFmtId="165" fontId="36" fillId="6" borderId="2" xfId="0" applyNumberFormat="1" applyFont="1" applyFill="1" applyBorder="1" applyAlignment="1">
      <alignment horizontal="center"/>
    </xf>
    <xf numFmtId="165" fontId="30" fillId="6" borderId="4" xfId="0" applyNumberFormat="1" applyFont="1" applyFill="1" applyBorder="1" applyAlignment="1">
      <alignment horizontal="center"/>
    </xf>
    <xf numFmtId="164" fontId="30" fillId="6" borderId="4" xfId="0" applyNumberFormat="1" applyFont="1" applyFill="1" applyBorder="1" applyAlignment="1">
      <alignment horizontal="center"/>
    </xf>
    <xf numFmtId="0" fontId="30" fillId="6" borderId="2" xfId="0" applyFont="1" applyFill="1" applyBorder="1" applyAlignment="1">
      <alignment horizontal="center"/>
    </xf>
    <xf numFmtId="165" fontId="30" fillId="6" borderId="2" xfId="0" quotePrefix="1" applyNumberFormat="1" applyFont="1" applyFill="1" applyBorder="1" applyAlignment="1">
      <alignment horizontal="center"/>
    </xf>
    <xf numFmtId="0" fontId="30" fillId="6" borderId="2" xfId="2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6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42" xfId="0" applyFont="1" applyFill="1" applyBorder="1" applyAlignment="1">
      <alignment horizontal="center"/>
    </xf>
    <xf numFmtId="0" fontId="2" fillId="6" borderId="30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164" fontId="5" fillId="6" borderId="63" xfId="0" applyNumberFormat="1" applyFont="1" applyFill="1" applyBorder="1" applyAlignment="1">
      <alignment horizontal="center"/>
    </xf>
    <xf numFmtId="164" fontId="5" fillId="6" borderId="64" xfId="0" applyNumberFormat="1" applyFont="1" applyFill="1" applyBorder="1" applyAlignment="1">
      <alignment horizontal="center"/>
    </xf>
    <xf numFmtId="0" fontId="5" fillId="6" borderId="52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60" xfId="0" applyFont="1" applyFill="1" applyBorder="1" applyAlignment="1">
      <alignment horizontal="center"/>
    </xf>
    <xf numFmtId="0" fontId="5" fillId="6" borderId="37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left" vertical="center"/>
    </xf>
    <xf numFmtId="0" fontId="2" fillId="6" borderId="32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left"/>
    </xf>
    <xf numFmtId="0" fontId="15" fillId="6" borderId="58" xfId="0" applyFont="1" applyFill="1" applyBorder="1" applyAlignment="1">
      <alignment horizontal="left"/>
    </xf>
    <xf numFmtId="0" fontId="12" fillId="6" borderId="0" xfId="0" applyFont="1" applyFill="1" applyAlignment="1">
      <alignment horizontal="center"/>
    </xf>
    <xf numFmtId="0" fontId="5" fillId="6" borderId="65" xfId="0" applyFont="1" applyFill="1" applyBorder="1" applyAlignment="1">
      <alignment horizontal="center"/>
    </xf>
    <xf numFmtId="0" fontId="5" fillId="6" borderId="66" xfId="0" applyFont="1" applyFill="1" applyBorder="1" applyAlignment="1">
      <alignment horizontal="center"/>
    </xf>
    <xf numFmtId="0" fontId="5" fillId="6" borderId="32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0" fontId="15" fillId="6" borderId="4" xfId="0" applyFont="1" applyFill="1" applyBorder="1" applyAlignment="1">
      <alignment horizontal="left" wrapText="1"/>
    </xf>
    <xf numFmtId="0" fontId="15" fillId="6" borderId="7" xfId="0" applyFont="1" applyFill="1" applyBorder="1" applyAlignment="1">
      <alignment horizontal="left" wrapText="1"/>
    </xf>
    <xf numFmtId="0" fontId="5" fillId="6" borderId="0" xfId="0" applyFont="1" applyFill="1" applyAlignment="1"/>
    <xf numFmtId="0" fontId="7" fillId="6" borderId="68" xfId="0" applyFont="1" applyFill="1" applyBorder="1" applyAlignment="1">
      <alignment horizontal="center"/>
    </xf>
    <xf numFmtId="0" fontId="7" fillId="6" borderId="67" xfId="0" applyFont="1" applyFill="1" applyBorder="1" applyAlignment="1">
      <alignment horizontal="center"/>
    </xf>
    <xf numFmtId="164" fontId="7" fillId="6" borderId="63" xfId="0" applyNumberFormat="1" applyFont="1" applyFill="1" applyBorder="1" applyAlignment="1">
      <alignment horizontal="center"/>
    </xf>
    <xf numFmtId="164" fontId="7" fillId="6" borderId="64" xfId="0" applyNumberFormat="1" applyFont="1" applyFill="1" applyBorder="1" applyAlignment="1">
      <alignment horizontal="center"/>
    </xf>
    <xf numFmtId="4" fontId="7" fillId="6" borderId="36" xfId="0" applyNumberFormat="1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6" borderId="37" xfId="0" applyFont="1" applyFill="1" applyBorder="1" applyAlignment="1">
      <alignment horizontal="center"/>
    </xf>
    <xf numFmtId="4" fontId="7" fillId="6" borderId="39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52" xfId="0" applyFont="1" applyFill="1" applyBorder="1" applyAlignment="1">
      <alignment horizontal="center"/>
    </xf>
    <xf numFmtId="0" fontId="7" fillId="6" borderId="60" xfId="0" applyFont="1" applyFill="1" applyBorder="1" applyAlignment="1">
      <alignment horizontal="center"/>
    </xf>
    <xf numFmtId="4" fontId="7" fillId="6" borderId="51" xfId="0" applyNumberFormat="1" applyFont="1" applyFill="1" applyBorder="1" applyAlignment="1">
      <alignment horizontal="center"/>
    </xf>
  </cellXfs>
  <cellStyles count="7">
    <cellStyle name="20% - Accent1" xfId="1" builtinId="30"/>
    <cellStyle name="20% — акцент1 2" xfId="2" xr:uid="{B875991B-9B42-49CF-B778-260595883E1B}"/>
    <cellStyle name="Normal" xfId="0" builtinId="0"/>
    <cellStyle name="Note" xfId="6" builtinId="10"/>
    <cellStyle name="Output" xfId="3" builtinId="21"/>
    <cellStyle name="Обычный 2" xfId="4" xr:uid="{E681EF2A-6364-49F5-B28C-4359C954553B}"/>
    <cellStyle name="Обычный 3" xfId="5" xr:uid="{B737DB8A-36D1-4D90-B1E7-FFC65CC102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CBDB-EDA0-474F-9C29-49142FF8874E}">
  <sheetPr transitionEntry="1"/>
  <dimension ref="A1:IR508"/>
  <sheetViews>
    <sheetView tabSelected="1" zoomScale="85" zoomScaleNormal="85" zoomScaleSheetLayoutView="100" workbookViewId="0">
      <selection activeCell="A6" sqref="A6:A7"/>
    </sheetView>
  </sheetViews>
  <sheetFormatPr defaultRowHeight="15.75"/>
  <cols>
    <col min="1" max="1" width="44.85546875" style="55" customWidth="1"/>
    <col min="2" max="2" width="20.5703125" style="55" customWidth="1"/>
    <col min="3" max="3" width="12.28515625" style="55" customWidth="1"/>
    <col min="4" max="4" width="11.7109375" style="55" customWidth="1"/>
    <col min="5" max="5" width="9.85546875" style="55" customWidth="1"/>
    <col min="6" max="6" width="14.28515625" style="148" customWidth="1"/>
    <col min="7" max="7" width="15" style="148" customWidth="1"/>
    <col min="8" max="8" width="20.5703125" style="85" customWidth="1"/>
    <col min="9" max="9" width="17.7109375" style="86" customWidth="1"/>
    <col min="10" max="10" width="13.7109375" style="55" customWidth="1"/>
    <col min="11" max="11" width="44.28515625" style="147" customWidth="1"/>
    <col min="12" max="16384" width="9.140625" style="147"/>
  </cols>
  <sheetData>
    <row r="1" spans="1:14" s="55" customFormat="1">
      <c r="F1" s="148"/>
      <c r="G1" s="148"/>
      <c r="H1" s="85"/>
      <c r="I1" s="86"/>
    </row>
    <row r="2" spans="1:14" s="55" customFormat="1">
      <c r="A2" s="352"/>
      <c r="B2" s="352"/>
      <c r="C2" s="352"/>
      <c r="D2" s="352"/>
      <c r="E2" s="352"/>
      <c r="F2" s="352"/>
      <c r="G2" s="352"/>
      <c r="H2" s="352"/>
      <c r="I2" s="352"/>
      <c r="J2" s="352"/>
    </row>
    <row r="3" spans="1:14" s="55" customFormat="1" ht="13.5" customHeight="1">
      <c r="A3" s="352" t="s">
        <v>0</v>
      </c>
      <c r="B3" s="352"/>
      <c r="C3" s="352"/>
      <c r="D3" s="352"/>
      <c r="E3" s="352"/>
      <c r="F3" s="352"/>
      <c r="G3" s="352"/>
      <c r="H3" s="352"/>
      <c r="I3" s="352"/>
      <c r="J3" s="352"/>
    </row>
    <row r="4" spans="1:14" s="55" customFormat="1">
      <c r="A4" s="353" t="s">
        <v>1</v>
      </c>
      <c r="B4" s="353"/>
      <c r="C4" s="353"/>
      <c r="D4" s="353"/>
      <c r="E4" s="353"/>
      <c r="F4" s="353"/>
      <c r="G4" s="353"/>
      <c r="H4" s="353"/>
      <c r="I4" s="353"/>
      <c r="J4" s="353"/>
    </row>
    <row r="5" spans="1:14" s="55" customFormat="1" ht="16.5" thickBot="1">
      <c r="A5" s="87"/>
      <c r="B5" s="87"/>
      <c r="C5" s="87"/>
      <c r="D5" s="87"/>
      <c r="E5" s="87"/>
      <c r="F5" s="88"/>
      <c r="G5" s="88"/>
      <c r="H5" s="89"/>
      <c r="I5" s="90"/>
      <c r="J5" s="87"/>
    </row>
    <row r="6" spans="1:14" s="55" customFormat="1" ht="16.5" thickBot="1">
      <c r="A6" s="356" t="s">
        <v>2</v>
      </c>
      <c r="B6" s="358" t="s">
        <v>3</v>
      </c>
      <c r="C6" s="358" t="s">
        <v>4</v>
      </c>
      <c r="D6" s="358" t="s">
        <v>5</v>
      </c>
      <c r="E6" s="358" t="s">
        <v>6</v>
      </c>
      <c r="F6" s="354" t="s">
        <v>7</v>
      </c>
      <c r="G6" s="355"/>
      <c r="H6" s="149" t="s">
        <v>8</v>
      </c>
      <c r="I6" s="150" t="s">
        <v>9</v>
      </c>
      <c r="J6" s="151" t="s">
        <v>9</v>
      </c>
    </row>
    <row r="7" spans="1:14" s="55" customFormat="1" ht="16.5" thickBot="1">
      <c r="A7" s="357"/>
      <c r="B7" s="359"/>
      <c r="C7" s="359"/>
      <c r="D7" s="359"/>
      <c r="E7" s="359"/>
      <c r="F7" s="289" t="s">
        <v>10</v>
      </c>
      <c r="G7" s="289" t="s">
        <v>11</v>
      </c>
      <c r="H7" s="152" t="s">
        <v>12</v>
      </c>
      <c r="I7" s="153" t="s">
        <v>12</v>
      </c>
      <c r="J7" s="154" t="s">
        <v>13</v>
      </c>
    </row>
    <row r="8" spans="1:14" s="55" customFormat="1" ht="16.5" thickBot="1">
      <c r="A8" s="91"/>
      <c r="B8" s="69"/>
      <c r="C8" s="69"/>
      <c r="D8" s="69" t="s">
        <v>14</v>
      </c>
      <c r="E8" s="69"/>
      <c r="F8" s="288"/>
      <c r="G8" s="288"/>
      <c r="H8" s="92"/>
      <c r="I8" s="155"/>
      <c r="J8" s="109"/>
    </row>
    <row r="9" spans="1:14" s="55" customFormat="1">
      <c r="A9" s="6" t="s">
        <v>15</v>
      </c>
      <c r="B9" s="2" t="s">
        <v>16</v>
      </c>
      <c r="C9" s="2">
        <v>51555166</v>
      </c>
      <c r="D9" s="2" t="s">
        <v>17</v>
      </c>
      <c r="E9" s="2">
        <v>132000</v>
      </c>
      <c r="F9" s="287">
        <v>2.1970000000000001</v>
      </c>
      <c r="G9" s="287">
        <v>2.8410000000000002</v>
      </c>
      <c r="H9" s="7">
        <f>(G9-F9)*E9</f>
        <v>85008.000000000015</v>
      </c>
      <c r="I9" s="68"/>
      <c r="J9" s="63"/>
    </row>
    <row r="10" spans="1:14" s="55" customFormat="1">
      <c r="A10" s="6" t="s">
        <v>18</v>
      </c>
      <c r="B10" s="2" t="s">
        <v>16</v>
      </c>
      <c r="C10" s="2">
        <v>51555191</v>
      </c>
      <c r="D10" s="2" t="s">
        <v>17</v>
      </c>
      <c r="E10" s="2">
        <v>132000</v>
      </c>
      <c r="F10" s="247">
        <v>254.114</v>
      </c>
      <c r="G10" s="247">
        <v>318.74099999999999</v>
      </c>
      <c r="H10" s="7">
        <f>(G10-F10)*E10</f>
        <v>8530763.9999999981</v>
      </c>
      <c r="I10" s="68"/>
      <c r="J10" s="63"/>
    </row>
    <row r="11" spans="1:14" s="56" customFormat="1">
      <c r="A11" s="343" t="s">
        <v>19</v>
      </c>
      <c r="B11" s="351"/>
      <c r="C11" s="2"/>
      <c r="D11" s="2"/>
      <c r="E11" s="2"/>
      <c r="F11"/>
      <c r="G11"/>
      <c r="H11" s="93">
        <f>H9+H10</f>
        <v>8615771.9999999981</v>
      </c>
      <c r="I11" s="94">
        <f>H11-H14-H24</f>
        <v>73008.000000000931</v>
      </c>
      <c r="J11" s="13">
        <f>I11/H11</f>
        <v>8.4737618404944967E-3</v>
      </c>
    </row>
    <row r="12" spans="1:14" s="55" customFormat="1">
      <c r="A12" s="28" t="s">
        <v>20</v>
      </c>
      <c r="B12" s="2" t="s">
        <v>16</v>
      </c>
      <c r="C12" s="2">
        <v>51097629</v>
      </c>
      <c r="D12" s="2" t="s">
        <v>17</v>
      </c>
      <c r="E12" s="2">
        <v>42000</v>
      </c>
      <c r="F12" s="247">
        <v>837.16300000000001</v>
      </c>
      <c r="G12" s="247">
        <v>985.63699999999994</v>
      </c>
      <c r="H12" s="7">
        <f>(G12-F12)*E12</f>
        <v>6235907.9999999972</v>
      </c>
      <c r="I12" s="68"/>
      <c r="J12" s="63"/>
    </row>
    <row r="13" spans="1:14" s="55" customFormat="1">
      <c r="A13" s="28" t="s">
        <v>21</v>
      </c>
      <c r="B13" s="2" t="s">
        <v>16</v>
      </c>
      <c r="C13" s="2">
        <v>51616820</v>
      </c>
      <c r="D13" s="2" t="s">
        <v>17</v>
      </c>
      <c r="E13" s="2">
        <v>42000</v>
      </c>
      <c r="F13" s="247">
        <v>3.5289999999999999</v>
      </c>
      <c r="G13" s="247">
        <v>4.8360000000000003</v>
      </c>
      <c r="H13" s="7">
        <f>(G13-F13)*E13</f>
        <v>54894.000000000015</v>
      </c>
      <c r="I13" s="68"/>
      <c r="J13" s="63"/>
      <c r="N13" s="55" t="s">
        <v>22</v>
      </c>
    </row>
    <row r="14" spans="1:14" s="55" customFormat="1">
      <c r="A14" s="343" t="s">
        <v>23</v>
      </c>
      <c r="B14" s="351"/>
      <c r="C14" s="2"/>
      <c r="D14" s="2"/>
      <c r="E14" s="2"/>
      <c r="F14" s="247"/>
      <c r="G14" s="247"/>
      <c r="H14" s="93">
        <f>H12+H13</f>
        <v>6290801.9999999972</v>
      </c>
      <c r="I14" s="94">
        <f>H14-H21</f>
        <v>41.999999993480742</v>
      </c>
      <c r="J14" s="13">
        <f>I14/H14</f>
        <v>6.6764142304082626E-6</v>
      </c>
    </row>
    <row r="15" spans="1:14" s="55" customFormat="1">
      <c r="A15" s="1" t="s">
        <v>24</v>
      </c>
      <c r="B15" s="2" t="s">
        <v>16</v>
      </c>
      <c r="C15" s="2">
        <v>51217286</v>
      </c>
      <c r="D15" s="2" t="s">
        <v>25</v>
      </c>
      <c r="E15" s="2">
        <v>21000</v>
      </c>
      <c r="F15" s="247">
        <v>665.94799999999998</v>
      </c>
      <c r="G15" s="247">
        <v>782.45</v>
      </c>
      <c r="H15" s="7">
        <f t="shared" ref="H15:H20" si="0">(G15-F15)*E15</f>
        <v>2446542.0000000014</v>
      </c>
      <c r="I15" s="68"/>
      <c r="J15" s="63"/>
    </row>
    <row r="16" spans="1:14" s="55" customFormat="1">
      <c r="A16" s="1" t="s">
        <v>26</v>
      </c>
      <c r="B16" s="2" t="s">
        <v>16</v>
      </c>
      <c r="C16" s="2">
        <v>51217292</v>
      </c>
      <c r="D16" s="2" t="s">
        <v>25</v>
      </c>
      <c r="E16" s="2">
        <v>21000</v>
      </c>
      <c r="F16" s="84">
        <v>2.4620000000000002</v>
      </c>
      <c r="G16" s="84">
        <v>3.258</v>
      </c>
      <c r="H16" s="7">
        <f>(G16-F16)*E16</f>
        <v>16715.999999999996</v>
      </c>
      <c r="I16" s="68"/>
      <c r="J16" s="63"/>
    </row>
    <row r="17" spans="1:10" s="55" customFormat="1">
      <c r="A17" s="1" t="s">
        <v>27</v>
      </c>
      <c r="B17" s="2" t="s">
        <v>16</v>
      </c>
      <c r="C17" s="2">
        <v>51217271</v>
      </c>
      <c r="D17" s="2" t="s">
        <v>25</v>
      </c>
      <c r="E17" s="2">
        <v>21000</v>
      </c>
      <c r="F17" s="247">
        <v>479.44200000000001</v>
      </c>
      <c r="G17" s="247">
        <v>571.69100000000003</v>
      </c>
      <c r="H17" s="7">
        <f t="shared" si="0"/>
        <v>1937229.0000000005</v>
      </c>
      <c r="I17" s="68"/>
      <c r="J17" s="63"/>
    </row>
    <row r="18" spans="1:10" s="55" customFormat="1">
      <c r="A18" s="1" t="s">
        <v>28</v>
      </c>
      <c r="B18" s="2" t="s">
        <v>16</v>
      </c>
      <c r="C18" s="2">
        <v>51217276</v>
      </c>
      <c r="D18" s="2" t="s">
        <v>25</v>
      </c>
      <c r="E18" s="2">
        <v>21000</v>
      </c>
      <c r="F18" s="84">
        <v>0.29699999999999999</v>
      </c>
      <c r="G18" s="84">
        <v>0.46600000000000003</v>
      </c>
      <c r="H18" s="7">
        <f>(G18-F18)*E18</f>
        <v>3549.0000000000009</v>
      </c>
      <c r="I18" s="68"/>
      <c r="J18" s="63"/>
    </row>
    <row r="19" spans="1:10" s="56" customFormat="1">
      <c r="A19" s="1" t="s">
        <v>29</v>
      </c>
      <c r="B19" s="2" t="s">
        <v>16</v>
      </c>
      <c r="C19" s="2">
        <v>51100990</v>
      </c>
      <c r="D19" s="2" t="s">
        <v>25</v>
      </c>
      <c r="E19" s="2">
        <v>21000</v>
      </c>
      <c r="F19" s="263">
        <v>533.43899999999996</v>
      </c>
      <c r="G19" s="263">
        <v>622.87300000000005</v>
      </c>
      <c r="H19" s="7">
        <f t="shared" si="0"/>
        <v>1878114.0000000016</v>
      </c>
      <c r="I19" s="68"/>
      <c r="J19" s="63"/>
    </row>
    <row r="20" spans="1:10" s="55" customFormat="1">
      <c r="A20" s="1" t="s">
        <v>30</v>
      </c>
      <c r="B20" s="2" t="s">
        <v>16</v>
      </c>
      <c r="C20" s="2">
        <v>51097622</v>
      </c>
      <c r="D20" s="2" t="s">
        <v>25</v>
      </c>
      <c r="E20" s="2">
        <v>21000</v>
      </c>
      <c r="F20" s="247">
        <v>2.3290000000000002</v>
      </c>
      <c r="G20" s="247">
        <v>2.7389999999999999</v>
      </c>
      <c r="H20" s="7">
        <f t="shared" si="0"/>
        <v>8609.9999999999945</v>
      </c>
      <c r="I20" s="68"/>
      <c r="J20" s="63"/>
    </row>
    <row r="21" spans="1:10" s="55" customFormat="1">
      <c r="A21" s="343" t="s">
        <v>31</v>
      </c>
      <c r="B21" s="351"/>
      <c r="C21" s="2"/>
      <c r="D21" s="2"/>
      <c r="E21" s="2"/>
      <c r="F21" s="247"/>
      <c r="G21" s="247"/>
      <c r="H21" s="93">
        <f>H15+H16+H17+H18+H19+H20</f>
        <v>6290760.0000000037</v>
      </c>
      <c r="I21" s="68"/>
      <c r="J21" s="63"/>
    </row>
    <row r="22" spans="1:10" s="55" customFormat="1">
      <c r="A22" s="28" t="s">
        <v>32</v>
      </c>
      <c r="B22" s="2" t="s">
        <v>16</v>
      </c>
      <c r="C22" s="2">
        <v>51097617</v>
      </c>
      <c r="D22" s="2" t="s">
        <v>33</v>
      </c>
      <c r="E22" s="2">
        <v>18000</v>
      </c>
      <c r="F22" s="95">
        <v>618.90800000000002</v>
      </c>
      <c r="G22" s="95">
        <v>743.36500000000001</v>
      </c>
      <c r="H22" s="7">
        <f>(G22-F22)*E22</f>
        <v>2240226</v>
      </c>
      <c r="I22" s="68"/>
      <c r="J22" s="63"/>
    </row>
    <row r="23" spans="1:10" s="55" customFormat="1">
      <c r="A23" s="28" t="s">
        <v>34</v>
      </c>
      <c r="B23" s="2" t="s">
        <v>16</v>
      </c>
      <c r="C23" s="2">
        <v>51097655</v>
      </c>
      <c r="D23" s="2" t="s">
        <v>33</v>
      </c>
      <c r="E23" s="2">
        <v>18000</v>
      </c>
      <c r="F23" s="95">
        <v>6.07</v>
      </c>
      <c r="G23" s="95">
        <v>6.7220000000000004</v>
      </c>
      <c r="H23" s="7">
        <f>(G23-F23)*E23</f>
        <v>11736.000000000002</v>
      </c>
      <c r="I23" s="68"/>
      <c r="J23" s="63"/>
    </row>
    <row r="24" spans="1:10" s="55" customFormat="1">
      <c r="A24" s="343" t="s">
        <v>35</v>
      </c>
      <c r="B24" s="351"/>
      <c r="C24" s="2"/>
      <c r="D24" s="2"/>
      <c r="E24" s="2"/>
      <c r="F24" s="95"/>
      <c r="G24" s="95"/>
      <c r="H24" s="93">
        <f>H22+H23</f>
        <v>2251962</v>
      </c>
      <c r="I24" s="94">
        <f>H24-H39</f>
        <v>109033.79999999981</v>
      </c>
      <c r="J24" s="13">
        <f>I24/H24</f>
        <v>4.8417246827433064E-2</v>
      </c>
    </row>
    <row r="25" spans="1:10" s="55" customFormat="1">
      <c r="A25" s="6" t="s">
        <v>36</v>
      </c>
      <c r="B25" s="2" t="s">
        <v>16</v>
      </c>
      <c r="C25" s="2">
        <v>51217282</v>
      </c>
      <c r="D25" s="2" t="s">
        <v>37</v>
      </c>
      <c r="E25" s="2">
        <v>4800</v>
      </c>
      <c r="F25" s="247">
        <v>378.363</v>
      </c>
      <c r="G25" s="247">
        <v>379.21600000000001</v>
      </c>
      <c r="H25" s="7">
        <f t="shared" ref="H25:H38" si="1">(G25-F25)*E25</f>
        <v>4094.4000000000415</v>
      </c>
      <c r="I25" s="68"/>
      <c r="J25" s="63"/>
    </row>
    <row r="26" spans="1:10" s="55" customFormat="1">
      <c r="A26" s="6" t="s">
        <v>38</v>
      </c>
      <c r="B26" s="2" t="s">
        <v>16</v>
      </c>
      <c r="C26" s="2">
        <v>51217274</v>
      </c>
      <c r="D26" s="2" t="s">
        <v>37</v>
      </c>
      <c r="E26" s="2">
        <v>4800</v>
      </c>
      <c r="F26" s="247">
        <v>980.78</v>
      </c>
      <c r="G26" s="247">
        <v>1173.4880000000001</v>
      </c>
      <c r="H26" s="7">
        <f t="shared" si="1"/>
        <v>924998.40000000037</v>
      </c>
      <c r="I26" s="68"/>
      <c r="J26" s="63"/>
    </row>
    <row r="27" spans="1:10" s="55" customFormat="1">
      <c r="A27" s="6" t="s">
        <v>39</v>
      </c>
      <c r="B27" s="2" t="s">
        <v>16</v>
      </c>
      <c r="C27" s="2">
        <v>51097664</v>
      </c>
      <c r="D27" s="2" t="s">
        <v>40</v>
      </c>
      <c r="E27" s="2">
        <v>600</v>
      </c>
      <c r="F27" s="247">
        <v>3.6549999999999998</v>
      </c>
      <c r="G27" s="247">
        <v>4.2949999999999999</v>
      </c>
      <c r="H27" s="7">
        <f t="shared" si="1"/>
        <v>384.00000000000006</v>
      </c>
      <c r="I27" s="68"/>
      <c r="J27" s="63"/>
    </row>
    <row r="28" spans="1:10" s="55" customFormat="1">
      <c r="A28" s="6" t="s">
        <v>41</v>
      </c>
      <c r="B28" s="2" t="s">
        <v>16</v>
      </c>
      <c r="C28" s="2">
        <v>51097615</v>
      </c>
      <c r="D28" s="2" t="s">
        <v>40</v>
      </c>
      <c r="E28" s="2">
        <v>600</v>
      </c>
      <c r="F28" s="247">
        <v>21.62</v>
      </c>
      <c r="G28" s="247">
        <v>33.914999999999999</v>
      </c>
      <c r="H28" s="7">
        <f t="shared" si="1"/>
        <v>7376.9999999999991</v>
      </c>
      <c r="I28" s="68"/>
      <c r="J28" s="63"/>
    </row>
    <row r="29" spans="1:10" s="55" customFormat="1">
      <c r="A29" s="6" t="s">
        <v>42</v>
      </c>
      <c r="B29" s="2" t="s">
        <v>16</v>
      </c>
      <c r="C29" s="2">
        <v>51217264</v>
      </c>
      <c r="D29" s="2" t="s">
        <v>40</v>
      </c>
      <c r="E29" s="2">
        <v>600</v>
      </c>
      <c r="F29" s="247">
        <v>61.179000000000002</v>
      </c>
      <c r="G29" s="247">
        <v>84</v>
      </c>
      <c r="H29" s="7">
        <f t="shared" si="1"/>
        <v>13692.599999999999</v>
      </c>
      <c r="I29" s="68"/>
      <c r="J29" s="63"/>
    </row>
    <row r="30" spans="1:10" s="55" customFormat="1">
      <c r="A30" s="6" t="s">
        <v>43</v>
      </c>
      <c r="B30" s="2" t="s">
        <v>16</v>
      </c>
      <c r="C30" s="2">
        <v>51217288</v>
      </c>
      <c r="D30" s="2" t="s">
        <v>40</v>
      </c>
      <c r="E30" s="2">
        <v>600</v>
      </c>
      <c r="F30" s="247">
        <v>18.576000000000001</v>
      </c>
      <c r="G30" s="247">
        <v>19.561</v>
      </c>
      <c r="H30" s="7">
        <f t="shared" si="1"/>
        <v>590.99999999999966</v>
      </c>
      <c r="I30" s="68"/>
      <c r="J30" s="63"/>
    </row>
    <row r="31" spans="1:10" s="55" customFormat="1">
      <c r="A31" s="6" t="s">
        <v>44</v>
      </c>
      <c r="B31" s="2" t="s">
        <v>16</v>
      </c>
      <c r="C31" s="2">
        <v>51217279</v>
      </c>
      <c r="D31" s="2" t="s">
        <v>40</v>
      </c>
      <c r="E31" s="2">
        <v>600</v>
      </c>
      <c r="F31" s="247">
        <v>11.977</v>
      </c>
      <c r="G31" s="247">
        <v>13.702</v>
      </c>
      <c r="H31" s="7">
        <f t="shared" si="1"/>
        <v>1034.9999999999998</v>
      </c>
      <c r="I31" s="68"/>
      <c r="J31" s="63"/>
    </row>
    <row r="32" spans="1:10" s="55" customFormat="1">
      <c r="A32" s="6" t="s">
        <v>45</v>
      </c>
      <c r="B32" s="2" t="s">
        <v>16</v>
      </c>
      <c r="C32" s="2">
        <v>51217272</v>
      </c>
      <c r="D32" s="2" t="s">
        <v>40</v>
      </c>
      <c r="E32" s="2">
        <v>600</v>
      </c>
      <c r="F32" s="46">
        <v>11.750999999999999</v>
      </c>
      <c r="G32" s="46">
        <v>13.442</v>
      </c>
      <c r="H32" s="7">
        <f t="shared" si="1"/>
        <v>1014.6000000000005</v>
      </c>
      <c r="I32" s="68"/>
      <c r="J32" s="63"/>
    </row>
    <row r="33" spans="1:10" s="55" customFormat="1">
      <c r="A33" s="6" t="s">
        <v>46</v>
      </c>
      <c r="B33" s="2" t="s">
        <v>16</v>
      </c>
      <c r="C33" s="2">
        <v>51616744</v>
      </c>
      <c r="D33" s="2">
        <f>300/5</f>
        <v>60</v>
      </c>
      <c r="E33" s="2">
        <v>3600</v>
      </c>
      <c r="F33" s="46">
        <v>109.78400000000001</v>
      </c>
      <c r="G33" s="46">
        <v>109.78400000000001</v>
      </c>
      <c r="H33" s="7">
        <f t="shared" si="1"/>
        <v>0</v>
      </c>
      <c r="I33" s="68"/>
      <c r="J33" s="63"/>
    </row>
    <row r="34" spans="1:10" s="55" customFormat="1">
      <c r="A34" s="6" t="s">
        <v>47</v>
      </c>
      <c r="B34" s="2" t="s">
        <v>16</v>
      </c>
      <c r="C34" s="2">
        <v>51555226</v>
      </c>
      <c r="D34" s="2">
        <f>300/5</f>
        <v>60</v>
      </c>
      <c r="E34" s="2">
        <v>3600</v>
      </c>
      <c r="F34" s="46">
        <v>262.62099999999998</v>
      </c>
      <c r="G34" s="46">
        <v>398.24599999999998</v>
      </c>
      <c r="H34" s="7">
        <f t="shared" si="1"/>
        <v>488250</v>
      </c>
      <c r="I34" s="68"/>
      <c r="J34" s="63"/>
    </row>
    <row r="35" spans="1:10" s="55" customFormat="1">
      <c r="A35" s="6" t="s">
        <v>48</v>
      </c>
      <c r="B35" s="2" t="s">
        <v>16</v>
      </c>
      <c r="C35" s="2">
        <v>51097658</v>
      </c>
      <c r="D35" s="2" t="s">
        <v>37</v>
      </c>
      <c r="E35" s="2">
        <v>4800</v>
      </c>
      <c r="F35" s="46">
        <v>450.87400000000002</v>
      </c>
      <c r="G35" s="46">
        <v>568.375</v>
      </c>
      <c r="H35" s="7">
        <f t="shared" si="1"/>
        <v>564004.79999999993</v>
      </c>
      <c r="I35" s="68"/>
      <c r="J35" s="63"/>
    </row>
    <row r="36" spans="1:10" s="55" customFormat="1">
      <c r="A36" s="6" t="s">
        <v>49</v>
      </c>
      <c r="B36" s="2" t="s">
        <v>16</v>
      </c>
      <c r="C36" s="2">
        <v>51097635</v>
      </c>
      <c r="D36" s="2" t="s">
        <v>37</v>
      </c>
      <c r="E36" s="2">
        <v>4800</v>
      </c>
      <c r="F36" s="46">
        <v>48.423999999999999</v>
      </c>
      <c r="G36" s="46">
        <v>48.441000000000003</v>
      </c>
      <c r="H36" s="7">
        <f t="shared" si="1"/>
        <v>81.600000000014461</v>
      </c>
      <c r="I36" s="68"/>
      <c r="J36" s="63"/>
    </row>
    <row r="37" spans="1:10" s="55" customFormat="1">
      <c r="A37" s="6" t="s">
        <v>50</v>
      </c>
      <c r="B37" s="2" t="s">
        <v>16</v>
      </c>
      <c r="C37" s="8">
        <v>51097633</v>
      </c>
      <c r="D37" s="2" t="s">
        <v>37</v>
      </c>
      <c r="E37" s="2">
        <v>4800</v>
      </c>
      <c r="F37" s="46">
        <v>91.781000000000006</v>
      </c>
      <c r="G37" s="46">
        <v>118.34699999999999</v>
      </c>
      <c r="H37" s="37">
        <f t="shared" si="1"/>
        <v>127516.79999999994</v>
      </c>
      <c r="I37" s="96"/>
      <c r="J37" s="97"/>
    </row>
    <row r="38" spans="1:10" s="55" customFormat="1">
      <c r="A38" s="6" t="s">
        <v>51</v>
      </c>
      <c r="B38" s="2" t="s">
        <v>16</v>
      </c>
      <c r="C38" s="8">
        <v>51097662</v>
      </c>
      <c r="D38" s="2" t="s">
        <v>37</v>
      </c>
      <c r="E38" s="2">
        <v>4800</v>
      </c>
      <c r="F38" s="46">
        <v>0.14599999999999999</v>
      </c>
      <c r="G38" s="46">
        <v>2.206</v>
      </c>
      <c r="H38" s="37">
        <f t="shared" si="1"/>
        <v>9888</v>
      </c>
      <c r="I38" s="96"/>
      <c r="J38" s="97"/>
    </row>
    <row r="39" spans="1:10" s="55" customFormat="1">
      <c r="A39" s="343" t="s">
        <v>52</v>
      </c>
      <c r="B39" s="351"/>
      <c r="C39" s="8"/>
      <c r="D39" s="8"/>
      <c r="E39" s="8"/>
      <c r="F39" s="70"/>
      <c r="G39" s="46"/>
      <c r="H39" s="98">
        <f>H25+H26+H27+H28+H29+H30+H31+H32+H33+H34+H35+H36+H37+H38</f>
        <v>2142928.2000000002</v>
      </c>
      <c r="I39" s="96"/>
      <c r="J39" s="97"/>
    </row>
    <row r="40" spans="1:10" s="55" customFormat="1">
      <c r="A40" s="99"/>
      <c r="B40" s="100" t="s">
        <v>53</v>
      </c>
      <c r="C40" s="93"/>
      <c r="D40" s="101"/>
      <c r="E40" s="102"/>
      <c r="F40" s="102"/>
      <c r="G40" s="102"/>
      <c r="H40" s="102"/>
      <c r="I40" s="103"/>
      <c r="J40" s="40"/>
    </row>
    <row r="41" spans="1:10" s="55" customFormat="1">
      <c r="A41" s="1" t="s">
        <v>54</v>
      </c>
      <c r="B41" s="2" t="s">
        <v>16</v>
      </c>
      <c r="C41" s="2">
        <v>51100990</v>
      </c>
      <c r="D41" s="2" t="s">
        <v>25</v>
      </c>
      <c r="E41" s="2">
        <v>21000</v>
      </c>
      <c r="F41" s="263">
        <v>533.43899999999996</v>
      </c>
      <c r="G41" s="263">
        <v>622.87300000000005</v>
      </c>
      <c r="H41" s="7">
        <f>(G41-F41)*E41</f>
        <v>1878114.0000000016</v>
      </c>
      <c r="I41" s="62"/>
      <c r="J41" s="63"/>
    </row>
    <row r="42" spans="1:10" s="55" customFormat="1">
      <c r="A42" s="1" t="s">
        <v>55</v>
      </c>
      <c r="B42" s="2" t="s">
        <v>16</v>
      </c>
      <c r="C42" s="2">
        <v>51097622</v>
      </c>
      <c r="D42" s="2" t="s">
        <v>25</v>
      </c>
      <c r="E42" s="2">
        <v>21000</v>
      </c>
      <c r="F42" s="247">
        <v>2.3290000000000002</v>
      </c>
      <c r="G42" s="247">
        <v>2.7389999999999999</v>
      </c>
      <c r="H42" s="7">
        <f>(G42-F42)*E42</f>
        <v>8609.9999999999945</v>
      </c>
      <c r="I42" s="62"/>
      <c r="J42" s="63"/>
    </row>
    <row r="43" spans="1:10" s="55" customFormat="1">
      <c r="A43" s="1" t="s">
        <v>56</v>
      </c>
      <c r="B43" s="2"/>
      <c r="C43" s="2"/>
      <c r="D43" s="2"/>
      <c r="E43" s="2"/>
      <c r="F43" s="247"/>
      <c r="G43" s="247"/>
      <c r="H43" s="7">
        <v>5169.5100000000048</v>
      </c>
      <c r="I43" s="62"/>
      <c r="J43" s="63"/>
    </row>
    <row r="44" spans="1:10" s="55" customFormat="1">
      <c r="A44" s="104" t="s">
        <v>57</v>
      </c>
      <c r="B44" s="105"/>
      <c r="C44" s="2"/>
      <c r="D44" s="2"/>
      <c r="E44" s="2"/>
      <c r="F44" s="70"/>
      <c r="G44" s="70"/>
      <c r="H44" s="93">
        <f>(H41+H42)-H43</f>
        <v>1881554.4900000016</v>
      </c>
      <c r="I44" s="106">
        <f>H44-H47</f>
        <v>8550.490000000922</v>
      </c>
      <c r="J44" s="13">
        <f>I44/H44</f>
        <v>4.5443754328905539E-3</v>
      </c>
    </row>
    <row r="45" spans="1:10" s="55" customFormat="1">
      <c r="A45" s="1" t="s">
        <v>58</v>
      </c>
      <c r="B45" s="2" t="s">
        <v>16</v>
      </c>
      <c r="C45" s="2">
        <v>51217284</v>
      </c>
      <c r="D45" s="3" t="s">
        <v>37</v>
      </c>
      <c r="E45" s="2">
        <v>28000</v>
      </c>
      <c r="F45" s="247">
        <v>398.75</v>
      </c>
      <c r="G45" s="247">
        <v>465.61200000000002</v>
      </c>
      <c r="H45" s="7">
        <f>(G45-F45)*E45</f>
        <v>1872136.0000000007</v>
      </c>
      <c r="I45" s="106"/>
      <c r="J45" s="13"/>
    </row>
    <row r="46" spans="1:10" s="55" customFormat="1">
      <c r="A46" s="1" t="s">
        <v>59</v>
      </c>
      <c r="B46" s="2" t="s">
        <v>16</v>
      </c>
      <c r="C46" s="2">
        <v>51097647</v>
      </c>
      <c r="D46" s="3" t="s">
        <v>37</v>
      </c>
      <c r="E46" s="2">
        <v>28000</v>
      </c>
      <c r="F46" s="247">
        <v>0.91</v>
      </c>
      <c r="G46" s="247">
        <v>0.94099999999999995</v>
      </c>
      <c r="H46" s="7">
        <f>(G46-F46)*E46</f>
        <v>867.99999999999761</v>
      </c>
      <c r="I46" s="106"/>
      <c r="J46" s="13"/>
    </row>
    <row r="47" spans="1:10" s="55" customFormat="1">
      <c r="A47" s="104" t="s">
        <v>60</v>
      </c>
      <c r="B47" s="105"/>
      <c r="C47" s="2"/>
      <c r="D47" s="2"/>
      <c r="E47" s="2"/>
      <c r="F47" s="247"/>
      <c r="G47" s="247"/>
      <c r="H47" s="93">
        <f>H45+H46</f>
        <v>1873004.0000000007</v>
      </c>
      <c r="I47" s="106"/>
      <c r="J47" s="13"/>
    </row>
    <row r="48" spans="1:10" s="55" customFormat="1">
      <c r="A48" s="6" t="s">
        <v>61</v>
      </c>
      <c r="B48" s="2" t="s">
        <v>16</v>
      </c>
      <c r="C48" s="2">
        <v>51431353</v>
      </c>
      <c r="D48" s="2" t="s">
        <v>33</v>
      </c>
      <c r="E48" s="2">
        <v>18000</v>
      </c>
      <c r="F48" s="247">
        <v>613.79</v>
      </c>
      <c r="G48" s="247">
        <v>716.01499999999999</v>
      </c>
      <c r="H48" s="7">
        <f>(G48-F48)*E48</f>
        <v>1840050.0000000005</v>
      </c>
      <c r="I48" s="62"/>
      <c r="J48" s="63"/>
    </row>
    <row r="49" spans="1:252" s="55" customFormat="1">
      <c r="A49" s="6" t="s">
        <v>62</v>
      </c>
      <c r="B49" s="2" t="s">
        <v>16</v>
      </c>
      <c r="C49" s="2">
        <v>51100982</v>
      </c>
      <c r="D49" s="2" t="s">
        <v>33</v>
      </c>
      <c r="E49" s="2">
        <v>18000</v>
      </c>
      <c r="F49" s="247">
        <v>1.72</v>
      </c>
      <c r="G49" s="247">
        <v>1.7649999999999999</v>
      </c>
      <c r="H49" s="7">
        <f>(G49-F49)*E49</f>
        <v>809.99999999999875</v>
      </c>
      <c r="I49" s="62"/>
      <c r="J49" s="63"/>
    </row>
    <row r="50" spans="1:252" s="55" customFormat="1">
      <c r="A50" s="6" t="s">
        <v>63</v>
      </c>
      <c r="B50" s="2" t="s">
        <v>64</v>
      </c>
      <c r="C50" s="2">
        <v>50634112</v>
      </c>
      <c r="D50" s="3"/>
      <c r="E50" s="2">
        <v>20</v>
      </c>
      <c r="F50" s="247">
        <v>1228.74</v>
      </c>
      <c r="G50" s="247">
        <v>1831.1279999999999</v>
      </c>
      <c r="H50" s="7">
        <f>(G50-F50)*E50</f>
        <v>12047.759999999998</v>
      </c>
      <c r="I50" s="62"/>
      <c r="J50" s="63"/>
    </row>
    <row r="51" spans="1:252" s="55" customFormat="1">
      <c r="A51" s="6" t="s">
        <v>65</v>
      </c>
      <c r="B51" s="2" t="s">
        <v>64</v>
      </c>
      <c r="C51" s="2">
        <v>51529821</v>
      </c>
      <c r="D51" s="3"/>
      <c r="E51" s="2">
        <v>20</v>
      </c>
      <c r="F51" s="247">
        <v>4.6825000000000001</v>
      </c>
      <c r="G51" s="247">
        <v>4.8620000000000001</v>
      </c>
      <c r="H51" s="7">
        <f>(G51-F51)*E51</f>
        <v>3.59</v>
      </c>
      <c r="I51" s="62"/>
      <c r="J51" s="63"/>
    </row>
    <row r="52" spans="1:252" s="55" customFormat="1">
      <c r="A52" s="346" t="s">
        <v>35</v>
      </c>
      <c r="B52" s="347"/>
      <c r="C52" s="2"/>
      <c r="D52" s="2"/>
      <c r="E52" s="2"/>
      <c r="F52" s="247"/>
      <c r="G52" s="247"/>
      <c r="H52" s="93">
        <f>H48+H49+H50+H51</f>
        <v>1852911.3500000006</v>
      </c>
      <c r="I52" s="106">
        <f>H52-H55-H50-H51</f>
        <v>6024.0000000007931</v>
      </c>
      <c r="J52" s="13">
        <f>I52/H52</f>
        <v>3.251099951436312E-3</v>
      </c>
    </row>
    <row r="53" spans="1:252" s="55" customFormat="1">
      <c r="A53" s="6" t="s">
        <v>66</v>
      </c>
      <c r="B53" s="2" t="s">
        <v>16</v>
      </c>
      <c r="C53" s="2">
        <v>51431356</v>
      </c>
      <c r="D53" s="3" t="s">
        <v>67</v>
      </c>
      <c r="E53" s="2">
        <v>12000</v>
      </c>
      <c r="F53" s="247">
        <v>914.31</v>
      </c>
      <c r="G53" s="247">
        <v>1067.2149999999999</v>
      </c>
      <c r="H53" s="7">
        <f>(G53-F53)*E53</f>
        <v>1834859.9999999998</v>
      </c>
      <c r="I53" s="62"/>
      <c r="J53" s="63"/>
    </row>
    <row r="54" spans="1:252" s="55" customFormat="1">
      <c r="A54" s="6" t="s">
        <v>68</v>
      </c>
      <c r="B54" s="2" t="s">
        <v>16</v>
      </c>
      <c r="C54" s="2">
        <v>51431337</v>
      </c>
      <c r="D54" s="3" t="s">
        <v>67</v>
      </c>
      <c r="E54" s="2">
        <v>12000</v>
      </c>
      <c r="F54" s="247">
        <v>9.25</v>
      </c>
      <c r="G54" s="247">
        <v>9.2479999999999993</v>
      </c>
      <c r="H54" s="7">
        <f>(G54-F54)*E54</f>
        <v>-24.000000000008015</v>
      </c>
      <c r="I54" s="62"/>
      <c r="J54" s="63"/>
    </row>
    <row r="55" spans="1:252" s="55" customFormat="1">
      <c r="A55" s="346" t="s">
        <v>52</v>
      </c>
      <c r="B55" s="347"/>
      <c r="C55" s="2"/>
      <c r="D55" s="2"/>
      <c r="E55" s="2"/>
      <c r="F55" s="247"/>
      <c r="G55" s="247"/>
      <c r="H55" s="100">
        <f>H53+H54</f>
        <v>1834835.9999999998</v>
      </c>
      <c r="I55" s="62"/>
      <c r="J55" s="63"/>
    </row>
    <row r="56" spans="1:252" s="55" customFormat="1">
      <c r="A56" s="103"/>
      <c r="B56" s="103"/>
      <c r="C56" s="103"/>
      <c r="D56" s="156" t="s">
        <v>69</v>
      </c>
      <c r="E56" s="103"/>
      <c r="F56" s="103"/>
      <c r="G56" s="103"/>
      <c r="H56" s="103"/>
      <c r="I56" s="103"/>
      <c r="J56" s="103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  <c r="AA56" s="253"/>
      <c r="AB56" s="253"/>
      <c r="AC56" s="253"/>
      <c r="AD56" s="253"/>
      <c r="AE56" s="253"/>
      <c r="AF56" s="253"/>
      <c r="AG56" s="253"/>
      <c r="AH56" s="253"/>
      <c r="AI56" s="253"/>
      <c r="AJ56" s="253"/>
      <c r="AK56" s="253"/>
      <c r="AL56" s="253"/>
      <c r="AM56" s="253"/>
      <c r="AN56" s="253"/>
      <c r="AO56" s="253"/>
      <c r="AP56" s="253"/>
      <c r="AQ56" s="253"/>
      <c r="AR56" s="253"/>
      <c r="AS56" s="253"/>
      <c r="AT56" s="253"/>
      <c r="AU56" s="253"/>
      <c r="AV56" s="253"/>
      <c r="AW56" s="253"/>
      <c r="AX56" s="253"/>
      <c r="AY56" s="253"/>
      <c r="AZ56" s="253"/>
      <c r="BA56" s="253"/>
      <c r="BB56" s="253"/>
      <c r="BC56" s="253"/>
      <c r="BD56" s="253"/>
      <c r="BE56" s="253"/>
      <c r="BF56" s="253"/>
      <c r="BG56" s="253"/>
      <c r="BH56" s="253"/>
      <c r="BI56" s="253"/>
      <c r="BJ56" s="253"/>
      <c r="BK56" s="253"/>
      <c r="BL56" s="253"/>
      <c r="BM56" s="253"/>
      <c r="BN56" s="253"/>
      <c r="BO56" s="253"/>
      <c r="BP56" s="253"/>
      <c r="BQ56" s="253"/>
      <c r="BR56" s="253"/>
      <c r="BS56" s="253"/>
      <c r="BT56" s="253"/>
      <c r="BU56" s="253"/>
      <c r="BV56" s="253"/>
      <c r="BW56" s="253"/>
      <c r="BX56" s="253"/>
      <c r="BY56" s="253"/>
      <c r="BZ56" s="253"/>
      <c r="CA56" s="253"/>
      <c r="CB56" s="253"/>
      <c r="CC56" s="253"/>
      <c r="CD56" s="253"/>
      <c r="CE56" s="253"/>
      <c r="CF56" s="253"/>
      <c r="CG56" s="253"/>
      <c r="CH56" s="253"/>
      <c r="CI56" s="253"/>
      <c r="CJ56" s="253"/>
      <c r="CK56" s="253"/>
      <c r="CL56" s="253"/>
      <c r="CM56" s="253"/>
      <c r="CN56" s="253"/>
      <c r="CO56" s="253"/>
      <c r="CP56" s="253"/>
      <c r="CQ56" s="253"/>
      <c r="CR56" s="253"/>
      <c r="CS56" s="253"/>
      <c r="CT56" s="253"/>
      <c r="CU56" s="253"/>
      <c r="CV56" s="253"/>
      <c r="CW56" s="253"/>
      <c r="CX56" s="253"/>
      <c r="CY56" s="253"/>
      <c r="CZ56" s="253"/>
      <c r="DA56" s="253"/>
      <c r="DB56" s="253"/>
      <c r="DC56" s="253"/>
      <c r="DD56" s="253"/>
      <c r="DE56" s="253"/>
      <c r="DF56" s="253"/>
      <c r="DG56" s="253"/>
      <c r="DH56" s="253"/>
      <c r="DI56" s="253"/>
      <c r="DJ56" s="253"/>
      <c r="DK56" s="253"/>
      <c r="DL56" s="253"/>
      <c r="DM56" s="253"/>
      <c r="DN56" s="253"/>
      <c r="DO56" s="253"/>
      <c r="DP56" s="253"/>
      <c r="DQ56" s="253"/>
      <c r="DR56" s="253"/>
      <c r="DS56" s="253"/>
      <c r="DT56" s="253"/>
      <c r="DU56" s="253"/>
      <c r="DV56" s="253"/>
      <c r="DW56" s="253"/>
      <c r="DX56" s="253"/>
      <c r="DY56" s="253"/>
      <c r="DZ56" s="253"/>
      <c r="EA56" s="253"/>
      <c r="EB56" s="253"/>
      <c r="EC56" s="253"/>
      <c r="ED56" s="253"/>
      <c r="EE56" s="253"/>
      <c r="EF56" s="253"/>
      <c r="EG56" s="253"/>
      <c r="EH56" s="253"/>
      <c r="EI56" s="253"/>
      <c r="EJ56" s="253"/>
      <c r="EK56" s="253"/>
      <c r="EL56" s="253"/>
      <c r="EM56" s="253"/>
      <c r="EN56" s="253"/>
      <c r="EO56" s="253"/>
      <c r="EP56" s="253"/>
      <c r="EQ56" s="253"/>
      <c r="ER56" s="253"/>
      <c r="ES56" s="253"/>
      <c r="ET56" s="253"/>
      <c r="EU56" s="253"/>
      <c r="EV56" s="253"/>
      <c r="EW56" s="253"/>
      <c r="EX56" s="253"/>
      <c r="EY56" s="253"/>
      <c r="EZ56" s="253"/>
      <c r="FA56" s="253"/>
      <c r="FB56" s="253"/>
      <c r="FC56" s="253"/>
      <c r="FD56" s="253"/>
      <c r="FE56" s="253"/>
      <c r="FF56" s="253"/>
      <c r="FG56" s="253"/>
      <c r="FH56" s="253"/>
      <c r="FI56" s="253"/>
      <c r="FJ56" s="253"/>
      <c r="FK56" s="253"/>
      <c r="FL56" s="253"/>
      <c r="FM56" s="253"/>
      <c r="FN56" s="253"/>
      <c r="FO56" s="253"/>
      <c r="FP56" s="253"/>
      <c r="FQ56" s="253"/>
      <c r="FR56" s="253"/>
      <c r="FS56" s="253"/>
      <c r="FT56" s="253"/>
      <c r="FU56" s="253"/>
      <c r="FV56" s="253"/>
      <c r="FW56" s="253"/>
      <c r="FX56" s="253"/>
      <c r="FY56" s="253"/>
      <c r="FZ56" s="253"/>
      <c r="GA56" s="254"/>
      <c r="GB56" s="254"/>
      <c r="GC56" s="254"/>
      <c r="GD56" s="254"/>
      <c r="GE56" s="254"/>
      <c r="GF56" s="254"/>
      <c r="GG56" s="254"/>
      <c r="GH56" s="254"/>
      <c r="GI56" s="254"/>
      <c r="GJ56" s="254"/>
      <c r="GK56" s="254"/>
      <c r="GL56" s="254"/>
      <c r="GM56" s="254"/>
      <c r="GN56" s="254"/>
      <c r="GO56" s="254"/>
      <c r="GP56" s="254"/>
      <c r="GQ56" s="254"/>
      <c r="GR56" s="254"/>
      <c r="GS56" s="254"/>
      <c r="GT56" s="254"/>
      <c r="GU56" s="254"/>
      <c r="GV56" s="254"/>
      <c r="GW56" s="254"/>
      <c r="GX56" s="254"/>
      <c r="GY56" s="254"/>
      <c r="GZ56" s="254"/>
      <c r="HA56" s="254"/>
      <c r="HB56" s="254"/>
      <c r="HC56" s="254"/>
      <c r="HD56" s="254"/>
      <c r="HE56" s="254"/>
      <c r="HF56" s="254"/>
      <c r="HG56" s="254"/>
      <c r="HH56" s="254"/>
      <c r="HI56" s="254"/>
      <c r="HJ56" s="254"/>
      <c r="HK56" s="254"/>
      <c r="HL56" s="254"/>
      <c r="HM56" s="254"/>
      <c r="HN56" s="254"/>
      <c r="HO56" s="254"/>
      <c r="HP56" s="254"/>
      <c r="HQ56" s="254"/>
      <c r="HR56" s="254"/>
      <c r="HS56" s="254"/>
      <c r="HT56" s="254"/>
      <c r="HU56" s="254"/>
      <c r="HV56" s="254"/>
      <c r="HW56" s="254"/>
      <c r="HX56" s="254"/>
      <c r="HY56" s="254"/>
      <c r="HZ56" s="254"/>
      <c r="IA56" s="254"/>
      <c r="IB56" s="254"/>
      <c r="IC56" s="254"/>
      <c r="ID56" s="254"/>
      <c r="IE56" s="254"/>
      <c r="IF56" s="254"/>
      <c r="IG56" s="254"/>
      <c r="IH56" s="254"/>
      <c r="II56" s="254"/>
      <c r="IJ56" s="254"/>
      <c r="IK56" s="254"/>
      <c r="IL56" s="254"/>
      <c r="IM56" s="254"/>
      <c r="IN56" s="254"/>
      <c r="IO56" s="254"/>
      <c r="IP56" s="254"/>
      <c r="IQ56" s="254"/>
      <c r="IR56" s="254"/>
    </row>
    <row r="57" spans="1:252" s="55" customFormat="1">
      <c r="A57" s="35" t="s">
        <v>70</v>
      </c>
      <c r="B57" s="2" t="s">
        <v>71</v>
      </c>
      <c r="C57" s="2">
        <v>51555209</v>
      </c>
      <c r="D57" s="2" t="s">
        <v>72</v>
      </c>
      <c r="E57" s="2">
        <v>7000</v>
      </c>
      <c r="F57" s="287">
        <v>2.9750000000000001</v>
      </c>
      <c r="G57" s="287">
        <v>4.5659999999999998</v>
      </c>
      <c r="H57" s="107">
        <f>(G57-F57)*E57</f>
        <v>11136.999999999998</v>
      </c>
      <c r="I57" s="108"/>
      <c r="J57" s="109"/>
    </row>
    <row r="58" spans="1:252" s="55" customFormat="1">
      <c r="A58" s="6" t="s">
        <v>73</v>
      </c>
      <c r="B58" s="2" t="s">
        <v>71</v>
      </c>
      <c r="C58" s="2">
        <v>51555209</v>
      </c>
      <c r="D58" s="2" t="s">
        <v>72</v>
      </c>
      <c r="E58" s="2">
        <v>7000</v>
      </c>
      <c r="F58" s="247">
        <v>7.96</v>
      </c>
      <c r="G58" s="247">
        <v>9.2159999999999993</v>
      </c>
      <c r="H58" s="7">
        <f>(G58-F58)*E58</f>
        <v>8791.9999999999945</v>
      </c>
      <c r="I58" s="38"/>
      <c r="J58" s="63"/>
    </row>
    <row r="59" spans="1:252" s="55" customFormat="1">
      <c r="A59" s="9" t="s">
        <v>74</v>
      </c>
      <c r="B59" s="10"/>
      <c r="C59" s="10"/>
      <c r="D59" s="10"/>
      <c r="E59" s="10"/>
      <c r="F59" s="247"/>
      <c r="G59" s="247"/>
      <c r="H59" s="19"/>
      <c r="I59" s="38"/>
      <c r="J59" s="63"/>
    </row>
    <row r="60" spans="1:252" s="55" customFormat="1">
      <c r="A60" s="1" t="s">
        <v>75</v>
      </c>
      <c r="B60" s="2" t="s">
        <v>71</v>
      </c>
      <c r="C60" s="2">
        <v>51097674</v>
      </c>
      <c r="D60" s="2" t="s">
        <v>17</v>
      </c>
      <c r="E60" s="2">
        <v>7200</v>
      </c>
      <c r="F60" s="247">
        <v>450.346</v>
      </c>
      <c r="G60" s="247">
        <v>529.69600000000003</v>
      </c>
      <c r="H60" s="7">
        <f>(G60-F60)*E60</f>
        <v>571320.00000000012</v>
      </c>
      <c r="I60" s="66"/>
      <c r="J60" s="63"/>
    </row>
    <row r="61" spans="1:252" s="55" customFormat="1">
      <c r="A61" s="1" t="s">
        <v>76</v>
      </c>
      <c r="B61" s="2" t="s">
        <v>71</v>
      </c>
      <c r="C61" s="2">
        <v>51259257</v>
      </c>
      <c r="D61" s="2" t="s">
        <v>17</v>
      </c>
      <c r="E61" s="2">
        <v>7200</v>
      </c>
      <c r="F61" s="247">
        <v>1.0549999999999999</v>
      </c>
      <c r="G61" s="247">
        <v>1.0549999999999999</v>
      </c>
      <c r="H61" s="7">
        <f>(G61-F61)*E61</f>
        <v>0</v>
      </c>
      <c r="I61" s="38"/>
      <c r="J61" s="63"/>
    </row>
    <row r="62" spans="1:252" s="55" customFormat="1">
      <c r="A62" s="9" t="s">
        <v>77</v>
      </c>
      <c r="B62" s="2"/>
      <c r="C62" s="2"/>
      <c r="D62" s="2"/>
      <c r="E62" s="2"/>
      <c r="F62" s="247"/>
      <c r="G62" s="247"/>
      <c r="H62" s="11">
        <f>H60+H61</f>
        <v>571320.00000000012</v>
      </c>
      <c r="I62" s="94">
        <f>H62-H70</f>
        <v>-2655.5999999999767</v>
      </c>
      <c r="J62" s="13">
        <f>I62/H62</f>
        <v>-4.6481831547993705E-3</v>
      </c>
    </row>
    <row r="63" spans="1:252" s="55" customFormat="1">
      <c r="A63" s="6" t="s">
        <v>78</v>
      </c>
      <c r="B63" s="2"/>
      <c r="C63" s="2"/>
      <c r="D63" s="2"/>
      <c r="E63" s="2"/>
      <c r="F63"/>
      <c r="G63"/>
      <c r="H63" s="7"/>
      <c r="I63" s="38"/>
      <c r="J63" s="63"/>
    </row>
    <row r="64" spans="1:252" s="55" customFormat="1">
      <c r="A64" s="1" t="s">
        <v>79</v>
      </c>
      <c r="B64" s="2" t="s">
        <v>71</v>
      </c>
      <c r="C64" s="8">
        <v>51097648</v>
      </c>
      <c r="D64" s="2" t="s">
        <v>72</v>
      </c>
      <c r="E64" s="2">
        <v>1200</v>
      </c>
      <c r="F64" s="247">
        <v>367.62099999999998</v>
      </c>
      <c r="G64" s="247">
        <v>433.80200000000002</v>
      </c>
      <c r="H64" s="37">
        <f>(G64-F64)*E64</f>
        <v>79417.200000000041</v>
      </c>
      <c r="I64" s="38"/>
      <c r="J64" s="63"/>
    </row>
    <row r="65" spans="1:11" s="55" customFormat="1">
      <c r="A65" s="1" t="s">
        <v>80</v>
      </c>
      <c r="B65" s="2" t="s">
        <v>71</v>
      </c>
      <c r="C65" s="8">
        <v>50555043</v>
      </c>
      <c r="D65" s="2" t="s">
        <v>72</v>
      </c>
      <c r="E65" s="2">
        <v>1200</v>
      </c>
      <c r="F65" s="247">
        <v>1550.62</v>
      </c>
      <c r="G65" s="247">
        <v>1816.7629999999999</v>
      </c>
      <c r="H65" s="37">
        <f>(G65-F65)*E65</f>
        <v>319371.60000000003</v>
      </c>
      <c r="I65" s="38"/>
      <c r="J65" s="63"/>
    </row>
    <row r="66" spans="1:11" s="55" customFormat="1">
      <c r="A66" s="1" t="s">
        <v>81</v>
      </c>
      <c r="B66" s="2" t="s">
        <v>71</v>
      </c>
      <c r="C66" s="8">
        <v>51259336</v>
      </c>
      <c r="D66" s="2" t="s">
        <v>82</v>
      </c>
      <c r="E66" s="2">
        <v>2400</v>
      </c>
      <c r="F66" s="247">
        <v>3.33</v>
      </c>
      <c r="G66" s="247">
        <v>3.766</v>
      </c>
      <c r="H66" s="37">
        <f>(G66-F66)*E66</f>
        <v>1046.3999999999999</v>
      </c>
      <c r="I66" s="38"/>
      <c r="J66" s="63"/>
    </row>
    <row r="67" spans="1:11" s="55" customFormat="1">
      <c r="A67" s="1" t="s">
        <v>83</v>
      </c>
      <c r="B67" s="2" t="s">
        <v>71</v>
      </c>
      <c r="C67" s="8">
        <v>51259266</v>
      </c>
      <c r="D67" s="2" t="s">
        <v>72</v>
      </c>
      <c r="E67" s="2">
        <v>1200</v>
      </c>
      <c r="F67" s="247">
        <v>746.00400000000002</v>
      </c>
      <c r="G67" s="247">
        <v>880.06600000000003</v>
      </c>
      <c r="H67" s="37">
        <f>(G67-F67)*E67</f>
        <v>160874.40000000002</v>
      </c>
      <c r="I67" s="38"/>
      <c r="J67" s="63"/>
    </row>
    <row r="68" spans="1:11" s="55" customFormat="1">
      <c r="A68" s="1" t="s">
        <v>84</v>
      </c>
      <c r="B68" s="2" t="s">
        <v>71</v>
      </c>
      <c r="C68" s="8">
        <v>51431336</v>
      </c>
      <c r="D68" s="2" t="s">
        <v>72</v>
      </c>
      <c r="E68" s="2">
        <v>1200</v>
      </c>
      <c r="F68" s="247">
        <v>38.161999999999999</v>
      </c>
      <c r="G68" s="247">
        <v>48.8</v>
      </c>
      <c r="H68" s="37">
        <f>(G68-F68)*E68</f>
        <v>12765.599999999999</v>
      </c>
      <c r="I68" s="38"/>
      <c r="J68" s="63"/>
    </row>
    <row r="69" spans="1:11" s="55" customFormat="1">
      <c r="A69" s="6" t="s">
        <v>85</v>
      </c>
      <c r="B69" s="2" t="s">
        <v>86</v>
      </c>
      <c r="C69" s="2">
        <v>49174</v>
      </c>
      <c r="D69" s="2" t="s">
        <v>72</v>
      </c>
      <c r="E69" s="2">
        <v>20</v>
      </c>
      <c r="F69" s="18"/>
      <c r="G69" s="18"/>
      <c r="H69" s="7">
        <v>500.4</v>
      </c>
      <c r="I69" s="38"/>
      <c r="J69" s="63"/>
    </row>
    <row r="70" spans="1:11" s="55" customFormat="1">
      <c r="A70" s="9" t="s">
        <v>87</v>
      </c>
      <c r="B70" s="110"/>
      <c r="C70" s="110"/>
      <c r="D70" s="110"/>
      <c r="E70" s="110"/>
      <c r="F70" s="18"/>
      <c r="G70" s="18"/>
      <c r="H70" s="98">
        <f>H64+H65+H66+H67+H68+H69</f>
        <v>573975.60000000009</v>
      </c>
      <c r="I70" s="38"/>
      <c r="J70" s="39"/>
    </row>
    <row r="71" spans="1:11" s="55" customFormat="1">
      <c r="A71" s="362" t="s">
        <v>88</v>
      </c>
      <c r="B71" s="363"/>
      <c r="C71" s="363"/>
      <c r="D71" s="363"/>
      <c r="E71" s="363"/>
      <c r="F71" s="363"/>
      <c r="G71" s="306"/>
      <c r="H71" s="285"/>
      <c r="I71" s="285"/>
      <c r="J71" s="285"/>
    </row>
    <row r="72" spans="1:11" s="55" customFormat="1">
      <c r="A72" s="1" t="s">
        <v>83</v>
      </c>
      <c r="B72" s="2" t="s">
        <v>71</v>
      </c>
      <c r="C72" s="8">
        <v>51259266</v>
      </c>
      <c r="D72" s="2" t="s">
        <v>72</v>
      </c>
      <c r="E72" s="2">
        <v>1200</v>
      </c>
      <c r="F72" s="247">
        <v>746.00400000000002</v>
      </c>
      <c r="G72" s="247">
        <v>880.06600000000003</v>
      </c>
      <c r="H72" s="37">
        <f>(G72-F72)*E72</f>
        <v>160874.40000000002</v>
      </c>
      <c r="I72" s="38"/>
      <c r="J72" s="39"/>
    </row>
    <row r="73" spans="1:11" s="55" customFormat="1">
      <c r="A73" s="1" t="s">
        <v>84</v>
      </c>
      <c r="B73" s="2" t="s">
        <v>71</v>
      </c>
      <c r="C73" s="8">
        <v>51431336</v>
      </c>
      <c r="D73" s="2" t="s">
        <v>72</v>
      </c>
      <c r="E73" s="2">
        <v>1200</v>
      </c>
      <c r="F73" s="247">
        <v>38.161999999999999</v>
      </c>
      <c r="G73" s="247">
        <v>48.8</v>
      </c>
      <c r="H73" s="37">
        <f>(G73-F73)*E73</f>
        <v>12765.599999999999</v>
      </c>
      <c r="I73" s="38"/>
      <c r="J73" s="39"/>
    </row>
    <row r="74" spans="1:11" s="55" customFormat="1">
      <c r="A74" s="9" t="s">
        <v>87</v>
      </c>
      <c r="B74" s="110"/>
      <c r="C74" s="110"/>
      <c r="D74" s="110"/>
      <c r="E74" s="110"/>
      <c r="F74" s="18"/>
      <c r="G74" s="18"/>
      <c r="H74" s="98">
        <f>H72+H73</f>
        <v>173640.00000000003</v>
      </c>
      <c r="I74" s="38"/>
      <c r="J74" s="39"/>
    </row>
    <row r="75" spans="1:11" s="56" customFormat="1">
      <c r="A75" s="1" t="s">
        <v>89</v>
      </c>
      <c r="B75" s="2" t="s">
        <v>90</v>
      </c>
      <c r="C75" s="2">
        <v>7792105</v>
      </c>
      <c r="D75" s="2" t="s">
        <v>91</v>
      </c>
      <c r="E75" s="2">
        <v>1</v>
      </c>
      <c r="F75" s="111">
        <v>52638.1</v>
      </c>
      <c r="G75" s="111">
        <v>52835.3</v>
      </c>
      <c r="H75" s="7">
        <f t="shared" ref="H75:H82" si="2">(G75-F75)*E75</f>
        <v>197.20000000000437</v>
      </c>
      <c r="I75" s="38" t="s">
        <v>92</v>
      </c>
      <c r="J75" s="39"/>
    </row>
    <row r="76" spans="1:11" s="55" customFormat="1">
      <c r="A76" s="1" t="s">
        <v>93</v>
      </c>
      <c r="B76" s="2" t="s">
        <v>94</v>
      </c>
      <c r="C76" s="131" t="s">
        <v>95</v>
      </c>
      <c r="D76" s="2" t="s">
        <v>72</v>
      </c>
      <c r="E76" s="2">
        <v>20</v>
      </c>
      <c r="F76" s="247"/>
      <c r="G76" s="247"/>
      <c r="H76" s="7">
        <v>100</v>
      </c>
      <c r="I76" s="59"/>
      <c r="J76" s="63"/>
    </row>
    <row r="77" spans="1:11" s="55" customFormat="1">
      <c r="A77" s="1" t="s">
        <v>96</v>
      </c>
      <c r="B77" s="2" t="s">
        <v>97</v>
      </c>
      <c r="C77" s="131">
        <v>48872296</v>
      </c>
      <c r="D77" s="3" t="s">
        <v>25</v>
      </c>
      <c r="E77" s="2">
        <v>60</v>
      </c>
      <c r="F77" s="284">
        <v>3623.9</v>
      </c>
      <c r="G77" s="284">
        <v>3843.4</v>
      </c>
      <c r="H77" s="7">
        <f t="shared" si="2"/>
        <v>13170</v>
      </c>
      <c r="I77" s="68"/>
      <c r="J77" s="63"/>
    </row>
    <row r="78" spans="1:11" s="56" customFormat="1">
      <c r="A78" s="1" t="s">
        <v>98</v>
      </c>
      <c r="B78" s="3" t="s">
        <v>97</v>
      </c>
      <c r="C78" s="157" t="s">
        <v>99</v>
      </c>
      <c r="D78" s="2" t="s">
        <v>82</v>
      </c>
      <c r="E78" s="2">
        <v>40</v>
      </c>
      <c r="F78" s="111">
        <v>3977.1</v>
      </c>
      <c r="G78" s="111">
        <v>4426.2</v>
      </c>
      <c r="H78" s="7">
        <f t="shared" si="2"/>
        <v>17963.999999999996</v>
      </c>
      <c r="I78" s="59"/>
      <c r="J78" s="63"/>
    </row>
    <row r="79" spans="1:11" s="55" customFormat="1">
      <c r="A79" s="1" t="s">
        <v>100</v>
      </c>
      <c r="B79" s="2" t="s">
        <v>101</v>
      </c>
      <c r="C79" s="131" t="s">
        <v>102</v>
      </c>
      <c r="D79" s="2" t="s">
        <v>25</v>
      </c>
      <c r="E79" s="2">
        <v>60</v>
      </c>
      <c r="F79" s="247"/>
      <c r="G79" s="247"/>
      <c r="H79" s="7">
        <f t="shared" si="2"/>
        <v>0</v>
      </c>
      <c r="I79" s="59"/>
      <c r="J79" s="63"/>
      <c r="K79" s="76"/>
    </row>
    <row r="80" spans="1:11" s="245" customFormat="1">
      <c r="A80" s="1" t="s">
        <v>103</v>
      </c>
      <c r="B80" s="3" t="s">
        <v>104</v>
      </c>
      <c r="C80" s="3" t="s">
        <v>105</v>
      </c>
      <c r="D80" s="2" t="s">
        <v>25</v>
      </c>
      <c r="E80" s="2">
        <v>60</v>
      </c>
      <c r="F80" s="247">
        <v>14297.919</v>
      </c>
      <c r="G80" s="247">
        <v>14416.641</v>
      </c>
      <c r="H80" s="7">
        <f t="shared" si="2"/>
        <v>7123.3199999999852</v>
      </c>
      <c r="I80" s="59" t="s">
        <v>92</v>
      </c>
      <c r="J80" s="63"/>
    </row>
    <row r="81" spans="1:10" s="55" customFormat="1">
      <c r="A81" s="1" t="s">
        <v>106</v>
      </c>
      <c r="B81" s="2" t="s">
        <v>94</v>
      </c>
      <c r="C81" s="131" t="s">
        <v>107</v>
      </c>
      <c r="D81" s="2" t="s">
        <v>82</v>
      </c>
      <c r="E81" s="2">
        <v>40</v>
      </c>
      <c r="F81" s="247">
        <v>107793.8</v>
      </c>
      <c r="G81" s="247">
        <v>108307.6</v>
      </c>
      <c r="H81" s="7">
        <f t="shared" si="2"/>
        <v>20552.000000000116</v>
      </c>
      <c r="I81" s="59" t="s">
        <v>92</v>
      </c>
      <c r="J81" s="63"/>
    </row>
    <row r="82" spans="1:10" s="55" customFormat="1">
      <c r="A82" s="1" t="s">
        <v>108</v>
      </c>
      <c r="B82" s="2" t="s">
        <v>101</v>
      </c>
      <c r="C82" s="30" t="s">
        <v>109</v>
      </c>
      <c r="D82" s="2" t="s">
        <v>72</v>
      </c>
      <c r="E82" s="2">
        <v>20</v>
      </c>
      <c r="F82" s="247">
        <v>12806.12</v>
      </c>
      <c r="G82" s="247">
        <v>13767.17</v>
      </c>
      <c r="H82" s="7">
        <f t="shared" si="2"/>
        <v>19220.999999999985</v>
      </c>
      <c r="I82" s="59"/>
      <c r="J82" s="63"/>
    </row>
    <row r="83" spans="1:10" s="55" customFormat="1">
      <c r="A83" s="1" t="s">
        <v>110</v>
      </c>
      <c r="B83" s="2" t="s">
        <v>111</v>
      </c>
      <c r="C83" s="30">
        <v>8200</v>
      </c>
      <c r="D83" s="2" t="s">
        <v>25</v>
      </c>
      <c r="E83" s="2">
        <v>60</v>
      </c>
      <c r="F83" s="247">
        <v>25504</v>
      </c>
      <c r="G83" s="247">
        <v>25572.799999999999</v>
      </c>
      <c r="H83" s="7">
        <f>(G83-F83)*E83</f>
        <v>4127.9999999999563</v>
      </c>
      <c r="I83" s="38"/>
      <c r="J83" s="63"/>
    </row>
    <row r="84" spans="1:10" s="55" customFormat="1">
      <c r="A84" s="1" t="s">
        <v>112</v>
      </c>
      <c r="B84" s="2" t="s">
        <v>111</v>
      </c>
      <c r="C84" s="30">
        <v>654</v>
      </c>
      <c r="D84" s="3" t="s">
        <v>113</v>
      </c>
      <c r="E84" s="2">
        <v>50</v>
      </c>
      <c r="F84" s="247">
        <v>11945.5</v>
      </c>
      <c r="G84" s="247">
        <v>12278.9</v>
      </c>
      <c r="H84" s="7">
        <f>(G84-F84)*E84</f>
        <v>16669.999999999982</v>
      </c>
      <c r="I84" s="38"/>
      <c r="J84" s="63"/>
    </row>
    <row r="85" spans="1:10" s="55" customFormat="1">
      <c r="A85" s="1" t="s">
        <v>114</v>
      </c>
      <c r="B85" s="2" t="s">
        <v>115</v>
      </c>
      <c r="C85" s="30"/>
      <c r="D85" s="2"/>
      <c r="E85" s="2"/>
      <c r="F85" s="247"/>
      <c r="G85" s="247"/>
      <c r="H85" s="7">
        <v>200</v>
      </c>
      <c r="I85" s="38"/>
      <c r="J85" s="63"/>
    </row>
    <row r="86" spans="1:10" s="55" customFormat="1">
      <c r="A86" s="1" t="s">
        <v>116</v>
      </c>
      <c r="B86" s="2" t="s">
        <v>115</v>
      </c>
      <c r="C86" s="30"/>
      <c r="D86" s="2"/>
      <c r="E86" s="2"/>
      <c r="F86" s="247"/>
      <c r="G86" s="247"/>
      <c r="H86" s="7">
        <v>200</v>
      </c>
      <c r="I86" s="38"/>
      <c r="J86" s="63"/>
    </row>
    <row r="87" spans="1:10" s="55" customFormat="1">
      <c r="A87" s="1" t="s">
        <v>117</v>
      </c>
      <c r="B87" s="2" t="s">
        <v>115</v>
      </c>
      <c r="C87" s="30"/>
      <c r="D87" s="2"/>
      <c r="E87" s="2"/>
      <c r="F87" s="247"/>
      <c r="G87" s="247"/>
      <c r="H87" s="7">
        <v>200</v>
      </c>
      <c r="I87" s="38"/>
      <c r="J87" s="63"/>
    </row>
    <row r="88" spans="1:10" s="55" customFormat="1">
      <c r="A88" s="1" t="s">
        <v>118</v>
      </c>
      <c r="B88" s="2" t="s">
        <v>111</v>
      </c>
      <c r="C88" s="131">
        <v>7754</v>
      </c>
      <c r="D88" s="2" t="s">
        <v>25</v>
      </c>
      <c r="E88" s="2">
        <v>60</v>
      </c>
      <c r="F88" s="112">
        <v>19616.400000000001</v>
      </c>
      <c r="G88" s="112">
        <v>19616.400000000001</v>
      </c>
      <c r="H88" s="7">
        <f>(G88-F88)*E88</f>
        <v>0</v>
      </c>
      <c r="I88" s="38"/>
      <c r="J88" s="63"/>
    </row>
    <row r="89" spans="1:10" s="56" customFormat="1" ht="16.899999999999999" customHeight="1">
      <c r="A89" s="1" t="s">
        <v>119</v>
      </c>
      <c r="B89" s="3" t="s">
        <v>104</v>
      </c>
      <c r="C89" s="3" t="s">
        <v>120</v>
      </c>
      <c r="D89" s="2" t="s">
        <v>25</v>
      </c>
      <c r="E89" s="2">
        <v>60</v>
      </c>
      <c r="F89" s="247">
        <v>4739.7160000000003</v>
      </c>
      <c r="G89" s="247">
        <v>4860.0389999999998</v>
      </c>
      <c r="H89" s="7">
        <f>(G89-F89)*E89</f>
        <v>7219.3799999999646</v>
      </c>
      <c r="I89" s="38"/>
      <c r="J89" s="63"/>
    </row>
    <row r="90" spans="1:10" s="55" customFormat="1" ht="24" customHeight="1">
      <c r="A90" s="1" t="s">
        <v>121</v>
      </c>
      <c r="B90" s="2" t="s">
        <v>97</v>
      </c>
      <c r="C90" s="30">
        <v>48872437</v>
      </c>
      <c r="D90" s="2" t="s">
        <v>122</v>
      </c>
      <c r="E90" s="2">
        <v>40</v>
      </c>
      <c r="F90" s="247">
        <v>13381.7</v>
      </c>
      <c r="G90" s="247">
        <v>14187.8</v>
      </c>
      <c r="H90" s="7">
        <f>(G90-F90)*E90</f>
        <v>32243.999999999942</v>
      </c>
      <c r="I90" s="38"/>
      <c r="J90" s="63"/>
    </row>
    <row r="91" spans="1:10" s="55" customFormat="1" ht="24.75" customHeight="1" thickBot="1">
      <c r="A91" s="113" t="s">
        <v>123</v>
      </c>
      <c r="B91" s="20" t="s">
        <v>124</v>
      </c>
      <c r="C91" s="114">
        <v>33331</v>
      </c>
      <c r="D91" s="21" t="s">
        <v>125</v>
      </c>
      <c r="E91" s="20">
        <v>50</v>
      </c>
      <c r="F91" s="115"/>
      <c r="G91" s="115"/>
      <c r="H91" s="117">
        <f>(G91-F91)*E91</f>
        <v>0</v>
      </c>
      <c r="I91" s="116" t="s">
        <v>126</v>
      </c>
      <c r="J91" s="158"/>
    </row>
    <row r="92" spans="1:10" s="55" customFormat="1">
      <c r="A92" s="118" t="s">
        <v>92</v>
      </c>
      <c r="B92" s="307" t="s">
        <v>127</v>
      </c>
      <c r="C92" s="307"/>
      <c r="D92" s="307"/>
      <c r="E92" s="307"/>
      <c r="F92" s="307"/>
      <c r="G92" s="307"/>
      <c r="H92" s="25"/>
      <c r="I92" s="159"/>
      <c r="J92" s="160"/>
    </row>
    <row r="93" spans="1:10" s="55" customFormat="1">
      <c r="A93" s="1" t="s">
        <v>128</v>
      </c>
      <c r="B93" s="2" t="s">
        <v>16</v>
      </c>
      <c r="C93" s="2">
        <v>51097658</v>
      </c>
      <c r="D93" s="2" t="s">
        <v>37</v>
      </c>
      <c r="E93" s="2">
        <v>4800</v>
      </c>
      <c r="F93" s="46">
        <v>450.87400000000002</v>
      </c>
      <c r="G93" s="46">
        <v>568.375</v>
      </c>
      <c r="H93" s="7">
        <f>(G93-F93)*E93</f>
        <v>564004.79999999993</v>
      </c>
      <c r="I93" s="66"/>
      <c r="J93" s="63"/>
    </row>
    <row r="94" spans="1:10" s="55" customFormat="1">
      <c r="A94" s="1" t="s">
        <v>129</v>
      </c>
      <c r="B94" s="2" t="s">
        <v>16</v>
      </c>
      <c r="C94" s="2">
        <v>51097635</v>
      </c>
      <c r="D94" s="2" t="s">
        <v>37</v>
      </c>
      <c r="E94" s="2">
        <v>4800</v>
      </c>
      <c r="F94" s="46">
        <v>48.423999999999999</v>
      </c>
      <c r="G94" s="46">
        <v>48.441000000000003</v>
      </c>
      <c r="H94" s="7">
        <f>(G94-F94)*E94</f>
        <v>81.600000000014461</v>
      </c>
      <c r="I94" s="257"/>
      <c r="J94" s="63"/>
    </row>
    <row r="95" spans="1:10" s="55" customFormat="1">
      <c r="A95" s="343" t="s">
        <v>130</v>
      </c>
      <c r="B95" s="344"/>
      <c r="C95" s="14"/>
      <c r="D95" s="14"/>
      <c r="E95" s="14"/>
      <c r="F95" s="18"/>
      <c r="G95" s="18"/>
      <c r="H95" s="11">
        <f>H93+H94</f>
        <v>564086.39999999991</v>
      </c>
      <c r="I95" s="66"/>
      <c r="J95" s="143"/>
    </row>
    <row r="96" spans="1:10" s="55" customFormat="1">
      <c r="A96" s="1" t="s">
        <v>131</v>
      </c>
      <c r="B96" s="2" t="s">
        <v>132</v>
      </c>
      <c r="C96" s="2">
        <v>1192550</v>
      </c>
      <c r="D96" s="3" t="s">
        <v>17</v>
      </c>
      <c r="E96" s="2">
        <v>7200</v>
      </c>
      <c r="F96" s="247">
        <v>5683.9049999999997</v>
      </c>
      <c r="G96" s="247">
        <v>5760.933</v>
      </c>
      <c r="H96" s="7">
        <f>(G96-F96)*E96</f>
        <v>554601.60000000172</v>
      </c>
      <c r="I96" s="38"/>
      <c r="J96" s="39"/>
    </row>
    <row r="97" spans="1:10" s="55" customFormat="1">
      <c r="A97" s="1" t="s">
        <v>133</v>
      </c>
      <c r="B97" s="2" t="s">
        <v>132</v>
      </c>
      <c r="C97" s="2">
        <v>1192504</v>
      </c>
      <c r="D97" s="3" t="s">
        <v>17</v>
      </c>
      <c r="E97" s="2">
        <v>7200</v>
      </c>
      <c r="F97" s="247">
        <v>4737.1210000000001</v>
      </c>
      <c r="G97" s="247">
        <v>4737.1210000000001</v>
      </c>
      <c r="H97" s="7">
        <f>(G97-F97)*E97</f>
        <v>0</v>
      </c>
      <c r="I97" s="38"/>
      <c r="J97" s="143"/>
    </row>
    <row r="98" spans="1:10" s="55" customFormat="1">
      <c r="A98" s="343" t="s">
        <v>134</v>
      </c>
      <c r="B98" s="351"/>
      <c r="C98" s="2"/>
      <c r="D98" s="3"/>
      <c r="E98" s="2"/>
      <c r="F98" s="247"/>
      <c r="G98" s="247"/>
      <c r="H98" s="11">
        <f>H96+H97</f>
        <v>554601.60000000172</v>
      </c>
      <c r="I98" s="128">
        <f>H98-H108</f>
        <v>-1115.2079999967245</v>
      </c>
      <c r="J98" s="13">
        <f>I98/H95</f>
        <v>-1.9770162868608865E-3</v>
      </c>
    </row>
    <row r="99" spans="1:10" s="55" customFormat="1">
      <c r="A99" s="1" t="s">
        <v>135</v>
      </c>
      <c r="B99" s="2" t="s">
        <v>132</v>
      </c>
      <c r="C99" s="2">
        <v>1192554</v>
      </c>
      <c r="D99" s="3" t="s">
        <v>40</v>
      </c>
      <c r="E99" s="2">
        <v>600</v>
      </c>
      <c r="F99" s="247">
        <v>8867.5630000000001</v>
      </c>
      <c r="G99" s="247">
        <v>8938.31</v>
      </c>
      <c r="H99" s="7">
        <f t="shared" ref="H99:H106" si="3">(G99-F99)*E99</f>
        <v>42448.199999999633</v>
      </c>
      <c r="I99" s="38"/>
      <c r="J99" s="39"/>
    </row>
    <row r="100" spans="1:10" s="55" customFormat="1">
      <c r="A100" s="1" t="s">
        <v>136</v>
      </c>
      <c r="B100" s="2" t="s">
        <v>132</v>
      </c>
      <c r="C100" s="2">
        <v>1191501</v>
      </c>
      <c r="D100" s="3" t="s">
        <v>40</v>
      </c>
      <c r="E100" s="2">
        <v>600</v>
      </c>
      <c r="F100" s="247">
        <v>1005.981</v>
      </c>
      <c r="G100" s="247">
        <v>1078.769</v>
      </c>
      <c r="H100" s="7">
        <f t="shared" si="3"/>
        <v>43672.800000000003</v>
      </c>
      <c r="I100" s="38"/>
      <c r="J100" s="39"/>
    </row>
    <row r="101" spans="1:10" s="55" customFormat="1">
      <c r="A101" s="1" t="s">
        <v>137</v>
      </c>
      <c r="B101" s="2" t="s">
        <v>132</v>
      </c>
      <c r="C101" s="2">
        <v>1192526</v>
      </c>
      <c r="D101" s="3" t="s">
        <v>138</v>
      </c>
      <c r="E101" s="2">
        <v>1800</v>
      </c>
      <c r="F101" s="247">
        <v>13447.64</v>
      </c>
      <c r="G101" s="247">
        <v>13551.755999999999</v>
      </c>
      <c r="H101" s="7">
        <f t="shared" si="3"/>
        <v>187408.8</v>
      </c>
      <c r="I101" s="66"/>
      <c r="J101" s="65"/>
    </row>
    <row r="102" spans="1:10" s="55" customFormat="1">
      <c r="A102" s="1" t="s">
        <v>139</v>
      </c>
      <c r="B102" s="2" t="s">
        <v>132</v>
      </c>
      <c r="C102" s="2">
        <v>1192566</v>
      </c>
      <c r="D102" s="3" t="s">
        <v>138</v>
      </c>
      <c r="E102" s="2">
        <v>1800</v>
      </c>
      <c r="F102" s="247">
        <v>12465.413</v>
      </c>
      <c r="G102" s="247">
        <v>12559.884</v>
      </c>
      <c r="H102" s="7">
        <f t="shared" si="3"/>
        <v>170047.79999999917</v>
      </c>
      <c r="I102" s="38"/>
      <c r="J102" s="39"/>
    </row>
    <row r="103" spans="1:10" s="55" customFormat="1">
      <c r="A103" s="1" t="s">
        <v>140</v>
      </c>
      <c r="B103" s="2" t="s">
        <v>132</v>
      </c>
      <c r="C103" s="2">
        <v>1192577</v>
      </c>
      <c r="D103" s="3" t="s">
        <v>40</v>
      </c>
      <c r="E103" s="2">
        <v>600</v>
      </c>
      <c r="F103" s="247">
        <v>9202.8029999999999</v>
      </c>
      <c r="G103" s="247">
        <v>9347.0939999999991</v>
      </c>
      <c r="H103" s="7">
        <f t="shared" si="3"/>
        <v>86574.599999999555</v>
      </c>
      <c r="I103" s="38"/>
      <c r="J103" s="39"/>
    </row>
    <row r="104" spans="1:10" s="55" customFormat="1">
      <c r="A104" s="1" t="s">
        <v>141</v>
      </c>
      <c r="B104" s="2" t="s">
        <v>132</v>
      </c>
      <c r="C104" s="2">
        <v>1192508</v>
      </c>
      <c r="D104" s="3" t="s">
        <v>40</v>
      </c>
      <c r="E104" s="2">
        <v>600</v>
      </c>
      <c r="F104" s="247">
        <v>1796.49</v>
      </c>
      <c r="G104" s="247">
        <v>1797.4870000000001</v>
      </c>
      <c r="H104" s="7">
        <f t="shared" si="3"/>
        <v>598.20000000004256</v>
      </c>
      <c r="I104" s="38"/>
      <c r="J104" s="39"/>
    </row>
    <row r="105" spans="1:10" s="55" customFormat="1">
      <c r="A105" s="1" t="s">
        <v>142</v>
      </c>
      <c r="B105" s="2" t="s">
        <v>132</v>
      </c>
      <c r="C105" s="2">
        <v>1192513</v>
      </c>
      <c r="D105" s="3" t="s">
        <v>40</v>
      </c>
      <c r="E105" s="2">
        <v>600</v>
      </c>
      <c r="F105" s="247">
        <v>2687.65</v>
      </c>
      <c r="G105" s="247">
        <v>2688.2150000000001</v>
      </c>
      <c r="H105" s="7">
        <f t="shared" si="3"/>
        <v>339.00000000003274</v>
      </c>
      <c r="I105" s="38"/>
      <c r="J105" s="39"/>
    </row>
    <row r="106" spans="1:10" s="55" customFormat="1">
      <c r="A106" s="1" t="s">
        <v>143</v>
      </c>
      <c r="B106" s="2" t="s">
        <v>132</v>
      </c>
      <c r="C106" s="2">
        <v>1192503</v>
      </c>
      <c r="D106" s="3" t="s">
        <v>40</v>
      </c>
      <c r="E106" s="2">
        <v>600</v>
      </c>
      <c r="F106" s="247">
        <v>4547.3649999999998</v>
      </c>
      <c r="G106" s="247">
        <v>4570.25</v>
      </c>
      <c r="H106" s="7">
        <f t="shared" si="3"/>
        <v>13731.000000000131</v>
      </c>
      <c r="I106" s="38"/>
      <c r="J106" s="39"/>
    </row>
    <row r="107" spans="1:10" s="55" customFormat="1">
      <c r="A107" s="15" t="s">
        <v>144</v>
      </c>
      <c r="B107" s="16"/>
      <c r="C107" s="16"/>
      <c r="D107" s="17"/>
      <c r="E107" s="2"/>
      <c r="F107" s="18"/>
      <c r="G107" s="18"/>
      <c r="H107" s="19">
        <f>(H99+H100+H101+H102+H103+H104+H105+H106)*0.02</f>
        <v>10896.40799999997</v>
      </c>
      <c r="I107" s="59"/>
      <c r="J107" s="39"/>
    </row>
    <row r="108" spans="1:10" s="55" customFormat="1" ht="16.5" thickBot="1">
      <c r="A108" s="349" t="s">
        <v>145</v>
      </c>
      <c r="B108" s="350"/>
      <c r="C108" s="20"/>
      <c r="D108" s="21"/>
      <c r="E108" s="20"/>
      <c r="F108" s="22"/>
      <c r="G108" s="22"/>
      <c r="H108" s="23">
        <f xml:space="preserve"> H103+H104+H105+H106+H99+H100+H101+H102+H107</f>
        <v>555716.80799999845</v>
      </c>
      <c r="I108" s="161"/>
      <c r="J108" s="162"/>
    </row>
    <row r="109" spans="1:10" s="55" customFormat="1">
      <c r="A109" s="24"/>
      <c r="B109" s="129" t="s">
        <v>146</v>
      </c>
      <c r="C109" s="30"/>
      <c r="D109" s="30"/>
      <c r="E109" s="30"/>
      <c r="F109" s="30"/>
      <c r="G109" s="30"/>
      <c r="H109" s="25"/>
      <c r="I109" s="159"/>
      <c r="J109" s="163"/>
    </row>
    <row r="110" spans="1:10" s="55" customFormat="1">
      <c r="A110" s="1" t="s">
        <v>147</v>
      </c>
      <c r="B110" s="2" t="s">
        <v>132</v>
      </c>
      <c r="C110" s="2">
        <v>1192554</v>
      </c>
      <c r="D110" s="3" t="s">
        <v>40</v>
      </c>
      <c r="E110" s="2">
        <v>600</v>
      </c>
      <c r="F110" s="247">
        <v>8867.5630000000001</v>
      </c>
      <c r="G110" s="247">
        <v>8938.31</v>
      </c>
      <c r="H110" s="26">
        <f>(G110-F110)*E110</f>
        <v>42448.199999999633</v>
      </c>
      <c r="I110" s="59"/>
      <c r="J110" s="163"/>
    </row>
    <row r="111" spans="1:10" s="55" customFormat="1">
      <c r="A111" s="1" t="s">
        <v>136</v>
      </c>
      <c r="B111" s="2" t="s">
        <v>132</v>
      </c>
      <c r="C111" s="2">
        <v>1191501</v>
      </c>
      <c r="D111" s="3" t="s">
        <v>40</v>
      </c>
      <c r="E111" s="2">
        <v>600</v>
      </c>
      <c r="F111" s="247">
        <v>1005.981</v>
      </c>
      <c r="G111" s="247">
        <v>1078.769</v>
      </c>
      <c r="H111" s="7">
        <f>(G111-F111)*E111</f>
        <v>43672.800000000003</v>
      </c>
      <c r="I111" s="59"/>
      <c r="J111" s="164"/>
    </row>
    <row r="112" spans="1:10" s="55" customFormat="1">
      <c r="A112" s="1" t="s">
        <v>148</v>
      </c>
      <c r="B112" s="2" t="s">
        <v>132</v>
      </c>
      <c r="C112" s="2">
        <v>1192526</v>
      </c>
      <c r="D112" s="3" t="s">
        <v>138</v>
      </c>
      <c r="E112" s="2">
        <v>1800</v>
      </c>
      <c r="F112" s="247">
        <v>13447.64</v>
      </c>
      <c r="G112" s="247">
        <v>13551.755999999999</v>
      </c>
      <c r="H112" s="7">
        <f>(G112-F112)*E112</f>
        <v>187408.8</v>
      </c>
      <c r="I112" s="59"/>
      <c r="J112" s="40"/>
    </row>
    <row r="113" spans="1:11" s="55" customFormat="1">
      <c r="A113" s="1" t="s">
        <v>149</v>
      </c>
      <c r="B113" s="2" t="s">
        <v>132</v>
      </c>
      <c r="C113" s="2">
        <v>1192566</v>
      </c>
      <c r="D113" s="3" t="s">
        <v>138</v>
      </c>
      <c r="E113" s="2">
        <v>1800</v>
      </c>
      <c r="F113" s="247">
        <v>12465.413</v>
      </c>
      <c r="G113" s="247">
        <v>12559.884</v>
      </c>
      <c r="H113" s="7">
        <f>(G113-F113)*E113</f>
        <v>170047.79999999917</v>
      </c>
      <c r="I113" s="59"/>
      <c r="J113" s="164"/>
    </row>
    <row r="114" spans="1:11" s="55" customFormat="1">
      <c r="A114" s="346" t="s">
        <v>150</v>
      </c>
      <c r="B114" s="348"/>
      <c r="C114" s="348"/>
      <c r="D114" s="347"/>
      <c r="E114" s="2"/>
      <c r="F114" s="247"/>
      <c r="G114" s="247"/>
      <c r="H114" s="11">
        <f>H110+H111+H112+H113</f>
        <v>443577.59999999881</v>
      </c>
      <c r="I114" s="27">
        <f>H114-H120</f>
        <v>-3012.0800000017625</v>
      </c>
      <c r="J114" s="266">
        <f>I114/H114</f>
        <v>-6.7904240430575634E-3</v>
      </c>
    </row>
    <row r="115" spans="1:11" s="55" customFormat="1">
      <c r="A115" s="1" t="s">
        <v>151</v>
      </c>
      <c r="B115" s="2" t="s">
        <v>94</v>
      </c>
      <c r="C115" s="2" t="s">
        <v>152</v>
      </c>
      <c r="D115" s="2" t="s">
        <v>17</v>
      </c>
      <c r="E115" s="2">
        <v>120</v>
      </c>
      <c r="F115" s="247">
        <v>32632.799999999999</v>
      </c>
      <c r="G115" s="247">
        <v>32975</v>
      </c>
      <c r="H115" s="7">
        <f>(G115-F115)*E115</f>
        <v>41064.000000000087</v>
      </c>
      <c r="I115" s="59"/>
      <c r="J115" s="164"/>
    </row>
    <row r="116" spans="1:11" s="55" customFormat="1">
      <c r="A116" s="1" t="s">
        <v>153</v>
      </c>
      <c r="B116" s="2" t="s">
        <v>111</v>
      </c>
      <c r="C116" s="2">
        <v>179015</v>
      </c>
      <c r="D116" s="2" t="s">
        <v>17</v>
      </c>
      <c r="E116" s="2">
        <v>120</v>
      </c>
      <c r="F116" s="247">
        <v>62886.2</v>
      </c>
      <c r="G116" s="247">
        <v>63235.4</v>
      </c>
      <c r="H116" s="7">
        <f>(G116-F116)*E116</f>
        <v>41904.000000000524</v>
      </c>
      <c r="I116" s="59"/>
      <c r="J116" s="164"/>
    </row>
    <row r="117" spans="1:11" s="55" customFormat="1">
      <c r="A117" s="1" t="s">
        <v>154</v>
      </c>
      <c r="B117" s="2" t="s">
        <v>155</v>
      </c>
      <c r="C117" s="2">
        <v>102300964</v>
      </c>
      <c r="D117" s="2" t="s">
        <v>156</v>
      </c>
      <c r="E117" s="2">
        <v>400</v>
      </c>
      <c r="F117" s="247">
        <v>35214.199999999997</v>
      </c>
      <c r="G117" s="247">
        <v>35669.199999999997</v>
      </c>
      <c r="H117" s="7">
        <f>(G117-F117)*E117</f>
        <v>182000</v>
      </c>
      <c r="I117" s="84"/>
      <c r="J117" s="40"/>
    </row>
    <row r="118" spans="1:11" s="55" customFormat="1">
      <c r="A118" s="1" t="s">
        <v>157</v>
      </c>
      <c r="B118" s="2" t="s">
        <v>111</v>
      </c>
      <c r="C118" s="2">
        <v>1693</v>
      </c>
      <c r="D118" s="2" t="s">
        <v>156</v>
      </c>
      <c r="E118" s="2">
        <v>400</v>
      </c>
      <c r="F118" s="247">
        <v>104099.6</v>
      </c>
      <c r="G118" s="247">
        <v>104542.6</v>
      </c>
      <c r="H118" s="7">
        <f>(G118-F118)*E118</f>
        <v>177200</v>
      </c>
      <c r="I118" s="59"/>
      <c r="J118" s="164"/>
    </row>
    <row r="119" spans="1:11" s="55" customFormat="1">
      <c r="A119" s="15" t="s">
        <v>144</v>
      </c>
      <c r="B119" s="16"/>
      <c r="C119" s="16"/>
      <c r="D119" s="17"/>
      <c r="E119" s="2"/>
      <c r="F119" s="247"/>
      <c r="G119" s="247"/>
      <c r="H119" s="19">
        <f>(H115+H116+H117+H118)*0.01</f>
        <v>4421.6800000000057</v>
      </c>
      <c r="I119" s="59"/>
      <c r="J119" s="39"/>
    </row>
    <row r="120" spans="1:11" s="55" customFormat="1">
      <c r="A120" s="346" t="s">
        <v>158</v>
      </c>
      <c r="B120" s="348"/>
      <c r="C120" s="348"/>
      <c r="D120" s="347"/>
      <c r="E120" s="2"/>
      <c r="F120" s="247"/>
      <c r="G120" s="247"/>
      <c r="H120" s="11">
        <f>H115+H116+H117+H118+H119</f>
        <v>446589.68000000058</v>
      </c>
      <c r="I120" s="59"/>
      <c r="J120" s="39"/>
    </row>
    <row r="121" spans="1:11" s="55" customFormat="1">
      <c r="A121" s="28"/>
      <c r="B121" s="2"/>
      <c r="C121" s="2"/>
      <c r="D121" s="3"/>
      <c r="E121" s="2"/>
      <c r="F121" s="247"/>
      <c r="G121" s="247"/>
      <c r="H121" s="7"/>
      <c r="I121" s="59"/>
      <c r="J121" s="39"/>
    </row>
    <row r="122" spans="1:11" s="55" customFormat="1">
      <c r="A122" s="1" t="s">
        <v>159</v>
      </c>
      <c r="B122" s="2" t="s">
        <v>111</v>
      </c>
      <c r="C122" s="2">
        <v>150785</v>
      </c>
      <c r="D122" s="2">
        <v>0</v>
      </c>
      <c r="E122" s="2">
        <v>20</v>
      </c>
      <c r="F122" s="247">
        <v>100952.1</v>
      </c>
      <c r="G122" s="247">
        <v>100952.1</v>
      </c>
      <c r="H122" s="7">
        <f>(G122-F122)*E122</f>
        <v>0</v>
      </c>
      <c r="I122" s="59"/>
      <c r="J122" s="39"/>
    </row>
    <row r="123" spans="1:11" s="55" customFormat="1">
      <c r="A123" s="1" t="s">
        <v>160</v>
      </c>
      <c r="B123" s="2" t="s">
        <v>115</v>
      </c>
      <c r="C123" s="2"/>
      <c r="D123" s="2"/>
      <c r="E123" s="2"/>
      <c r="F123" s="18"/>
      <c r="G123" s="18"/>
      <c r="H123" s="7">
        <v>0</v>
      </c>
      <c r="I123" s="59"/>
      <c r="J123" s="39"/>
    </row>
    <row r="124" spans="1:11" s="55" customFormat="1" ht="16.5" thickBot="1">
      <c r="A124" s="31"/>
      <c r="B124" s="265"/>
      <c r="C124" s="265"/>
      <c r="D124" s="20"/>
      <c r="E124" s="20"/>
      <c r="F124" s="32"/>
      <c r="G124" s="32"/>
      <c r="H124" s="117"/>
      <c r="I124" s="165"/>
      <c r="J124" s="166"/>
    </row>
    <row r="125" spans="1:11" s="55" customFormat="1">
      <c r="A125" s="118" t="s">
        <v>92</v>
      </c>
      <c r="B125" s="308"/>
      <c r="C125" s="309"/>
      <c r="D125" s="309"/>
      <c r="E125" s="309"/>
      <c r="F125" s="310"/>
      <c r="G125" s="310"/>
      <c r="H125" s="25"/>
      <c r="I125" s="167"/>
      <c r="J125" s="168"/>
    </row>
    <row r="126" spans="1:11" s="55" customFormat="1">
      <c r="A126" s="6" t="s">
        <v>36</v>
      </c>
      <c r="B126" s="2" t="s">
        <v>16</v>
      </c>
      <c r="C126" s="2">
        <v>51217282</v>
      </c>
      <c r="D126" s="2" t="s">
        <v>37</v>
      </c>
      <c r="E126" s="2">
        <v>4800</v>
      </c>
      <c r="F126" s="247">
        <v>378.363</v>
      </c>
      <c r="G126" s="247">
        <v>379.21600000000001</v>
      </c>
      <c r="H126" s="7">
        <f>(G126-F126)*E126</f>
        <v>4094.4000000000415</v>
      </c>
      <c r="I126" s="38"/>
      <c r="J126" s="39"/>
    </row>
    <row r="127" spans="1:11" s="55" customFormat="1">
      <c r="A127" s="6" t="s">
        <v>38</v>
      </c>
      <c r="B127" s="2" t="s">
        <v>16</v>
      </c>
      <c r="C127" s="2">
        <v>51217274</v>
      </c>
      <c r="D127" s="2" t="s">
        <v>37</v>
      </c>
      <c r="E127" s="2">
        <v>4800</v>
      </c>
      <c r="F127" s="247">
        <v>980.78</v>
      </c>
      <c r="G127" s="247">
        <v>1173.4880000000001</v>
      </c>
      <c r="H127" s="7">
        <f>(G127-F127)*E127</f>
        <v>924998.40000000037</v>
      </c>
      <c r="I127" s="86"/>
      <c r="J127" s="65"/>
      <c r="K127" s="56"/>
    </row>
    <row r="128" spans="1:11" s="56" customFormat="1">
      <c r="A128" s="343" t="s">
        <v>161</v>
      </c>
      <c r="B128" s="344"/>
      <c r="C128" s="14"/>
      <c r="D128" s="14"/>
      <c r="E128" s="14"/>
      <c r="F128" s="18"/>
      <c r="G128" s="18"/>
      <c r="H128" s="11">
        <f>H126+H127</f>
        <v>929092.8000000004</v>
      </c>
      <c r="I128" s="12">
        <f>H128-H131</f>
        <v>6364.7999999976018</v>
      </c>
      <c r="J128" s="267">
        <f>I128/H128</f>
        <v>6.8505535722562906E-3</v>
      </c>
      <c r="K128" s="55"/>
    </row>
    <row r="129" spans="1:10" s="55" customFormat="1">
      <c r="A129" s="6" t="s">
        <v>162</v>
      </c>
      <c r="B129" s="2" t="s">
        <v>132</v>
      </c>
      <c r="C129" s="2">
        <v>1191504</v>
      </c>
      <c r="D129" s="2" t="s">
        <v>67</v>
      </c>
      <c r="E129" s="2">
        <v>12000</v>
      </c>
      <c r="F129" s="247">
        <v>10262.944</v>
      </c>
      <c r="G129" s="247">
        <v>10263.266</v>
      </c>
      <c r="H129" s="7">
        <f>(G129-F129)*E129</f>
        <v>3864.000000001397</v>
      </c>
      <c r="I129" s="169"/>
      <c r="J129" s="63"/>
    </row>
    <row r="130" spans="1:10" s="55" customFormat="1">
      <c r="A130" s="6" t="s">
        <v>163</v>
      </c>
      <c r="B130" s="2" t="s">
        <v>132</v>
      </c>
      <c r="C130" s="2">
        <v>1192562</v>
      </c>
      <c r="D130" s="2" t="s">
        <v>67</v>
      </c>
      <c r="E130" s="2">
        <v>12000</v>
      </c>
      <c r="F130" s="247">
        <v>6075.8869999999997</v>
      </c>
      <c r="G130" s="247">
        <v>6152.4589999999998</v>
      </c>
      <c r="H130" s="7">
        <f>(G130-F130)*E130</f>
        <v>918864.0000000014</v>
      </c>
      <c r="I130" s="169"/>
      <c r="J130" s="63"/>
    </row>
    <row r="131" spans="1:10" s="55" customFormat="1" ht="16.5" thickBot="1">
      <c r="A131" s="349" t="s">
        <v>164</v>
      </c>
      <c r="B131" s="350"/>
      <c r="C131" s="20"/>
      <c r="D131" s="20"/>
      <c r="E131" s="20"/>
      <c r="F131" s="22"/>
      <c r="G131" s="22"/>
      <c r="H131" s="23">
        <f>H129+H130</f>
        <v>922728.00000000279</v>
      </c>
      <c r="I131" s="170"/>
      <c r="J131" s="166"/>
    </row>
    <row r="132" spans="1:10" s="55" customFormat="1">
      <c r="A132" s="52" t="s">
        <v>165</v>
      </c>
      <c r="B132" s="345" t="s">
        <v>166</v>
      </c>
      <c r="C132" s="342"/>
      <c r="D132" s="342"/>
      <c r="E132" s="342"/>
      <c r="F132" s="342"/>
      <c r="G132" s="311"/>
      <c r="H132" s="119"/>
      <c r="I132" s="171"/>
      <c r="J132" s="120"/>
    </row>
    <row r="133" spans="1:10" s="55" customFormat="1">
      <c r="A133" s="1" t="s">
        <v>167</v>
      </c>
      <c r="B133" s="2" t="s">
        <v>168</v>
      </c>
      <c r="C133" s="2">
        <v>203605</v>
      </c>
      <c r="D133" s="2" t="s">
        <v>72</v>
      </c>
      <c r="E133" s="2">
        <v>2000</v>
      </c>
      <c r="F133" s="48">
        <v>5602.607</v>
      </c>
      <c r="G133" s="48">
        <v>5652.0919999999996</v>
      </c>
      <c r="H133" s="7">
        <f>(G133-F133)*E133</f>
        <v>98969.999999999345</v>
      </c>
      <c r="I133" s="64"/>
      <c r="J133" s="65"/>
    </row>
    <row r="134" spans="1:10" s="55" customFormat="1">
      <c r="A134" s="1" t="s">
        <v>56</v>
      </c>
      <c r="B134" s="2"/>
      <c r="C134" s="2"/>
      <c r="D134" s="2"/>
      <c r="F134" s="18"/>
      <c r="G134" s="18"/>
      <c r="H134" s="19">
        <v>44979.979999999974</v>
      </c>
      <c r="I134" s="64"/>
      <c r="J134" s="65"/>
    </row>
    <row r="135" spans="1:10" s="55" customFormat="1" ht="16.5" thickBot="1">
      <c r="A135" s="113" t="s">
        <v>169</v>
      </c>
      <c r="B135" s="121"/>
      <c r="C135" s="121"/>
      <c r="D135" s="121"/>
      <c r="E135" s="121"/>
      <c r="F135" s="22"/>
      <c r="G135" s="22"/>
      <c r="H135" s="122">
        <f>H133-H134</f>
        <v>53990.019999999371</v>
      </c>
      <c r="I135" s="172"/>
      <c r="J135" s="166"/>
    </row>
    <row r="136" spans="1:10" s="55" customFormat="1">
      <c r="A136" s="123" t="s">
        <v>170</v>
      </c>
      <c r="B136" s="311" t="s">
        <v>171</v>
      </c>
      <c r="C136" s="311"/>
      <c r="D136" s="311"/>
      <c r="E136" s="311"/>
      <c r="F136" s="311"/>
      <c r="G136" s="311"/>
      <c r="H136" s="119"/>
      <c r="I136" s="171"/>
      <c r="J136" s="173"/>
    </row>
    <row r="137" spans="1:10" s="55" customFormat="1">
      <c r="A137" s="1" t="s">
        <v>172</v>
      </c>
      <c r="B137" s="2" t="s">
        <v>71</v>
      </c>
      <c r="C137" s="2">
        <v>51097603</v>
      </c>
      <c r="D137" s="2" t="s">
        <v>72</v>
      </c>
      <c r="E137" s="2">
        <v>7000</v>
      </c>
      <c r="F137" s="287">
        <v>1493.0319999999999</v>
      </c>
      <c r="G137" s="287">
        <v>1753.76</v>
      </c>
      <c r="H137" s="7">
        <f>(G137-F137)*E137</f>
        <v>1825096.0000000005</v>
      </c>
      <c r="I137" s="38"/>
      <c r="J137" s="63"/>
    </row>
    <row r="138" spans="1:10" s="55" customFormat="1">
      <c r="A138" s="1" t="s">
        <v>173</v>
      </c>
      <c r="B138" s="2" t="s">
        <v>71</v>
      </c>
      <c r="C138" s="2">
        <v>51097590</v>
      </c>
      <c r="D138" s="2" t="s">
        <v>72</v>
      </c>
      <c r="E138" s="2">
        <v>7000</v>
      </c>
      <c r="F138" s="247">
        <v>8.3580000000000005</v>
      </c>
      <c r="G138" s="247">
        <v>10.754</v>
      </c>
      <c r="H138" s="7">
        <f>(G138-F138)*E138</f>
        <v>16771.999999999993</v>
      </c>
      <c r="I138" s="38"/>
      <c r="J138" s="63"/>
    </row>
    <row r="139" spans="1:10" s="55" customFormat="1">
      <c r="A139" s="6" t="s">
        <v>85</v>
      </c>
      <c r="B139" s="2" t="s">
        <v>86</v>
      </c>
      <c r="C139" s="2">
        <v>49174</v>
      </c>
      <c r="D139" s="2" t="s">
        <v>72</v>
      </c>
      <c r="E139" s="2">
        <v>20</v>
      </c>
      <c r="F139" s="247"/>
      <c r="G139" s="247"/>
      <c r="H139" s="7">
        <v>500</v>
      </c>
      <c r="I139" s="66"/>
      <c r="J139" s="143"/>
    </row>
    <row r="140" spans="1:10" s="55" customFormat="1">
      <c r="A140" s="9" t="s">
        <v>174</v>
      </c>
      <c r="B140" s="35"/>
      <c r="C140" s="2"/>
      <c r="D140" s="2"/>
      <c r="E140" s="2"/>
      <c r="F140" s="247"/>
      <c r="G140" s="247"/>
      <c r="H140" s="11">
        <f>H137+H138+H139</f>
        <v>1842368.0000000005</v>
      </c>
      <c r="I140" s="66"/>
      <c r="J140" s="65"/>
    </row>
    <row r="141" spans="1:10" s="55" customFormat="1">
      <c r="A141" s="1" t="s">
        <v>175</v>
      </c>
      <c r="B141" s="2" t="s">
        <v>71</v>
      </c>
      <c r="C141" s="2">
        <v>51100980</v>
      </c>
      <c r="D141" s="2" t="s">
        <v>67</v>
      </c>
      <c r="E141" s="2">
        <v>12000</v>
      </c>
      <c r="F141" s="247">
        <v>877.95100000000002</v>
      </c>
      <c r="G141" s="247">
        <v>1031.681</v>
      </c>
      <c r="H141" s="7">
        <f>(G141-F141)*E141</f>
        <v>1844760.0000000002</v>
      </c>
      <c r="I141" s="66"/>
      <c r="J141" s="143"/>
    </row>
    <row r="142" spans="1:10" s="55" customFormat="1">
      <c r="A142" s="1" t="s">
        <v>176</v>
      </c>
      <c r="B142" s="2" t="s">
        <v>71</v>
      </c>
      <c r="C142" s="2">
        <v>51097623</v>
      </c>
      <c r="D142" s="2" t="s">
        <v>67</v>
      </c>
      <c r="E142" s="2">
        <v>12000</v>
      </c>
      <c r="F142" s="247">
        <v>0.129</v>
      </c>
      <c r="G142" s="247">
        <v>0.129</v>
      </c>
      <c r="H142" s="7">
        <f>(G142-F142)*E142</f>
        <v>0</v>
      </c>
      <c r="I142" s="66"/>
      <c r="J142" s="143"/>
    </row>
    <row r="143" spans="1:10" s="55" customFormat="1">
      <c r="A143" s="174" t="s">
        <v>177</v>
      </c>
      <c r="B143" s="2"/>
      <c r="C143" s="2"/>
      <c r="D143" s="2"/>
      <c r="E143" s="2"/>
      <c r="F143" s="247"/>
      <c r="G143" s="247"/>
      <c r="H143" s="11">
        <f>H141+H142</f>
        <v>1844760.0000000002</v>
      </c>
      <c r="I143" s="128">
        <f>H140-H150-H139</f>
        <v>-6415.1999999997206</v>
      </c>
      <c r="J143" s="13">
        <f>I143/H143</f>
        <v>-3.4775255317763395E-3</v>
      </c>
    </row>
    <row r="144" spans="1:10" s="55" customFormat="1">
      <c r="A144" s="1" t="s">
        <v>178</v>
      </c>
      <c r="B144" s="2" t="s">
        <v>71</v>
      </c>
      <c r="C144" s="2">
        <v>51097675</v>
      </c>
      <c r="D144" s="2" t="s">
        <v>37</v>
      </c>
      <c r="E144" s="2">
        <v>4800</v>
      </c>
      <c r="F144" s="247">
        <v>325.56799999999998</v>
      </c>
      <c r="G144" s="247">
        <v>428.80399999999997</v>
      </c>
      <c r="H144" s="7">
        <f t="shared" ref="H144:H149" si="4">(G144-F144)*E144</f>
        <v>495532.79999999993</v>
      </c>
      <c r="I144" s="175"/>
      <c r="J144" s="65"/>
    </row>
    <row r="145" spans="1:12" s="55" customFormat="1">
      <c r="A145" s="1" t="s">
        <v>179</v>
      </c>
      <c r="B145" s="2" t="s">
        <v>71</v>
      </c>
      <c r="C145" s="2">
        <v>51100997</v>
      </c>
      <c r="D145" s="2" t="s">
        <v>25</v>
      </c>
      <c r="E145" s="2">
        <v>3600</v>
      </c>
      <c r="F145" s="247">
        <v>1138.1489999999999</v>
      </c>
      <c r="G145" s="247">
        <v>1290.81</v>
      </c>
      <c r="H145" s="7">
        <f t="shared" si="4"/>
        <v>549579.60000000021</v>
      </c>
      <c r="I145" s="175"/>
      <c r="J145" s="65"/>
    </row>
    <row r="146" spans="1:12" s="55" customFormat="1">
      <c r="A146" s="1" t="s">
        <v>180</v>
      </c>
      <c r="B146" s="2" t="s">
        <v>71</v>
      </c>
      <c r="C146" s="2">
        <v>51555218</v>
      </c>
      <c r="D146" s="2">
        <f>400/5</f>
        <v>80</v>
      </c>
      <c r="E146" s="2">
        <v>4800</v>
      </c>
      <c r="F146" s="247">
        <v>34.725999999999999</v>
      </c>
      <c r="G146" s="247">
        <v>50.668999999999997</v>
      </c>
      <c r="H146" s="7">
        <f t="shared" si="4"/>
        <v>76526.399999999994</v>
      </c>
      <c r="I146" s="175"/>
      <c r="J146" s="65"/>
    </row>
    <row r="147" spans="1:12" s="55" customFormat="1">
      <c r="A147" s="1" t="s">
        <v>181</v>
      </c>
      <c r="B147" s="2" t="s">
        <v>71</v>
      </c>
      <c r="C147" s="2">
        <v>51555151</v>
      </c>
      <c r="D147" s="2">
        <f>400/5</f>
        <v>80</v>
      </c>
      <c r="E147" s="2">
        <v>4800</v>
      </c>
      <c r="F147" s="284">
        <v>0.30599999999999999</v>
      </c>
      <c r="G147" s="284">
        <v>0.30599999999999999</v>
      </c>
      <c r="H147" s="7">
        <f t="shared" si="4"/>
        <v>0</v>
      </c>
      <c r="I147" s="175"/>
      <c r="J147" s="65"/>
    </row>
    <row r="148" spans="1:12" s="55" customFormat="1">
      <c r="A148" s="1" t="s">
        <v>182</v>
      </c>
      <c r="B148" s="2" t="s">
        <v>71</v>
      </c>
      <c r="C148" s="2">
        <v>51097599</v>
      </c>
      <c r="D148" s="2" t="s">
        <v>25</v>
      </c>
      <c r="E148" s="2">
        <v>3600</v>
      </c>
      <c r="F148" s="247">
        <v>810.02700000000004</v>
      </c>
      <c r="G148" s="247">
        <v>902.27800000000002</v>
      </c>
      <c r="H148" s="7">
        <f t="shared" si="4"/>
        <v>332103.59999999992</v>
      </c>
      <c r="I148" s="175"/>
      <c r="J148" s="65"/>
    </row>
    <row r="149" spans="1:12" s="55" customFormat="1">
      <c r="A149" s="1" t="s">
        <v>183</v>
      </c>
      <c r="B149" s="2" t="s">
        <v>71</v>
      </c>
      <c r="C149" s="2">
        <v>51097620</v>
      </c>
      <c r="D149" s="2" t="s">
        <v>37</v>
      </c>
      <c r="E149" s="2">
        <v>4800</v>
      </c>
      <c r="F149" s="247">
        <v>361.762</v>
      </c>
      <c r="G149" s="247">
        <v>443.95800000000003</v>
      </c>
      <c r="H149" s="7">
        <f t="shared" si="4"/>
        <v>394540.8000000001</v>
      </c>
      <c r="I149" s="175"/>
      <c r="J149" s="176"/>
    </row>
    <row r="150" spans="1:12" s="55" customFormat="1" ht="16.5" thickBot="1">
      <c r="A150" s="125" t="s">
        <v>52</v>
      </c>
      <c r="B150" s="121"/>
      <c r="C150" s="121"/>
      <c r="D150" s="121"/>
      <c r="E150" s="121"/>
      <c r="F150" s="302"/>
      <c r="G150" s="302"/>
      <c r="H150" s="177">
        <f>+H145+H146+H147+H148+ H149+H144</f>
        <v>1848283.2000000002</v>
      </c>
      <c r="I150" s="178"/>
      <c r="J150" s="166"/>
    </row>
    <row r="151" spans="1:12" s="55" customFormat="1">
      <c r="A151" s="360" t="s">
        <v>184</v>
      </c>
      <c r="B151" s="361"/>
      <c r="C151" s="361"/>
      <c r="D151" s="361"/>
      <c r="E151" s="361"/>
      <c r="F151" s="129"/>
      <c r="G151" s="129"/>
      <c r="H151" s="179"/>
      <c r="I151" s="86"/>
      <c r="J151" s="120"/>
    </row>
    <row r="152" spans="1:12" s="55" customFormat="1">
      <c r="A152" s="52" t="s">
        <v>185</v>
      </c>
      <c r="B152" s="2" t="s">
        <v>186</v>
      </c>
      <c r="C152" s="141">
        <v>1112451</v>
      </c>
      <c r="D152" s="69" t="s">
        <v>17</v>
      </c>
      <c r="E152" s="69">
        <v>120</v>
      </c>
      <c r="F152" s="41">
        <v>293.43400000000003</v>
      </c>
      <c r="G152" s="41">
        <v>754.79</v>
      </c>
      <c r="H152" s="7">
        <f t="shared" ref="H152:H157" si="5">(G152-F152)*E152</f>
        <v>55362.719999999994</v>
      </c>
      <c r="I152" s="128">
        <f>(H152+H153+H170)-H171</f>
        <v>1185.3139999998384</v>
      </c>
      <c r="J152" s="13">
        <f>I152/H171</f>
        <v>1.8038448087835012E-2</v>
      </c>
      <c r="L152" s="56"/>
    </row>
    <row r="153" spans="1:12" s="56" customFormat="1">
      <c r="A153" s="52" t="s">
        <v>187</v>
      </c>
      <c r="B153" s="2" t="s">
        <v>186</v>
      </c>
      <c r="C153" s="2">
        <v>1127608</v>
      </c>
      <c r="D153" s="2" t="s">
        <v>17</v>
      </c>
      <c r="E153" s="2">
        <v>120</v>
      </c>
      <c r="F153" s="247">
        <v>42464.923999999999</v>
      </c>
      <c r="G153" s="247">
        <v>42555.512999999999</v>
      </c>
      <c r="H153" s="7">
        <f t="shared" si="5"/>
        <v>10870.679999999993</v>
      </c>
      <c r="I153" s="66"/>
      <c r="J153" s="65"/>
    </row>
    <row r="154" spans="1:12" s="56" customFormat="1">
      <c r="A154" s="1" t="s">
        <v>188</v>
      </c>
      <c r="B154" s="2" t="s">
        <v>111</v>
      </c>
      <c r="C154" s="2">
        <v>179024</v>
      </c>
      <c r="D154" s="3" t="s">
        <v>189</v>
      </c>
      <c r="E154" s="2">
        <v>6</v>
      </c>
      <c r="F154" s="247">
        <v>44634.1</v>
      </c>
      <c r="G154" s="247">
        <v>44765.2</v>
      </c>
      <c r="H154" s="7">
        <f t="shared" si="5"/>
        <v>786.59999999999127</v>
      </c>
      <c r="I154" s="66"/>
      <c r="J154" s="65"/>
      <c r="K154" s="55"/>
    </row>
    <row r="155" spans="1:12" s="55" customFormat="1">
      <c r="A155" s="1" t="s">
        <v>190</v>
      </c>
      <c r="B155" s="2" t="s">
        <v>191</v>
      </c>
      <c r="C155" s="2">
        <v>971097</v>
      </c>
      <c r="D155" s="2" t="s">
        <v>25</v>
      </c>
      <c r="E155" s="2">
        <v>60</v>
      </c>
      <c r="F155" s="111">
        <v>12172</v>
      </c>
      <c r="G155" s="111">
        <v>12172</v>
      </c>
      <c r="H155" s="7">
        <f t="shared" si="5"/>
        <v>0</v>
      </c>
      <c r="I155" s="66"/>
      <c r="J155" s="65"/>
    </row>
    <row r="156" spans="1:12" s="55" customFormat="1">
      <c r="A156" s="1" t="s">
        <v>192</v>
      </c>
      <c r="B156" s="2" t="s">
        <v>104</v>
      </c>
      <c r="C156" s="2">
        <v>676</v>
      </c>
      <c r="D156" s="2" t="s">
        <v>25</v>
      </c>
      <c r="E156" s="2">
        <v>60</v>
      </c>
      <c r="F156" s="247">
        <v>30402.635999999999</v>
      </c>
      <c r="G156" s="247">
        <v>30634.36</v>
      </c>
      <c r="H156" s="7">
        <f t="shared" si="5"/>
        <v>13903.440000000119</v>
      </c>
      <c r="I156" s="66"/>
      <c r="J156" s="65"/>
    </row>
    <row r="157" spans="1:12" s="55" customFormat="1">
      <c r="A157" s="1" t="s">
        <v>193</v>
      </c>
      <c r="B157" s="2" t="s">
        <v>194</v>
      </c>
      <c r="C157" s="2">
        <v>1767</v>
      </c>
      <c r="D157" s="3" t="s">
        <v>189</v>
      </c>
      <c r="E157" s="2">
        <v>6</v>
      </c>
      <c r="F157" s="247">
        <v>105785.8</v>
      </c>
      <c r="G157" s="247">
        <v>105791.7</v>
      </c>
      <c r="H157" s="7">
        <f t="shared" si="5"/>
        <v>35.399999999965075</v>
      </c>
      <c r="I157" s="66"/>
      <c r="J157" s="65"/>
    </row>
    <row r="158" spans="1:12" s="55" customFormat="1">
      <c r="A158" s="1" t="s">
        <v>195</v>
      </c>
      <c r="B158" s="2" t="s">
        <v>196</v>
      </c>
      <c r="C158" s="2">
        <v>445739</v>
      </c>
      <c r="D158" s="2" t="s">
        <v>40</v>
      </c>
      <c r="E158" s="2">
        <v>10</v>
      </c>
      <c r="F158" s="247"/>
      <c r="G158" s="247"/>
      <c r="H158" s="7">
        <v>3000</v>
      </c>
      <c r="I158" s="66"/>
      <c r="J158" s="65"/>
    </row>
    <row r="159" spans="1:12" s="55" customFormat="1">
      <c r="A159" s="1" t="s">
        <v>197</v>
      </c>
      <c r="B159" s="2" t="s">
        <v>198</v>
      </c>
      <c r="C159" s="2">
        <v>568</v>
      </c>
      <c r="D159" s="2" t="s">
        <v>72</v>
      </c>
      <c r="E159" s="2">
        <v>20</v>
      </c>
      <c r="F159" s="247">
        <v>91269.6</v>
      </c>
      <c r="G159" s="247">
        <v>91269.6</v>
      </c>
      <c r="H159" s="7">
        <f>(G159-F159)*E159</f>
        <v>0</v>
      </c>
      <c r="I159" s="66"/>
      <c r="J159" s="65"/>
    </row>
    <row r="160" spans="1:12" s="55" customFormat="1">
      <c r="A160" s="1" t="s">
        <v>199</v>
      </c>
      <c r="B160" s="2" t="s">
        <v>191</v>
      </c>
      <c r="C160" s="3" t="s">
        <v>200</v>
      </c>
      <c r="D160" s="2" t="s">
        <v>40</v>
      </c>
      <c r="E160" s="2">
        <v>10</v>
      </c>
      <c r="F160" s="247">
        <v>60767</v>
      </c>
      <c r="G160" s="247">
        <v>60781.4</v>
      </c>
      <c r="H160" s="7">
        <f>(G160-F160)*E160</f>
        <v>144.00000000001455</v>
      </c>
      <c r="I160" s="66"/>
      <c r="J160" s="65"/>
    </row>
    <row r="161" spans="1:11" s="55" customFormat="1">
      <c r="A161" s="1" t="s">
        <v>201</v>
      </c>
      <c r="B161" s="2" t="s">
        <v>115</v>
      </c>
      <c r="C161" s="3" t="s">
        <v>202</v>
      </c>
      <c r="D161" s="2"/>
      <c r="E161" s="2"/>
      <c r="F161" s="247"/>
      <c r="G161" s="247"/>
      <c r="H161" s="7">
        <v>5000</v>
      </c>
      <c r="I161" s="66"/>
      <c r="J161" s="65"/>
    </row>
    <row r="162" spans="1:11" s="55" customFormat="1">
      <c r="A162" s="1" t="s">
        <v>203</v>
      </c>
      <c r="B162" s="2" t="s">
        <v>194</v>
      </c>
      <c r="C162" s="2">
        <v>4080</v>
      </c>
      <c r="D162" s="3" t="s">
        <v>204</v>
      </c>
      <c r="E162" s="2">
        <v>4</v>
      </c>
      <c r="F162" s="247">
        <v>16738</v>
      </c>
      <c r="G162" s="247">
        <v>16738</v>
      </c>
      <c r="H162" s="7">
        <f>(G162-F162)*E162</f>
        <v>0</v>
      </c>
      <c r="I162" s="66"/>
      <c r="J162" s="65"/>
      <c r="K162" s="245"/>
    </row>
    <row r="163" spans="1:11" s="245" customFormat="1">
      <c r="A163" s="1" t="s">
        <v>205</v>
      </c>
      <c r="B163" s="2" t="s">
        <v>115</v>
      </c>
      <c r="C163" s="2" t="s">
        <v>206</v>
      </c>
      <c r="D163" s="3"/>
      <c r="E163" s="2"/>
      <c r="F163" s="10"/>
      <c r="G163" s="10"/>
      <c r="H163" s="7">
        <v>1000</v>
      </c>
      <c r="I163" s="66"/>
      <c r="J163" s="65"/>
      <c r="K163" s="55"/>
    </row>
    <row r="164" spans="1:11" s="55" customFormat="1">
      <c r="A164" s="1" t="s">
        <v>207</v>
      </c>
      <c r="B164" s="2" t="s">
        <v>115</v>
      </c>
      <c r="C164" s="3" t="s">
        <v>208</v>
      </c>
      <c r="D164" s="3"/>
      <c r="E164" s="2"/>
      <c r="F164" s="10"/>
      <c r="G164" s="10"/>
      <c r="H164" s="7">
        <v>10000</v>
      </c>
      <c r="I164" s="66"/>
      <c r="J164" s="65"/>
    </row>
    <row r="165" spans="1:11" s="55" customFormat="1">
      <c r="A165" s="1" t="s">
        <v>209</v>
      </c>
      <c r="B165" s="2"/>
      <c r="C165" s="3"/>
      <c r="D165" s="3"/>
      <c r="E165" s="2"/>
      <c r="F165" s="10"/>
      <c r="G165" s="10"/>
      <c r="H165" s="7">
        <v>10000</v>
      </c>
      <c r="I165" s="66"/>
      <c r="J165" s="65"/>
    </row>
    <row r="166" spans="1:11" s="55" customFormat="1">
      <c r="A166" s="1" t="s">
        <v>210</v>
      </c>
      <c r="B166" s="2" t="s">
        <v>211</v>
      </c>
      <c r="C166" s="2">
        <v>155576</v>
      </c>
      <c r="D166" s="3" t="s">
        <v>91</v>
      </c>
      <c r="E166" s="2">
        <v>1</v>
      </c>
      <c r="F166" s="10"/>
      <c r="G166" s="10"/>
      <c r="H166" s="7">
        <v>5000</v>
      </c>
      <c r="I166" s="66"/>
      <c r="J166" s="65"/>
    </row>
    <row r="167" spans="1:11" s="55" customFormat="1">
      <c r="A167" s="1" t="s">
        <v>212</v>
      </c>
      <c r="B167" s="2" t="s">
        <v>115</v>
      </c>
      <c r="C167" s="3" t="s">
        <v>213</v>
      </c>
      <c r="D167" s="2"/>
      <c r="E167" s="2"/>
      <c r="F167" s="10"/>
      <c r="G167" s="10"/>
      <c r="H167" s="7">
        <v>1000</v>
      </c>
      <c r="I167" s="66"/>
      <c r="J167" s="65"/>
    </row>
    <row r="168" spans="1:11" s="55" customFormat="1">
      <c r="A168" s="1" t="s">
        <v>214</v>
      </c>
      <c r="B168" s="2" t="s">
        <v>115</v>
      </c>
      <c r="C168" s="2"/>
      <c r="D168" s="2"/>
      <c r="E168" s="2"/>
      <c r="F168" s="67"/>
      <c r="G168" s="67"/>
      <c r="H168" s="7">
        <v>10000</v>
      </c>
      <c r="I168" s="66"/>
      <c r="J168" s="65"/>
    </row>
    <row r="169" spans="1:11" s="55" customFormat="1">
      <c r="A169" s="1" t="s">
        <v>56</v>
      </c>
      <c r="B169" s="2"/>
      <c r="C169" s="2"/>
      <c r="D169" s="2"/>
      <c r="E169" s="2"/>
      <c r="F169" s="67"/>
      <c r="G169" s="67"/>
      <c r="H169" s="11">
        <v>5840.9800000000687</v>
      </c>
      <c r="I169" s="66"/>
      <c r="J169" s="65"/>
    </row>
    <row r="170" spans="1:11" s="55" customFormat="1">
      <c r="A170" s="1" t="s">
        <v>215</v>
      </c>
      <c r="B170" s="10" t="s">
        <v>92</v>
      </c>
      <c r="C170" s="2"/>
      <c r="D170" s="10"/>
      <c r="E170" s="10"/>
      <c r="F170" s="18"/>
      <c r="G170" s="18"/>
      <c r="H170" s="19">
        <f>(H152+H153)*0.01</f>
        <v>662.33399999999995</v>
      </c>
      <c r="I170" s="66"/>
      <c r="J170" s="143"/>
    </row>
    <row r="171" spans="1:11" s="55" customFormat="1" ht="16.5" thickBot="1">
      <c r="A171" s="125" t="s">
        <v>216</v>
      </c>
      <c r="B171" s="121"/>
      <c r="C171" s="121"/>
      <c r="D171" s="121"/>
      <c r="E171" s="121"/>
      <c r="F171" s="22"/>
      <c r="G171" s="22"/>
      <c r="H171" s="126">
        <f xml:space="preserve"> H154+H155+H156+H157+H158+H159+H160+H161+H162+H163+H164+H165+H166+H167+H168+H169</f>
        <v>65710.420000000158</v>
      </c>
      <c r="I171" s="165"/>
      <c r="J171" s="180"/>
    </row>
    <row r="172" spans="1:11" s="55" customFormat="1">
      <c r="A172" s="342" t="s">
        <v>217</v>
      </c>
      <c r="B172" s="342"/>
      <c r="C172" s="342"/>
      <c r="D172" s="342"/>
      <c r="E172" s="342"/>
      <c r="F172" s="342"/>
      <c r="G172" s="58"/>
      <c r="H172" s="127"/>
      <c r="I172" s="86"/>
      <c r="J172" s="181"/>
    </row>
    <row r="173" spans="1:11" s="55" customFormat="1">
      <c r="A173" s="1" t="s">
        <v>218</v>
      </c>
      <c r="B173" s="2" t="s">
        <v>71</v>
      </c>
      <c r="C173" s="8">
        <v>50555043</v>
      </c>
      <c r="D173" s="2" t="s">
        <v>72</v>
      </c>
      <c r="E173" s="2">
        <v>1200</v>
      </c>
      <c r="F173" s="247">
        <v>1550.62</v>
      </c>
      <c r="G173" s="247">
        <v>1816.7629999999999</v>
      </c>
      <c r="H173" s="7">
        <f>(G173-F173)*E173</f>
        <v>319371.60000000003</v>
      </c>
      <c r="I173" s="128">
        <f>H175-H217</f>
        <v>202085.7079999994</v>
      </c>
      <c r="J173" s="13">
        <f>I173/H175</f>
        <v>0.23256278143122347</v>
      </c>
    </row>
    <row r="174" spans="1:11" s="55" customFormat="1">
      <c r="A174" s="1" t="s">
        <v>219</v>
      </c>
      <c r="B174" s="2" t="s">
        <v>71</v>
      </c>
      <c r="C174" s="2">
        <v>51100997</v>
      </c>
      <c r="D174" s="2" t="s">
        <v>25</v>
      </c>
      <c r="E174" s="2">
        <v>3600</v>
      </c>
      <c r="F174" s="247">
        <v>1138.1489999999999</v>
      </c>
      <c r="G174" s="247">
        <v>1290.81</v>
      </c>
      <c r="H174" s="7">
        <f>(G174-F174)*E174</f>
        <v>549579.60000000021</v>
      </c>
      <c r="I174" s="66"/>
      <c r="J174" s="143"/>
    </row>
    <row r="175" spans="1:11" s="55" customFormat="1">
      <c r="A175" s="9" t="s">
        <v>220</v>
      </c>
      <c r="B175" s="2"/>
      <c r="C175" s="2"/>
      <c r="D175" s="2"/>
      <c r="E175" s="10"/>
      <c r="F175" s="247"/>
      <c r="G175" s="247"/>
      <c r="H175" s="11">
        <f xml:space="preserve"> H173+H174</f>
        <v>868951.20000000019</v>
      </c>
      <c r="I175" s="66"/>
      <c r="J175" s="65"/>
    </row>
    <row r="176" spans="1:11" s="55" customFormat="1">
      <c r="A176" s="1" t="s">
        <v>221</v>
      </c>
      <c r="B176" s="2" t="s">
        <v>191</v>
      </c>
      <c r="C176" s="2">
        <v>714</v>
      </c>
      <c r="D176" s="2" t="s">
        <v>72</v>
      </c>
      <c r="E176" s="2">
        <v>20</v>
      </c>
      <c r="F176" s="247">
        <v>105741.4</v>
      </c>
      <c r="G176" s="247">
        <v>106512.2</v>
      </c>
      <c r="H176" s="7">
        <f t="shared" ref="H176:H181" si="6">(G176-F176)*E176</f>
        <v>15416.000000000058</v>
      </c>
      <c r="I176" s="66"/>
      <c r="J176" s="65"/>
    </row>
    <row r="177" spans="1:11" s="55" customFormat="1">
      <c r="A177" s="1" t="s">
        <v>222</v>
      </c>
      <c r="B177" s="3" t="s">
        <v>104</v>
      </c>
      <c r="C177" s="2">
        <v>1861</v>
      </c>
      <c r="D177" s="2" t="s">
        <v>122</v>
      </c>
      <c r="E177" s="2">
        <v>40</v>
      </c>
      <c r="F177" s="247">
        <v>54725.271999999997</v>
      </c>
      <c r="G177" s="247">
        <v>56185.688999999998</v>
      </c>
      <c r="H177" s="7">
        <f t="shared" si="6"/>
        <v>58416.680000000051</v>
      </c>
      <c r="I177" s="66"/>
      <c r="J177" s="65"/>
    </row>
    <row r="178" spans="1:11" s="55" customFormat="1">
      <c r="A178" s="1" t="s">
        <v>223</v>
      </c>
      <c r="B178" s="2" t="s">
        <v>94</v>
      </c>
      <c r="C178" s="2">
        <v>123404</v>
      </c>
      <c r="D178" s="3" t="s">
        <v>113</v>
      </c>
      <c r="E178" s="2">
        <v>50</v>
      </c>
      <c r="F178" s="247">
        <v>109708.9</v>
      </c>
      <c r="G178" s="247">
        <v>110650</v>
      </c>
      <c r="H178" s="7">
        <f t="shared" si="6"/>
        <v>47055.000000000291</v>
      </c>
      <c r="I178" s="66"/>
      <c r="J178" s="65"/>
      <c r="K178" s="245"/>
    </row>
    <row r="179" spans="1:11" s="245" customFormat="1">
      <c r="A179" s="1" t="s">
        <v>224</v>
      </c>
      <c r="B179" s="2" t="s">
        <v>225</v>
      </c>
      <c r="C179" s="2">
        <v>10988221</v>
      </c>
      <c r="D179" s="2" t="s">
        <v>72</v>
      </c>
      <c r="E179" s="2">
        <v>20</v>
      </c>
      <c r="F179" s="247">
        <v>1560.8</v>
      </c>
      <c r="G179" s="247">
        <v>1562.4</v>
      </c>
      <c r="H179" s="7">
        <f t="shared" si="6"/>
        <v>32.000000000002728</v>
      </c>
      <c r="I179" s="68"/>
      <c r="J179" s="65"/>
      <c r="K179" s="55"/>
    </row>
    <row r="180" spans="1:11" s="55" customFormat="1">
      <c r="A180" s="1" t="s">
        <v>226</v>
      </c>
      <c r="B180" s="2" t="s">
        <v>111</v>
      </c>
      <c r="C180" s="2">
        <v>9057</v>
      </c>
      <c r="D180" s="2" t="s">
        <v>25</v>
      </c>
      <c r="E180" s="2">
        <v>60</v>
      </c>
      <c r="F180" s="247">
        <v>1060.2</v>
      </c>
      <c r="G180" s="247">
        <v>1060.2</v>
      </c>
      <c r="H180" s="7">
        <f t="shared" si="6"/>
        <v>0</v>
      </c>
      <c r="I180" s="66"/>
      <c r="J180" s="65"/>
    </row>
    <row r="181" spans="1:11" s="56" customFormat="1">
      <c r="A181" s="1" t="s">
        <v>227</v>
      </c>
      <c r="B181" s="2" t="s">
        <v>228</v>
      </c>
      <c r="C181" s="2">
        <v>8704</v>
      </c>
      <c r="D181" s="3" t="s">
        <v>113</v>
      </c>
      <c r="E181" s="2">
        <v>50</v>
      </c>
      <c r="F181" s="247">
        <v>161142.39999999999</v>
      </c>
      <c r="G181" s="247">
        <v>162209.60000000001</v>
      </c>
      <c r="H181" s="7">
        <f t="shared" si="6"/>
        <v>53360.000000000582</v>
      </c>
      <c r="I181" s="66"/>
      <c r="J181" s="65"/>
    </row>
    <row r="182" spans="1:11" s="56" customFormat="1">
      <c r="A182" s="1" t="s">
        <v>229</v>
      </c>
      <c r="B182" s="2" t="s">
        <v>230</v>
      </c>
      <c r="C182" s="2" t="s">
        <v>231</v>
      </c>
      <c r="D182" s="2" t="s">
        <v>72</v>
      </c>
      <c r="E182" s="2">
        <v>20</v>
      </c>
      <c r="F182" s="247">
        <v>1443.1</v>
      </c>
      <c r="G182" s="247">
        <v>1444.2</v>
      </c>
      <c r="H182" s="7">
        <f>(G182-F182)*E182</f>
        <v>22.000000000002728</v>
      </c>
      <c r="I182" s="66"/>
      <c r="J182" s="65"/>
    </row>
    <row r="183" spans="1:11" s="56" customFormat="1">
      <c r="A183" s="1" t="s">
        <v>232</v>
      </c>
      <c r="B183" s="2" t="s">
        <v>115</v>
      </c>
      <c r="C183" s="2" t="s">
        <v>92</v>
      </c>
      <c r="D183" s="2" t="s">
        <v>92</v>
      </c>
      <c r="E183" s="2" t="s">
        <v>92</v>
      </c>
      <c r="F183" s="247"/>
      <c r="G183" s="247"/>
      <c r="H183" s="7">
        <v>5000</v>
      </c>
      <c r="I183" s="66" t="s">
        <v>92</v>
      </c>
      <c r="J183" s="65"/>
      <c r="K183" s="55"/>
    </row>
    <row r="184" spans="1:11" s="55" customFormat="1">
      <c r="A184" s="1" t="s">
        <v>233</v>
      </c>
      <c r="B184" s="2" t="s">
        <v>234</v>
      </c>
      <c r="C184" s="2" t="s">
        <v>235</v>
      </c>
      <c r="D184" s="2">
        <f>100/5</f>
        <v>20</v>
      </c>
      <c r="E184" s="2">
        <v>20</v>
      </c>
      <c r="F184" s="247">
        <v>49.7</v>
      </c>
      <c r="G184" s="247">
        <v>51.4</v>
      </c>
      <c r="H184" s="7">
        <f>(G184-F184)*E184</f>
        <v>33.999999999999915</v>
      </c>
      <c r="I184" s="66"/>
      <c r="J184" s="65"/>
    </row>
    <row r="185" spans="1:11" s="55" customFormat="1">
      <c r="A185" s="1" t="s">
        <v>236</v>
      </c>
      <c r="B185" s="2" t="s">
        <v>191</v>
      </c>
      <c r="C185" s="2">
        <v>7623</v>
      </c>
      <c r="D185" s="2" t="s">
        <v>25</v>
      </c>
      <c r="E185" s="2">
        <v>60</v>
      </c>
      <c r="F185" s="247">
        <v>4355.1000000000004</v>
      </c>
      <c r="G185" s="247">
        <v>4359.2</v>
      </c>
      <c r="H185" s="7">
        <f>(G185-F185)*E185</f>
        <v>245.99999999996726</v>
      </c>
      <c r="I185" s="66" t="s">
        <v>92</v>
      </c>
      <c r="J185" s="65"/>
    </row>
    <row r="186" spans="1:11" s="55" customFormat="1">
      <c r="A186" s="1" t="s">
        <v>237</v>
      </c>
      <c r="B186" s="2" t="s">
        <v>191</v>
      </c>
      <c r="C186" s="2">
        <v>517392</v>
      </c>
      <c r="D186" s="2" t="s">
        <v>37</v>
      </c>
      <c r="E186" s="2">
        <v>80</v>
      </c>
      <c r="F186" s="247">
        <v>46133.4</v>
      </c>
      <c r="G186" s="247">
        <v>46758.3</v>
      </c>
      <c r="H186" s="7">
        <f t="shared" ref="H186:H195" si="7">(G186-F186)*E186</f>
        <v>49992.000000000116</v>
      </c>
      <c r="I186" s="38"/>
      <c r="J186" s="39"/>
    </row>
    <row r="187" spans="1:11" s="55" customFormat="1">
      <c r="A187" s="1" t="s">
        <v>238</v>
      </c>
      <c r="B187" s="2" t="s">
        <v>94</v>
      </c>
      <c r="C187" s="2" t="s">
        <v>239</v>
      </c>
      <c r="D187" s="3" t="s">
        <v>67</v>
      </c>
      <c r="E187" s="2">
        <v>200</v>
      </c>
      <c r="F187" s="247">
        <v>50580.1</v>
      </c>
      <c r="G187" s="247">
        <v>50580.1</v>
      </c>
      <c r="H187" s="7">
        <v>50000</v>
      </c>
      <c r="I187" s="38"/>
      <c r="J187" s="39"/>
      <c r="K187" s="56"/>
    </row>
    <row r="188" spans="1:11" s="56" customFormat="1">
      <c r="A188" s="1" t="s">
        <v>240</v>
      </c>
      <c r="B188" s="3" t="s">
        <v>104</v>
      </c>
      <c r="C188" s="2">
        <v>1820</v>
      </c>
      <c r="D188" s="2" t="s">
        <v>25</v>
      </c>
      <c r="E188" s="2">
        <v>60</v>
      </c>
      <c r="F188" s="247">
        <v>75040.707999999999</v>
      </c>
      <c r="G188" s="247">
        <v>75495.161999999997</v>
      </c>
      <c r="H188" s="7">
        <f t="shared" si="7"/>
        <v>27267.239999999874</v>
      </c>
      <c r="I188" s="66"/>
      <c r="J188" s="65"/>
      <c r="K188" s="55"/>
    </row>
    <row r="189" spans="1:11" s="55" customFormat="1">
      <c r="A189" s="1" t="s">
        <v>241</v>
      </c>
      <c r="B189" s="3" t="s">
        <v>104</v>
      </c>
      <c r="C189" s="2">
        <v>1856</v>
      </c>
      <c r="D189" s="2" t="s">
        <v>25</v>
      </c>
      <c r="E189" s="2">
        <v>60</v>
      </c>
      <c r="F189" s="247">
        <v>18341.819</v>
      </c>
      <c r="G189" s="247">
        <v>18382.498</v>
      </c>
      <c r="H189" s="7">
        <f t="shared" si="7"/>
        <v>2440.7400000000052</v>
      </c>
      <c r="I189" s="66"/>
      <c r="J189" s="65"/>
    </row>
    <row r="190" spans="1:11" s="55" customFormat="1">
      <c r="A190" s="1" t="s">
        <v>242</v>
      </c>
      <c r="B190" s="2" t="s">
        <v>94</v>
      </c>
      <c r="C190" s="131" t="s">
        <v>243</v>
      </c>
      <c r="D190" s="2" t="s">
        <v>25</v>
      </c>
      <c r="E190" s="2">
        <v>60</v>
      </c>
      <c r="F190" s="247">
        <v>31998.1</v>
      </c>
      <c r="G190" s="247">
        <v>32036.6</v>
      </c>
      <c r="H190" s="7">
        <f>(G190-F190)*E190</f>
        <v>2310</v>
      </c>
      <c r="I190" s="66"/>
      <c r="J190" s="65"/>
      <c r="K190" s="56"/>
    </row>
    <row r="191" spans="1:11" s="56" customFormat="1">
      <c r="A191" s="1" t="s">
        <v>244</v>
      </c>
      <c r="B191" s="3" t="s">
        <v>104</v>
      </c>
      <c r="C191" s="3" t="s">
        <v>245</v>
      </c>
      <c r="D191" s="2" t="s">
        <v>25</v>
      </c>
      <c r="E191" s="2">
        <v>60</v>
      </c>
      <c r="F191" s="2">
        <v>43213.637000000002</v>
      </c>
      <c r="G191" s="2">
        <v>43503.337</v>
      </c>
      <c r="H191" s="7">
        <f>(G191-F191)*E191</f>
        <v>17381.999999999825</v>
      </c>
      <c r="I191" s="66"/>
      <c r="J191" s="65"/>
    </row>
    <row r="192" spans="1:11" s="56" customFormat="1">
      <c r="A192" s="1" t="s">
        <v>246</v>
      </c>
      <c r="B192" s="2" t="s">
        <v>247</v>
      </c>
      <c r="C192" s="2">
        <v>1075</v>
      </c>
      <c r="D192" s="2" t="s">
        <v>25</v>
      </c>
      <c r="E192" s="2">
        <v>60</v>
      </c>
      <c r="F192" s="247">
        <v>80626.8</v>
      </c>
      <c r="G192" s="247">
        <v>80626.8</v>
      </c>
      <c r="H192" s="7">
        <f t="shared" si="7"/>
        <v>0</v>
      </c>
      <c r="I192" s="66" t="s">
        <v>92</v>
      </c>
      <c r="J192" s="65"/>
    </row>
    <row r="193" spans="1:11" s="56" customFormat="1">
      <c r="A193" s="1" t="s">
        <v>248</v>
      </c>
      <c r="B193" s="2" t="s">
        <v>225</v>
      </c>
      <c r="C193" s="2">
        <v>10988215</v>
      </c>
      <c r="D193" s="2" t="s">
        <v>72</v>
      </c>
      <c r="E193" s="2">
        <v>20</v>
      </c>
      <c r="F193" s="247">
        <v>4227.8999999999996</v>
      </c>
      <c r="G193" s="247">
        <v>4229.8999999999996</v>
      </c>
      <c r="H193" s="7">
        <f t="shared" si="7"/>
        <v>40</v>
      </c>
      <c r="I193" s="68"/>
      <c r="J193" s="65"/>
      <c r="K193" s="55"/>
    </row>
    <row r="194" spans="1:11" s="55" customFormat="1">
      <c r="A194" s="1" t="s">
        <v>249</v>
      </c>
      <c r="B194" s="2" t="s">
        <v>250</v>
      </c>
      <c r="C194" s="2" t="s">
        <v>251</v>
      </c>
      <c r="D194" s="3" t="s">
        <v>25</v>
      </c>
      <c r="E194" s="2">
        <v>60</v>
      </c>
      <c r="F194" s="247">
        <v>65481.3</v>
      </c>
      <c r="G194" s="247">
        <v>66155.7</v>
      </c>
      <c r="H194" s="7">
        <f t="shared" si="7"/>
        <v>40463.999999999651</v>
      </c>
      <c r="I194" s="38"/>
      <c r="J194" s="39"/>
    </row>
    <row r="195" spans="1:11" s="55" customFormat="1">
      <c r="A195" s="1" t="s">
        <v>252</v>
      </c>
      <c r="B195" s="2" t="s">
        <v>253</v>
      </c>
      <c r="C195" s="2">
        <v>2517376</v>
      </c>
      <c r="D195" s="2" t="s">
        <v>25</v>
      </c>
      <c r="E195" s="2">
        <v>60</v>
      </c>
      <c r="F195" s="247">
        <v>141386.82</v>
      </c>
      <c r="G195" s="247">
        <v>142046.01999999999</v>
      </c>
      <c r="H195" s="7">
        <f t="shared" si="7"/>
        <v>39551.999999998952</v>
      </c>
      <c r="I195" s="38"/>
      <c r="J195" s="39"/>
      <c r="K195" s="56"/>
    </row>
    <row r="196" spans="1:11" s="56" customFormat="1">
      <c r="A196" s="1" t="s">
        <v>254</v>
      </c>
      <c r="B196" s="2" t="s">
        <v>191</v>
      </c>
      <c r="C196" s="2">
        <v>8173</v>
      </c>
      <c r="D196" s="36"/>
      <c r="E196" s="2"/>
      <c r="F196" s="247"/>
      <c r="G196" s="247"/>
      <c r="H196" s="7">
        <v>5000</v>
      </c>
      <c r="I196" s="66"/>
      <c r="J196" s="65"/>
      <c r="K196" s="245"/>
    </row>
    <row r="197" spans="1:11" s="245" customFormat="1">
      <c r="A197" s="1" t="s">
        <v>255</v>
      </c>
      <c r="B197" s="2" t="s">
        <v>253</v>
      </c>
      <c r="C197" s="2">
        <v>3316674</v>
      </c>
      <c r="D197" s="2" t="s">
        <v>25</v>
      </c>
      <c r="E197" s="2">
        <v>60</v>
      </c>
      <c r="F197" s="247"/>
      <c r="G197" s="247"/>
      <c r="H197" s="7">
        <v>5000</v>
      </c>
      <c r="I197" s="38"/>
      <c r="J197" s="39"/>
      <c r="K197" s="56"/>
    </row>
    <row r="198" spans="1:11" s="56" customFormat="1">
      <c r="A198" s="1" t="s">
        <v>256</v>
      </c>
      <c r="B198" s="2" t="s">
        <v>253</v>
      </c>
      <c r="C198" s="2">
        <v>3316284</v>
      </c>
      <c r="D198" s="2" t="s">
        <v>25</v>
      </c>
      <c r="E198" s="2">
        <v>60</v>
      </c>
      <c r="F198" s="247">
        <v>56156.27</v>
      </c>
      <c r="G198" s="247">
        <v>56718.83</v>
      </c>
      <c r="H198" s="7">
        <f>(G198-F198)*E198</f>
        <v>33753.600000000297</v>
      </c>
      <c r="I198" s="38"/>
      <c r="J198" s="39"/>
    </row>
    <row r="199" spans="1:11" s="56" customFormat="1">
      <c r="A199" s="1" t="s">
        <v>257</v>
      </c>
      <c r="B199" s="2" t="s">
        <v>115</v>
      </c>
      <c r="C199" s="2"/>
      <c r="D199" s="2"/>
      <c r="E199" s="2"/>
      <c r="F199" s="247"/>
      <c r="G199" s="247"/>
      <c r="H199" s="7">
        <v>5000</v>
      </c>
      <c r="I199" s="38"/>
      <c r="J199" s="39"/>
    </row>
    <row r="200" spans="1:11" s="56" customFormat="1" ht="16.5" customHeight="1">
      <c r="A200" s="1" t="s">
        <v>258</v>
      </c>
      <c r="B200" s="2" t="s">
        <v>111</v>
      </c>
      <c r="C200" s="2">
        <v>7774</v>
      </c>
      <c r="D200" s="2" t="s">
        <v>25</v>
      </c>
      <c r="E200" s="2">
        <v>60</v>
      </c>
      <c r="F200" s="247">
        <v>1715.8</v>
      </c>
      <c r="G200" s="247">
        <v>1720.4</v>
      </c>
      <c r="H200" s="7">
        <f>(G200-F200)*E200</f>
        <v>276.00000000000819</v>
      </c>
      <c r="I200" s="38"/>
      <c r="J200" s="39"/>
      <c r="K200" s="55"/>
    </row>
    <row r="201" spans="1:11" s="55" customFormat="1">
      <c r="A201" s="1" t="s">
        <v>259</v>
      </c>
      <c r="B201" s="2" t="s">
        <v>101</v>
      </c>
      <c r="C201" s="2" t="s">
        <v>260</v>
      </c>
      <c r="D201" s="2" t="s">
        <v>122</v>
      </c>
      <c r="E201" s="2">
        <v>40</v>
      </c>
      <c r="F201" s="247">
        <v>21992.35</v>
      </c>
      <c r="G201" s="247">
        <v>22852.29</v>
      </c>
      <c r="H201" s="7">
        <f>(G201-F201)*E201</f>
        <v>34397.600000000093</v>
      </c>
      <c r="I201" s="182"/>
      <c r="J201" s="143"/>
    </row>
    <row r="202" spans="1:11" s="55" customFormat="1">
      <c r="A202" s="1" t="s">
        <v>261</v>
      </c>
      <c r="B202" s="3" t="s">
        <v>94</v>
      </c>
      <c r="C202" s="3" t="s">
        <v>262</v>
      </c>
      <c r="D202" s="2" t="s">
        <v>72</v>
      </c>
      <c r="E202" s="2">
        <v>20</v>
      </c>
      <c r="F202" s="247">
        <v>1353.2</v>
      </c>
      <c r="G202" s="247">
        <v>1354.8</v>
      </c>
      <c r="H202" s="7">
        <f>(G202-F202)*E202</f>
        <v>31.999999999998181</v>
      </c>
      <c r="I202" s="68"/>
      <c r="J202" s="50"/>
      <c r="K202" s="245"/>
    </row>
    <row r="203" spans="1:11" s="245" customFormat="1">
      <c r="A203" s="1" t="s">
        <v>263</v>
      </c>
      <c r="B203" s="2" t="s">
        <v>264</v>
      </c>
      <c r="C203" s="2" t="s">
        <v>265</v>
      </c>
      <c r="D203" s="2" t="s">
        <v>72</v>
      </c>
      <c r="E203" s="2">
        <v>20</v>
      </c>
      <c r="F203" s="247">
        <v>7890.1</v>
      </c>
      <c r="G203" s="247">
        <v>7892.2</v>
      </c>
      <c r="H203" s="7">
        <f>(G203-F203)*E203</f>
        <v>41.999999999989086</v>
      </c>
      <c r="I203" s="182" t="s">
        <v>266</v>
      </c>
      <c r="J203" s="143"/>
      <c r="K203" s="55"/>
    </row>
    <row r="204" spans="1:11" s="55" customFormat="1">
      <c r="A204" s="1" t="s">
        <v>267</v>
      </c>
      <c r="B204" s="2" t="s">
        <v>115</v>
      </c>
      <c r="C204" s="2"/>
      <c r="D204" s="2"/>
      <c r="E204" s="2"/>
      <c r="F204" s="247"/>
      <c r="G204" s="247"/>
      <c r="H204" s="7">
        <v>5000</v>
      </c>
      <c r="I204" s="182"/>
      <c r="J204" s="143"/>
    </row>
    <row r="205" spans="1:11" s="55" customFormat="1">
      <c r="A205" s="1" t="s">
        <v>268</v>
      </c>
      <c r="B205" s="2" t="s">
        <v>269</v>
      </c>
      <c r="C205" s="2"/>
      <c r="D205" s="2"/>
      <c r="E205" s="2"/>
      <c r="F205" s="247"/>
      <c r="G205" s="247"/>
      <c r="H205" s="7">
        <v>5000</v>
      </c>
      <c r="I205" s="38" t="s">
        <v>92</v>
      </c>
      <c r="J205" s="39"/>
    </row>
    <row r="206" spans="1:11" s="55" customFormat="1">
      <c r="A206" s="1" t="s">
        <v>270</v>
      </c>
      <c r="B206" s="2" t="s">
        <v>111</v>
      </c>
      <c r="C206" s="2">
        <v>10996</v>
      </c>
      <c r="D206" s="2" t="s">
        <v>72</v>
      </c>
      <c r="E206" s="2">
        <v>20</v>
      </c>
      <c r="F206" s="247">
        <v>8334.7999999999993</v>
      </c>
      <c r="G206" s="247">
        <v>8374.5</v>
      </c>
      <c r="H206" s="7">
        <f t="shared" ref="H206:H214" si="8">(G206-F206)*E206</f>
        <v>794.00000000001455</v>
      </c>
      <c r="I206" s="38"/>
      <c r="J206" s="39"/>
    </row>
    <row r="207" spans="1:11" s="55" customFormat="1">
      <c r="A207" s="1" t="s">
        <v>271</v>
      </c>
      <c r="B207" s="2"/>
      <c r="C207" s="30"/>
      <c r="D207" s="2" t="s">
        <v>25</v>
      </c>
      <c r="E207" s="2">
        <v>60</v>
      </c>
      <c r="F207" s="247">
        <v>1171.4000000000001</v>
      </c>
      <c r="G207" s="247">
        <v>1282.5999999999999</v>
      </c>
      <c r="H207" s="7">
        <f t="shared" si="8"/>
        <v>6671.9999999999891</v>
      </c>
      <c r="I207" s="38"/>
      <c r="J207" s="39"/>
    </row>
    <row r="208" spans="1:11" s="55" customFormat="1">
      <c r="A208" s="1" t="s">
        <v>272</v>
      </c>
      <c r="B208" s="2" t="s">
        <v>94</v>
      </c>
      <c r="C208" s="30" t="s">
        <v>273</v>
      </c>
      <c r="D208" s="3" t="s">
        <v>113</v>
      </c>
      <c r="E208" s="2">
        <v>50</v>
      </c>
      <c r="F208" s="247">
        <v>152269.9</v>
      </c>
      <c r="G208" s="247">
        <v>153219.70000000001</v>
      </c>
      <c r="H208" s="7">
        <f t="shared" si="8"/>
        <v>47490.000000000873</v>
      </c>
      <c r="I208" s="38"/>
      <c r="J208" s="39"/>
    </row>
    <row r="209" spans="1:11" s="55" customFormat="1">
      <c r="A209" s="1" t="s">
        <v>274</v>
      </c>
      <c r="B209" s="2" t="s">
        <v>94</v>
      </c>
      <c r="C209" s="2" t="s">
        <v>275</v>
      </c>
      <c r="D209" s="2" t="s">
        <v>72</v>
      </c>
      <c r="E209" s="2">
        <v>20</v>
      </c>
      <c r="F209" s="247">
        <v>3217.8</v>
      </c>
      <c r="G209" s="247">
        <v>3219.9</v>
      </c>
      <c r="H209" s="7">
        <f t="shared" si="8"/>
        <v>41.999999999998181</v>
      </c>
      <c r="I209" s="68"/>
      <c r="J209" s="39"/>
    </row>
    <row r="210" spans="1:11" s="55" customFormat="1">
      <c r="A210" s="1" t="s">
        <v>276</v>
      </c>
      <c r="B210" s="2" t="s">
        <v>225</v>
      </c>
      <c r="C210" s="2">
        <v>10988474</v>
      </c>
      <c r="D210" s="2" t="s">
        <v>25</v>
      </c>
      <c r="E210" s="2">
        <v>60</v>
      </c>
      <c r="F210" s="247">
        <v>1510.6</v>
      </c>
      <c r="G210" s="247">
        <v>1511.1</v>
      </c>
      <c r="H210" s="7">
        <f t="shared" si="8"/>
        <v>30</v>
      </c>
      <c r="I210" s="38"/>
      <c r="J210" s="39"/>
    </row>
    <row r="211" spans="1:11" s="55" customFormat="1">
      <c r="A211" s="1" t="s">
        <v>277</v>
      </c>
      <c r="B211" s="2" t="s">
        <v>253</v>
      </c>
      <c r="C211" s="2">
        <v>48872434</v>
      </c>
      <c r="D211" s="3" t="s">
        <v>25</v>
      </c>
      <c r="E211" s="2">
        <v>60</v>
      </c>
      <c r="F211" s="247">
        <v>8129.6</v>
      </c>
      <c r="G211" s="247">
        <v>8585.1</v>
      </c>
      <c r="H211" s="7">
        <f t="shared" si="8"/>
        <v>27330</v>
      </c>
      <c r="I211" s="68"/>
      <c r="J211" s="39"/>
      <c r="K211" s="56"/>
    </row>
    <row r="212" spans="1:11" s="56" customFormat="1" ht="17.25" customHeight="1">
      <c r="A212" s="1" t="s">
        <v>278</v>
      </c>
      <c r="B212" s="157" t="s">
        <v>104</v>
      </c>
      <c r="C212" s="69">
        <v>1863</v>
      </c>
      <c r="D212" s="69" t="s">
        <v>25</v>
      </c>
      <c r="E212" s="2">
        <v>60</v>
      </c>
      <c r="F212" s="247">
        <v>38655.413999999997</v>
      </c>
      <c r="G212" s="247">
        <v>38803.425999999999</v>
      </c>
      <c r="H212" s="7">
        <f t="shared" si="8"/>
        <v>8880.7200000001467</v>
      </c>
      <c r="I212" s="38"/>
      <c r="J212" s="39"/>
    </row>
    <row r="213" spans="1:11" s="56" customFormat="1">
      <c r="A213" s="1" t="s">
        <v>279</v>
      </c>
      <c r="B213" s="3" t="s">
        <v>104</v>
      </c>
      <c r="C213" s="2">
        <v>1859</v>
      </c>
      <c r="D213" s="3" t="s">
        <v>82</v>
      </c>
      <c r="E213" s="2">
        <v>40</v>
      </c>
      <c r="F213" s="247">
        <v>29781.249</v>
      </c>
      <c r="G213" s="247">
        <v>29936.02</v>
      </c>
      <c r="H213" s="7">
        <f t="shared" si="8"/>
        <v>6190.8400000000256</v>
      </c>
      <c r="I213" s="38"/>
      <c r="J213" s="39"/>
    </row>
    <row r="214" spans="1:11" s="56" customFormat="1">
      <c r="A214" s="1" t="s">
        <v>280</v>
      </c>
      <c r="B214" s="2" t="s">
        <v>94</v>
      </c>
      <c r="C214" s="3" t="s">
        <v>281</v>
      </c>
      <c r="D214" s="3" t="s">
        <v>82</v>
      </c>
      <c r="E214" s="2">
        <v>40</v>
      </c>
      <c r="F214" s="247">
        <v>28849.200000000001</v>
      </c>
      <c r="G214" s="247">
        <v>29218.400000000001</v>
      </c>
      <c r="H214" s="7">
        <f t="shared" si="8"/>
        <v>14768.000000000029</v>
      </c>
      <c r="I214" s="38"/>
      <c r="J214" s="39"/>
    </row>
    <row r="215" spans="1:11" s="56" customFormat="1">
      <c r="A215" s="1" t="s">
        <v>282</v>
      </c>
      <c r="B215" s="2"/>
      <c r="C215" s="2"/>
      <c r="D215" s="2"/>
      <c r="E215" s="2"/>
      <c r="F215" s="70"/>
      <c r="G215" s="70"/>
      <c r="H215" s="7">
        <f>H175*0.03</f>
        <v>26068.536000000004</v>
      </c>
      <c r="I215" s="38"/>
      <c r="J215" s="39"/>
    </row>
    <row r="216" spans="1:11" s="56" customFormat="1">
      <c r="A216" s="1" t="s">
        <v>283</v>
      </c>
      <c r="B216" s="10"/>
      <c r="C216" s="2"/>
      <c r="D216" s="2"/>
      <c r="E216" s="2"/>
      <c r="F216" s="70"/>
      <c r="G216" s="70"/>
      <c r="H216" s="7">
        <f>H175*0.03</f>
        <v>26068.536000000004</v>
      </c>
      <c r="I216" s="38"/>
      <c r="J216" s="39"/>
    </row>
    <row r="217" spans="1:11" s="56" customFormat="1">
      <c r="A217" s="9" t="s">
        <v>284</v>
      </c>
      <c r="B217" s="10"/>
      <c r="C217" s="35"/>
      <c r="D217" s="2"/>
      <c r="E217" s="2"/>
      <c r="F217" s="70"/>
      <c r="G217" s="70"/>
      <c r="H217" s="11">
        <f>H176+H177+H178+H179+H180+H181+H182+H183+H184+H185+H186+H187+H188+H189+H190+H191+H192+H193+H194+H195+H196+H197+H198+H199+H200+H201+H202+H203+H204+H205+H206+H207+H208+H209+H210+H211+H212+H213+H214+H215+H216</f>
        <v>666865.49200000078</v>
      </c>
      <c r="I217" s="38"/>
      <c r="J217" s="143"/>
    </row>
    <row r="218" spans="1:11" s="56" customFormat="1">
      <c r="A218" s="129"/>
      <c r="B218" s="30"/>
      <c r="C218" s="130"/>
      <c r="D218" s="131"/>
      <c r="E218" s="131"/>
      <c r="F218" s="183"/>
      <c r="G218" s="183"/>
      <c r="H218" s="132"/>
      <c r="I218" s="169"/>
      <c r="J218" s="184"/>
    </row>
    <row r="219" spans="1:11" s="56" customFormat="1">
      <c r="A219" s="343" t="s">
        <v>285</v>
      </c>
      <c r="B219" s="344"/>
      <c r="C219" s="344"/>
      <c r="D219" s="344"/>
      <c r="E219" s="344"/>
      <c r="F219" s="344"/>
      <c r="G219" s="312"/>
      <c r="H219" s="286"/>
      <c r="I219" s="159"/>
      <c r="J219" s="173"/>
      <c r="K219" s="55"/>
    </row>
    <row r="220" spans="1:11" s="55" customFormat="1">
      <c r="A220" s="1" t="s">
        <v>286</v>
      </c>
      <c r="B220" s="2" t="s">
        <v>71</v>
      </c>
      <c r="C220" s="2">
        <v>51097675</v>
      </c>
      <c r="D220" s="2" t="s">
        <v>37</v>
      </c>
      <c r="E220" s="2">
        <v>4800</v>
      </c>
      <c r="F220" s="247">
        <v>325.56799999999998</v>
      </c>
      <c r="G220" s="247">
        <v>428.80399999999997</v>
      </c>
      <c r="H220" s="7">
        <f>(G220-F220)*E220</f>
        <v>495532.79999999993</v>
      </c>
      <c r="I220" s="38"/>
      <c r="J220" s="143"/>
    </row>
    <row r="221" spans="1:11" s="55" customFormat="1">
      <c r="A221" s="1" t="s">
        <v>287</v>
      </c>
      <c r="B221" s="2" t="s">
        <v>71</v>
      </c>
      <c r="C221" s="2">
        <v>51097620</v>
      </c>
      <c r="D221" s="2" t="s">
        <v>37</v>
      </c>
      <c r="E221" s="2">
        <v>4800</v>
      </c>
      <c r="F221" s="247">
        <v>361.762</v>
      </c>
      <c r="G221" s="247">
        <v>443.95800000000003</v>
      </c>
      <c r="H221" s="7">
        <f>(G221-F221)*E221</f>
        <v>394540.8000000001</v>
      </c>
      <c r="I221" s="38"/>
      <c r="J221" s="143"/>
    </row>
    <row r="222" spans="1:11" s="55" customFormat="1">
      <c r="A222" s="1" t="s">
        <v>288</v>
      </c>
      <c r="B222" s="2" t="s">
        <v>71</v>
      </c>
      <c r="C222" s="2">
        <v>51097599</v>
      </c>
      <c r="D222" s="2" t="s">
        <v>25</v>
      </c>
      <c r="E222" s="2">
        <v>3600</v>
      </c>
      <c r="F222" s="247">
        <v>810.02700000000004</v>
      </c>
      <c r="G222" s="247">
        <v>902.27800000000002</v>
      </c>
      <c r="H222" s="7">
        <f>(G222-F222)*E222</f>
        <v>332103.59999999992</v>
      </c>
      <c r="I222" s="38"/>
      <c r="J222" s="143"/>
    </row>
    <row r="223" spans="1:11" s="55" customFormat="1">
      <c r="A223" s="6" t="s">
        <v>289</v>
      </c>
      <c r="B223" s="2" t="s">
        <v>16</v>
      </c>
      <c r="C223" s="8">
        <v>51097633</v>
      </c>
      <c r="D223" s="2" t="s">
        <v>37</v>
      </c>
      <c r="E223" s="2">
        <v>4800</v>
      </c>
      <c r="F223" s="46">
        <v>91.781000000000006</v>
      </c>
      <c r="G223" s="46">
        <v>118.34699999999999</v>
      </c>
      <c r="H223" s="7">
        <f>(G223-F223)*E223</f>
        <v>127516.79999999994</v>
      </c>
      <c r="I223" s="38"/>
      <c r="J223" s="143"/>
    </row>
    <row r="224" spans="1:11" s="55" customFormat="1">
      <c r="A224" s="9" t="s">
        <v>220</v>
      </c>
      <c r="B224" s="2"/>
      <c r="C224" s="2"/>
      <c r="D224" s="2"/>
      <c r="E224" s="10"/>
      <c r="F224" s="18"/>
      <c r="G224" s="18"/>
      <c r="H224" s="11">
        <f>H220+H221+H222+H223</f>
        <v>1349694</v>
      </c>
      <c r="I224" s="12" t="e">
        <f>H224-H290</f>
        <v>#VALUE!</v>
      </c>
      <c r="J224" s="13" t="e">
        <f>I224/H224</f>
        <v>#VALUE!</v>
      </c>
      <c r="K224" s="245"/>
    </row>
    <row r="225" spans="1:11" s="245" customFormat="1">
      <c r="A225" s="1" t="s">
        <v>290</v>
      </c>
      <c r="B225" s="2" t="s">
        <v>111</v>
      </c>
      <c r="C225" s="2">
        <v>178996</v>
      </c>
      <c r="D225" s="2" t="s">
        <v>72</v>
      </c>
      <c r="E225" s="2">
        <v>20</v>
      </c>
      <c r="F225" s="247">
        <v>1497.3</v>
      </c>
      <c r="G225" s="247">
        <v>1497.5</v>
      </c>
      <c r="H225" s="7">
        <f t="shared" ref="H225:H234" si="9">(G225-F225)*E225</f>
        <v>4.0000000000009095</v>
      </c>
      <c r="I225" s="68"/>
      <c r="J225" s="39"/>
      <c r="K225" s="55"/>
    </row>
    <row r="226" spans="1:11" s="55" customFormat="1">
      <c r="A226" s="1" t="s">
        <v>291</v>
      </c>
      <c r="B226" s="2" t="s">
        <v>292</v>
      </c>
      <c r="C226" s="2" t="s">
        <v>293</v>
      </c>
      <c r="D226" s="2" t="s">
        <v>25</v>
      </c>
      <c r="E226" s="2">
        <v>60</v>
      </c>
      <c r="F226" s="263">
        <v>20128.82</v>
      </c>
      <c r="G226" s="263">
        <v>20601.13</v>
      </c>
      <c r="H226" s="7">
        <f t="shared" si="9"/>
        <v>28338.600000000079</v>
      </c>
      <c r="I226" s="38"/>
      <c r="J226" s="39"/>
    </row>
    <row r="227" spans="1:11" s="55" customFormat="1">
      <c r="A227" s="1" t="s">
        <v>294</v>
      </c>
      <c r="B227" s="2" t="s">
        <v>155</v>
      </c>
      <c r="C227" s="2">
        <v>102300737</v>
      </c>
      <c r="D227" s="3" t="s">
        <v>113</v>
      </c>
      <c r="E227" s="2">
        <v>50</v>
      </c>
      <c r="F227" s="247">
        <v>54567.5</v>
      </c>
      <c r="G227" s="247">
        <v>55504.5</v>
      </c>
      <c r="H227" s="7">
        <f t="shared" si="9"/>
        <v>46850</v>
      </c>
      <c r="I227" s="66"/>
      <c r="J227" s="65"/>
    </row>
    <row r="228" spans="1:11" s="55" customFormat="1">
      <c r="A228" s="1" t="s">
        <v>295</v>
      </c>
      <c r="B228" s="2" t="s">
        <v>101</v>
      </c>
      <c r="C228" s="2" t="s">
        <v>296</v>
      </c>
      <c r="D228" s="2" t="s">
        <v>25</v>
      </c>
      <c r="E228" s="2">
        <v>60</v>
      </c>
      <c r="F228" s="247">
        <v>73883.399999999994</v>
      </c>
      <c r="G228" s="247">
        <v>74416.100000000006</v>
      </c>
      <c r="H228" s="7">
        <f t="shared" si="9"/>
        <v>31962.000000000698</v>
      </c>
      <c r="I228" s="66"/>
      <c r="J228" s="65"/>
    </row>
    <row r="229" spans="1:11" s="55" customFormat="1">
      <c r="A229" s="1" t="s">
        <v>297</v>
      </c>
      <c r="B229" s="2" t="s">
        <v>298</v>
      </c>
      <c r="C229" s="2">
        <v>35343616</v>
      </c>
      <c r="D229" s="3" t="s">
        <v>82</v>
      </c>
      <c r="E229" s="2">
        <v>40</v>
      </c>
      <c r="F229" s="247">
        <v>25081.599999999999</v>
      </c>
      <c r="G229" s="247">
        <v>25286.18</v>
      </c>
      <c r="H229" s="7">
        <f t="shared" si="9"/>
        <v>8183.2000000000698</v>
      </c>
      <c r="I229" s="66"/>
      <c r="J229" s="65"/>
    </row>
    <row r="230" spans="1:11" s="55" customFormat="1">
      <c r="A230" s="1" t="s">
        <v>299</v>
      </c>
      <c r="B230" s="2" t="s">
        <v>292</v>
      </c>
      <c r="C230" s="2" t="s">
        <v>300</v>
      </c>
      <c r="D230" s="2" t="s">
        <v>25</v>
      </c>
      <c r="E230" s="2">
        <v>60</v>
      </c>
      <c r="F230" s="247">
        <v>33855.06</v>
      </c>
      <c r="G230" s="247">
        <v>34335.019999999997</v>
      </c>
      <c r="H230" s="7">
        <f t="shared" si="9"/>
        <v>28797.599999999948</v>
      </c>
      <c r="I230" s="66"/>
      <c r="J230" s="65"/>
    </row>
    <row r="231" spans="1:11" s="55" customFormat="1">
      <c r="A231" s="1" t="s">
        <v>301</v>
      </c>
      <c r="B231" s="2" t="s">
        <v>104</v>
      </c>
      <c r="C231" s="2" t="s">
        <v>302</v>
      </c>
      <c r="D231" s="2" t="s">
        <v>122</v>
      </c>
      <c r="E231" s="2">
        <v>40</v>
      </c>
      <c r="F231" s="247">
        <v>21639.735000000001</v>
      </c>
      <c r="G231" s="247">
        <v>22074.966</v>
      </c>
      <c r="H231" s="7">
        <f t="shared" si="9"/>
        <v>17409.239999999991</v>
      </c>
      <c r="I231" s="66"/>
      <c r="J231" s="65"/>
    </row>
    <row r="232" spans="1:11" s="55" customFormat="1">
      <c r="A232" s="1" t="s">
        <v>303</v>
      </c>
      <c r="B232" s="2" t="s">
        <v>191</v>
      </c>
      <c r="C232" s="2">
        <v>150784</v>
      </c>
      <c r="D232" s="2" t="s">
        <v>72</v>
      </c>
      <c r="E232" s="2">
        <v>20</v>
      </c>
      <c r="F232" s="247">
        <v>112359.5</v>
      </c>
      <c r="G232" s="247">
        <v>113390.3</v>
      </c>
      <c r="H232" s="7">
        <f t="shared" si="9"/>
        <v>20616.000000000058</v>
      </c>
      <c r="I232" s="66"/>
      <c r="J232" s="65"/>
    </row>
    <row r="233" spans="1:11" s="55" customFormat="1" ht="16.5" customHeight="1">
      <c r="A233" s="1" t="s">
        <v>304</v>
      </c>
      <c r="B233" s="2" t="s">
        <v>155</v>
      </c>
      <c r="C233" s="2">
        <v>102300961</v>
      </c>
      <c r="D233" s="2" t="s">
        <v>72</v>
      </c>
      <c r="E233" s="2">
        <v>20</v>
      </c>
      <c r="F233" s="247">
        <v>359.5</v>
      </c>
      <c r="G233" s="247">
        <v>360.9</v>
      </c>
      <c r="H233" s="7">
        <f t="shared" si="9"/>
        <v>27.999999999999545</v>
      </c>
      <c r="I233" s="68"/>
      <c r="J233" s="65"/>
      <c r="K233" s="56"/>
    </row>
    <row r="234" spans="1:11" s="56" customFormat="1">
      <c r="A234" s="1" t="s">
        <v>305</v>
      </c>
      <c r="B234" s="2" t="s">
        <v>253</v>
      </c>
      <c r="C234" s="2">
        <v>3315578</v>
      </c>
      <c r="D234" s="2" t="s">
        <v>25</v>
      </c>
      <c r="E234" s="2">
        <v>60</v>
      </c>
      <c r="F234" s="247">
        <v>76961.240000000005</v>
      </c>
      <c r="G234" s="247">
        <v>77436.679999999993</v>
      </c>
      <c r="H234" s="7">
        <f t="shared" si="9"/>
        <v>28526.399999999267</v>
      </c>
      <c r="I234" s="38"/>
      <c r="J234" s="65"/>
      <c r="K234" s="55"/>
    </row>
    <row r="235" spans="1:11" s="55" customFormat="1">
      <c r="A235" s="1" t="s">
        <v>306</v>
      </c>
      <c r="B235" s="2" t="s">
        <v>307</v>
      </c>
      <c r="C235" s="2" t="s">
        <v>308</v>
      </c>
      <c r="D235" s="2" t="s">
        <v>25</v>
      </c>
      <c r="E235" s="2">
        <v>60</v>
      </c>
      <c r="F235" s="247">
        <v>30004</v>
      </c>
      <c r="G235" s="247">
        <v>30004</v>
      </c>
      <c r="H235" s="7">
        <v>100</v>
      </c>
      <c r="I235" s="68"/>
      <c r="J235" s="65"/>
    </row>
    <row r="236" spans="1:11" s="55" customFormat="1">
      <c r="A236" s="1" t="s">
        <v>309</v>
      </c>
      <c r="B236" s="2" t="s">
        <v>155</v>
      </c>
      <c r="C236" s="2">
        <v>102301197</v>
      </c>
      <c r="D236" s="2" t="s">
        <v>25</v>
      </c>
      <c r="E236" s="2">
        <v>60</v>
      </c>
      <c r="F236" s="247">
        <v>41673.800000000003</v>
      </c>
      <c r="G236" s="247">
        <v>42096.5</v>
      </c>
      <c r="H236" s="7">
        <f>(G236-F236)*E236</f>
        <v>25361.999999999825</v>
      </c>
      <c r="I236" s="68"/>
      <c r="J236" s="65"/>
    </row>
    <row r="237" spans="1:11" s="55" customFormat="1">
      <c r="A237" s="1" t="s">
        <v>310</v>
      </c>
      <c r="B237" s="2" t="s">
        <v>311</v>
      </c>
      <c r="C237" s="2" t="s">
        <v>312</v>
      </c>
      <c r="D237" s="2" t="s">
        <v>72</v>
      </c>
      <c r="E237" s="2">
        <v>20</v>
      </c>
      <c r="F237" s="247">
        <v>6001.1</v>
      </c>
      <c r="G237" s="247">
        <v>6002.8</v>
      </c>
      <c r="H237" s="7">
        <f>(G237-F237)*E237</f>
        <v>33.999999999996362</v>
      </c>
      <c r="I237" s="68"/>
      <c r="J237" s="65"/>
    </row>
    <row r="238" spans="1:11" s="55" customFormat="1">
      <c r="A238" s="1" t="s">
        <v>313</v>
      </c>
      <c r="B238" s="2" t="s">
        <v>311</v>
      </c>
      <c r="C238" s="2" t="s">
        <v>314</v>
      </c>
      <c r="D238" s="35" t="s">
        <v>315</v>
      </c>
      <c r="E238" s="2">
        <v>40</v>
      </c>
      <c r="F238" s="247">
        <v>10047.5</v>
      </c>
      <c r="G238" s="247">
        <v>10047.5</v>
      </c>
      <c r="H238" s="7">
        <f>(G238-F238)*E238</f>
        <v>0</v>
      </c>
      <c r="I238" s="38"/>
      <c r="J238" s="65"/>
      <c r="K238" s="56"/>
    </row>
    <row r="239" spans="1:11" s="56" customFormat="1">
      <c r="A239" s="1" t="s">
        <v>316</v>
      </c>
      <c r="B239" s="3" t="s">
        <v>104</v>
      </c>
      <c r="C239" s="3" t="s">
        <v>317</v>
      </c>
      <c r="D239" s="2" t="s">
        <v>25</v>
      </c>
      <c r="E239" s="2">
        <v>60</v>
      </c>
      <c r="F239" s="247">
        <v>86092.328999999998</v>
      </c>
      <c r="G239" s="247">
        <v>86785.785000000003</v>
      </c>
      <c r="H239" s="7">
        <f>(G239-F239)*E239</f>
        <v>41607.360000000335</v>
      </c>
      <c r="I239" s="38"/>
      <c r="J239" s="39"/>
      <c r="K239" s="55"/>
    </row>
    <row r="240" spans="1:11" s="55" customFormat="1">
      <c r="A240" s="1" t="s">
        <v>318</v>
      </c>
      <c r="B240" s="2" t="s">
        <v>191</v>
      </c>
      <c r="C240" s="3" t="s">
        <v>319</v>
      </c>
      <c r="D240" s="2" t="s">
        <v>72</v>
      </c>
      <c r="E240" s="2">
        <v>20</v>
      </c>
      <c r="F240" s="247"/>
      <c r="G240" s="247"/>
      <c r="H240" s="7">
        <v>20</v>
      </c>
      <c r="I240" s="38"/>
      <c r="J240" s="39"/>
      <c r="K240" s="56"/>
    </row>
    <row r="241" spans="1:11" s="56" customFormat="1">
      <c r="A241" s="1" t="s">
        <v>320</v>
      </c>
      <c r="B241" s="2"/>
      <c r="C241" s="3"/>
      <c r="D241" s="2" t="s">
        <v>72</v>
      </c>
      <c r="E241" s="2">
        <v>20</v>
      </c>
      <c r="F241" s="18"/>
      <c r="G241" s="18"/>
      <c r="H241" s="7">
        <v>30</v>
      </c>
      <c r="I241" s="38"/>
      <c r="J241" s="39"/>
      <c r="K241" s="55"/>
    </row>
    <row r="242" spans="1:11" s="55" customFormat="1">
      <c r="A242" s="1" t="s">
        <v>321</v>
      </c>
      <c r="B242" s="2" t="s">
        <v>115</v>
      </c>
      <c r="C242" s="2"/>
      <c r="D242" s="2"/>
      <c r="E242" s="2"/>
      <c r="F242" s="18"/>
      <c r="G242" s="18"/>
      <c r="H242" s="7">
        <v>0</v>
      </c>
      <c r="I242" s="38"/>
      <c r="J242" s="39"/>
      <c r="K242" s="56"/>
    </row>
    <row r="243" spans="1:11" s="56" customFormat="1">
      <c r="A243" s="1" t="s">
        <v>322</v>
      </c>
      <c r="B243" s="3" t="s">
        <v>104</v>
      </c>
      <c r="C243" s="3" t="s">
        <v>323</v>
      </c>
      <c r="D243" s="2" t="s">
        <v>37</v>
      </c>
      <c r="E243" s="2">
        <v>80</v>
      </c>
      <c r="F243" s="247">
        <v>456.12299999999999</v>
      </c>
      <c r="G243" s="247">
        <v>456.12299999999999</v>
      </c>
      <c r="H243" s="7">
        <f>(G243-F243)*E243</f>
        <v>0</v>
      </c>
      <c r="I243" s="38"/>
      <c r="J243" s="39"/>
    </row>
    <row r="244" spans="1:11" s="56" customFormat="1">
      <c r="A244" s="1" t="s">
        <v>324</v>
      </c>
      <c r="B244" s="2" t="s">
        <v>228</v>
      </c>
      <c r="C244" s="2">
        <v>117470</v>
      </c>
      <c r="D244" s="3" t="s">
        <v>113</v>
      </c>
      <c r="E244" s="2">
        <v>50</v>
      </c>
      <c r="F244" s="247">
        <v>71816.5</v>
      </c>
      <c r="G244" s="247">
        <v>72224.399999999994</v>
      </c>
      <c r="H244" s="7">
        <f>(G244-F244)*E244</f>
        <v>20394.999999999709</v>
      </c>
      <c r="I244" s="38"/>
      <c r="J244" s="39"/>
    </row>
    <row r="245" spans="1:11" s="56" customFormat="1">
      <c r="A245" s="1" t="s">
        <v>325</v>
      </c>
      <c r="B245" s="2" t="s">
        <v>101</v>
      </c>
      <c r="C245" s="2" t="s">
        <v>326</v>
      </c>
      <c r="D245" s="3" t="s">
        <v>82</v>
      </c>
      <c r="E245" s="2">
        <v>40</v>
      </c>
      <c r="F245" s="247">
        <v>71797.899999999994</v>
      </c>
      <c r="G245" s="247">
        <v>72502.399999999994</v>
      </c>
      <c r="H245" s="7">
        <f t="shared" ref="H245:H255" si="10">(G245-F245)*E245</f>
        <v>28180</v>
      </c>
      <c r="I245" s="38"/>
      <c r="J245" s="39"/>
      <c r="K245" s="55"/>
    </row>
    <row r="246" spans="1:11" s="55" customFormat="1">
      <c r="A246" s="1" t="s">
        <v>327</v>
      </c>
      <c r="B246" s="2" t="s">
        <v>94</v>
      </c>
      <c r="C246" s="2" t="s">
        <v>328</v>
      </c>
      <c r="D246" s="3" t="s">
        <v>82</v>
      </c>
      <c r="E246" s="2">
        <v>40</v>
      </c>
      <c r="F246" s="247">
        <v>89226.4</v>
      </c>
      <c r="G246" s="247">
        <v>89978.7</v>
      </c>
      <c r="H246" s="7">
        <f t="shared" si="10"/>
        <v>30092.000000000116</v>
      </c>
      <c r="I246" s="38"/>
      <c r="J246" s="39"/>
    </row>
    <row r="247" spans="1:11" s="55" customFormat="1">
      <c r="A247" s="1" t="s">
        <v>329</v>
      </c>
      <c r="B247" s="2" t="s">
        <v>94</v>
      </c>
      <c r="C247" s="2" t="s">
        <v>330</v>
      </c>
      <c r="D247" s="2" t="s">
        <v>25</v>
      </c>
      <c r="E247" s="2">
        <v>60</v>
      </c>
      <c r="F247" s="247">
        <v>101203.9</v>
      </c>
      <c r="G247" s="247">
        <v>101453.8</v>
      </c>
      <c r="H247" s="7">
        <f t="shared" si="10"/>
        <v>14994.000000000524</v>
      </c>
      <c r="I247" s="38"/>
      <c r="J247" s="39"/>
      <c r="K247" s="56"/>
    </row>
    <row r="248" spans="1:11" s="56" customFormat="1">
      <c r="A248" s="1" t="s">
        <v>331</v>
      </c>
      <c r="B248" s="2" t="s">
        <v>94</v>
      </c>
      <c r="C248" s="2" t="s">
        <v>332</v>
      </c>
      <c r="D248" s="2" t="s">
        <v>25</v>
      </c>
      <c r="E248" s="2">
        <v>60</v>
      </c>
      <c r="F248" s="247">
        <v>103637.9</v>
      </c>
      <c r="G248" s="247">
        <v>104295.9</v>
      </c>
      <c r="H248" s="7">
        <f t="shared" si="10"/>
        <v>39480</v>
      </c>
      <c r="I248" s="66"/>
      <c r="J248" s="50"/>
      <c r="K248" s="57"/>
    </row>
    <row r="249" spans="1:11" s="57" customFormat="1">
      <c r="A249" s="1" t="s">
        <v>333</v>
      </c>
      <c r="B249" s="2" t="s">
        <v>101</v>
      </c>
      <c r="C249" s="2" t="s">
        <v>334</v>
      </c>
      <c r="D249" s="2" t="s">
        <v>25</v>
      </c>
      <c r="E249" s="2">
        <v>60</v>
      </c>
      <c r="F249" s="247">
        <v>7415.27</v>
      </c>
      <c r="G249" s="247">
        <v>7814.92</v>
      </c>
      <c r="H249" s="7">
        <f>(G249-F249)*E249</f>
        <v>23978.999999999978</v>
      </c>
      <c r="I249" s="66"/>
      <c r="J249" s="50"/>
      <c r="K249" s="58"/>
    </row>
    <row r="250" spans="1:11" s="58" customFormat="1" ht="16.5" customHeight="1">
      <c r="A250" s="1" t="s">
        <v>335</v>
      </c>
      <c r="B250" s="3" t="s">
        <v>104</v>
      </c>
      <c r="C250" s="3" t="s">
        <v>336</v>
      </c>
      <c r="D250" s="3" t="s">
        <v>113</v>
      </c>
      <c r="E250" s="2">
        <v>50</v>
      </c>
      <c r="F250" s="247">
        <v>8613.4</v>
      </c>
      <c r="G250" s="247">
        <v>8613.4</v>
      </c>
      <c r="H250" s="7">
        <f t="shared" si="10"/>
        <v>0</v>
      </c>
      <c r="I250" s="66"/>
      <c r="J250" s="50"/>
      <c r="K250" s="56"/>
    </row>
    <row r="251" spans="1:11" s="56" customFormat="1">
      <c r="A251" s="1" t="s">
        <v>337</v>
      </c>
      <c r="B251" s="2" t="s">
        <v>253</v>
      </c>
      <c r="C251" s="2">
        <v>3315521</v>
      </c>
      <c r="D251" s="2" t="s">
        <v>25</v>
      </c>
      <c r="E251" s="2">
        <v>60</v>
      </c>
      <c r="F251" s="247">
        <v>82305.960000000006</v>
      </c>
      <c r="G251" s="247">
        <v>82781.06</v>
      </c>
      <c r="H251" s="7">
        <f t="shared" si="10"/>
        <v>28505.999999999476</v>
      </c>
      <c r="I251" s="66"/>
      <c r="J251" s="65"/>
      <c r="K251" s="55"/>
    </row>
    <row r="252" spans="1:11" s="55" customFormat="1">
      <c r="A252" s="1" t="s">
        <v>338</v>
      </c>
      <c r="B252" s="2" t="s">
        <v>339</v>
      </c>
      <c r="C252" s="2">
        <v>1192981</v>
      </c>
      <c r="D252" s="2" t="s">
        <v>25</v>
      </c>
      <c r="E252" s="2">
        <v>60</v>
      </c>
      <c r="F252" s="247">
        <v>92756.986999999994</v>
      </c>
      <c r="G252" s="247">
        <v>93304.304000000004</v>
      </c>
      <c r="H252" s="7">
        <f t="shared" si="10"/>
        <v>32839.020000000601</v>
      </c>
      <c r="I252" s="38"/>
      <c r="J252" s="39"/>
    </row>
    <row r="253" spans="1:11" s="55" customFormat="1">
      <c r="A253" s="1" t="s">
        <v>340</v>
      </c>
      <c r="B253" s="2" t="s">
        <v>228</v>
      </c>
      <c r="C253" s="2">
        <v>117399</v>
      </c>
      <c r="D253" s="3" t="s">
        <v>113</v>
      </c>
      <c r="E253" s="2">
        <v>50</v>
      </c>
      <c r="F253" s="247">
        <v>129403.1</v>
      </c>
      <c r="G253" s="247">
        <v>130233.8</v>
      </c>
      <c r="H253" s="7">
        <f t="shared" si="10"/>
        <v>41534.999999999854</v>
      </c>
      <c r="I253" s="38"/>
      <c r="J253" s="65"/>
      <c r="K253" s="56"/>
    </row>
    <row r="254" spans="1:11" s="56" customFormat="1">
      <c r="A254" s="1" t="s">
        <v>341</v>
      </c>
      <c r="B254" s="3" t="s">
        <v>104</v>
      </c>
      <c r="C254" s="3" t="s">
        <v>342</v>
      </c>
      <c r="D254" s="3" t="s">
        <v>82</v>
      </c>
      <c r="E254" s="2">
        <v>40</v>
      </c>
      <c r="F254" s="247">
        <v>2408</v>
      </c>
      <c r="G254" s="247">
        <v>2409.1</v>
      </c>
      <c r="H254" s="7">
        <f t="shared" si="10"/>
        <v>43.999999999996362</v>
      </c>
      <c r="I254" s="38"/>
      <c r="J254" s="65"/>
    </row>
    <row r="255" spans="1:11" s="56" customFormat="1">
      <c r="A255" s="1" t="s">
        <v>343</v>
      </c>
      <c r="B255" s="2" t="s">
        <v>344</v>
      </c>
      <c r="C255" s="2">
        <v>155043</v>
      </c>
      <c r="D255" s="2" t="s">
        <v>25</v>
      </c>
      <c r="E255" s="2">
        <v>60</v>
      </c>
      <c r="F255" s="247">
        <v>59310.7</v>
      </c>
      <c r="G255" s="247">
        <v>59683</v>
      </c>
      <c r="H255" s="7">
        <f t="shared" si="10"/>
        <v>22338.000000000175</v>
      </c>
      <c r="I255" s="38"/>
      <c r="J255" s="39"/>
      <c r="K255" s="55"/>
    </row>
    <row r="256" spans="1:11" s="55" customFormat="1">
      <c r="A256" s="1" t="s">
        <v>345</v>
      </c>
      <c r="B256" s="2" t="s">
        <v>311</v>
      </c>
      <c r="C256" s="2" t="s">
        <v>346</v>
      </c>
      <c r="D256" s="2" t="s">
        <v>25</v>
      </c>
      <c r="E256" s="2">
        <v>60</v>
      </c>
      <c r="F256" s="247">
        <v>77646.3</v>
      </c>
      <c r="G256" s="247">
        <v>78309.5</v>
      </c>
      <c r="H256" s="7">
        <f t="shared" ref="H256:H263" si="11">(G256-F256)*E256</f>
        <v>39791.999999999825</v>
      </c>
      <c r="I256" s="38"/>
      <c r="J256" s="39"/>
      <c r="K256" s="56"/>
    </row>
    <row r="257" spans="1:13" s="56" customFormat="1">
      <c r="A257" s="1" t="s">
        <v>347</v>
      </c>
      <c r="B257" s="2" t="s">
        <v>253</v>
      </c>
      <c r="C257" s="2">
        <v>3316298</v>
      </c>
      <c r="D257" s="2" t="s">
        <v>25</v>
      </c>
      <c r="E257" s="2">
        <v>60</v>
      </c>
      <c r="F257" s="247">
        <v>153532.92000000001</v>
      </c>
      <c r="G257" s="247">
        <v>154466.47</v>
      </c>
      <c r="H257" s="7">
        <f t="shared" si="11"/>
        <v>56012.999999999302</v>
      </c>
      <c r="I257" s="182"/>
      <c r="J257" s="143"/>
      <c r="K257" s="55"/>
    </row>
    <row r="258" spans="1:13" s="55" customFormat="1">
      <c r="A258" s="1" t="s">
        <v>348</v>
      </c>
      <c r="B258" s="3" t="s">
        <v>230</v>
      </c>
      <c r="C258" s="3" t="s">
        <v>349</v>
      </c>
      <c r="D258" s="2" t="s">
        <v>72</v>
      </c>
      <c r="E258" s="2">
        <v>20</v>
      </c>
      <c r="F258" s="84">
        <v>2100.1</v>
      </c>
      <c r="G258" s="84">
        <v>2100.9</v>
      </c>
      <c r="H258" s="7">
        <f t="shared" si="11"/>
        <v>16.000000000003638</v>
      </c>
      <c r="I258" s="62"/>
      <c r="J258" s="143"/>
    </row>
    <row r="259" spans="1:13" s="55" customFormat="1">
      <c r="A259" s="1" t="s">
        <v>350</v>
      </c>
      <c r="B259" s="3" t="s">
        <v>104</v>
      </c>
      <c r="C259" s="3" t="s">
        <v>351</v>
      </c>
      <c r="D259" s="2" t="s">
        <v>25</v>
      </c>
      <c r="E259" s="2">
        <v>60</v>
      </c>
      <c r="F259" s="3" t="s">
        <v>352</v>
      </c>
      <c r="G259" s="3" t="s">
        <v>353</v>
      </c>
      <c r="H259" s="7">
        <f t="shared" si="11"/>
        <v>32578020</v>
      </c>
      <c r="I259" s="185"/>
      <c r="J259" s="50"/>
      <c r="K259" s="56"/>
    </row>
    <row r="260" spans="1:13" s="56" customFormat="1">
      <c r="A260" s="1" t="s">
        <v>354</v>
      </c>
      <c r="B260" s="3" t="s">
        <v>104</v>
      </c>
      <c r="C260" s="2">
        <v>1862</v>
      </c>
      <c r="D260" s="2" t="s">
        <v>25</v>
      </c>
      <c r="E260" s="2">
        <v>60</v>
      </c>
      <c r="F260" s="247">
        <v>24290.286</v>
      </c>
      <c r="G260" s="247">
        <v>24546.385999999999</v>
      </c>
      <c r="H260" s="7">
        <f t="shared" si="11"/>
        <v>15365.999999999913</v>
      </c>
      <c r="I260" s="49"/>
      <c r="J260" s="50"/>
    </row>
    <row r="261" spans="1:13" s="56" customFormat="1">
      <c r="A261" s="1" t="s">
        <v>355</v>
      </c>
      <c r="B261" s="2" t="s">
        <v>356</v>
      </c>
      <c r="C261" s="2" t="s">
        <v>357</v>
      </c>
      <c r="D261" s="2" t="s">
        <v>72</v>
      </c>
      <c r="E261" s="2">
        <v>20</v>
      </c>
      <c r="F261" s="247">
        <v>1250</v>
      </c>
      <c r="G261" s="247">
        <v>1251.9000000000001</v>
      </c>
      <c r="H261" s="7">
        <f t="shared" si="11"/>
        <v>38.000000000001819</v>
      </c>
      <c r="I261" s="49"/>
      <c r="J261" s="50"/>
      <c r="K261" s="55"/>
      <c r="L261" s="55"/>
      <c r="M261" s="55"/>
    </row>
    <row r="262" spans="1:13" s="55" customFormat="1">
      <c r="A262" s="1" t="s">
        <v>358</v>
      </c>
      <c r="B262" s="2" t="s">
        <v>94</v>
      </c>
      <c r="C262" s="2" t="s">
        <v>359</v>
      </c>
      <c r="D262" s="2" t="s">
        <v>72</v>
      </c>
      <c r="E262" s="2">
        <v>20</v>
      </c>
      <c r="F262" s="247">
        <v>1189.0999999999999</v>
      </c>
      <c r="G262" s="247">
        <v>1190.9000000000001</v>
      </c>
      <c r="H262" s="7">
        <f t="shared" si="11"/>
        <v>36.000000000003638</v>
      </c>
      <c r="I262" s="49"/>
      <c r="J262" s="50"/>
    </row>
    <row r="263" spans="1:13" s="55" customFormat="1">
      <c r="A263" s="1" t="s">
        <v>360</v>
      </c>
      <c r="B263" s="2" t="s">
        <v>111</v>
      </c>
      <c r="C263" s="2">
        <v>79010</v>
      </c>
      <c r="D263" s="2" t="s">
        <v>25</v>
      </c>
      <c r="E263" s="2">
        <v>60</v>
      </c>
      <c r="F263" s="247">
        <v>57699.1</v>
      </c>
      <c r="G263" s="247">
        <v>57700.7</v>
      </c>
      <c r="H263" s="7">
        <f t="shared" si="11"/>
        <v>95.999999999912689</v>
      </c>
      <c r="I263" s="185"/>
      <c r="J263" s="50"/>
    </row>
    <row r="264" spans="1:13" s="55" customFormat="1">
      <c r="A264" s="1" t="s">
        <v>361</v>
      </c>
      <c r="B264" s="3" t="s">
        <v>298</v>
      </c>
      <c r="C264" s="3" t="s">
        <v>362</v>
      </c>
      <c r="D264" s="2" t="s">
        <v>25</v>
      </c>
      <c r="E264" s="2">
        <v>60</v>
      </c>
      <c r="F264" s="247">
        <v>8231.1</v>
      </c>
      <c r="G264" s="247">
        <v>8796.6</v>
      </c>
      <c r="H264" s="7">
        <f>(G264-F264)*E264</f>
        <v>33930</v>
      </c>
      <c r="I264" s="68"/>
      <c r="J264" s="186"/>
      <c r="K264" s="56"/>
    </row>
    <row r="265" spans="1:13" s="56" customFormat="1">
      <c r="A265" s="1" t="s">
        <v>363</v>
      </c>
      <c r="B265" s="3" t="s">
        <v>104</v>
      </c>
      <c r="C265" s="3" t="s">
        <v>364</v>
      </c>
      <c r="D265" s="2" t="s">
        <v>365</v>
      </c>
      <c r="E265" s="2">
        <v>80</v>
      </c>
      <c r="F265" s="3" t="s">
        <v>366</v>
      </c>
      <c r="G265" s="3" t="s">
        <v>367</v>
      </c>
      <c r="H265" s="7" t="e">
        <f>(G265-F265)*E265</f>
        <v>#VALUE!</v>
      </c>
      <c r="I265" s="68"/>
      <c r="J265" s="186"/>
      <c r="K265" s="245"/>
      <c r="L265" s="245"/>
      <c r="M265" s="245"/>
    </row>
    <row r="266" spans="1:13" s="245" customFormat="1">
      <c r="A266" s="1" t="s">
        <v>368</v>
      </c>
      <c r="B266" s="2" t="s">
        <v>115</v>
      </c>
      <c r="C266" s="2"/>
      <c r="D266" s="2"/>
      <c r="E266" s="2"/>
      <c r="F266" s="247"/>
      <c r="G266" s="247"/>
      <c r="H266" s="7">
        <v>50</v>
      </c>
      <c r="I266" s="38"/>
      <c r="J266" s="187"/>
      <c r="K266" s="55"/>
      <c r="L266" s="55"/>
      <c r="M266" s="55"/>
    </row>
    <row r="267" spans="1:13" s="55" customFormat="1">
      <c r="A267" s="1" t="s">
        <v>369</v>
      </c>
      <c r="B267" s="2" t="s">
        <v>115</v>
      </c>
      <c r="C267" s="2"/>
      <c r="D267" s="2"/>
      <c r="E267" s="2"/>
      <c r="F267" s="247"/>
      <c r="G267" s="247"/>
      <c r="H267" s="7">
        <v>50</v>
      </c>
      <c r="I267" s="66"/>
      <c r="J267" s="50"/>
    </row>
    <row r="268" spans="1:13" s="55" customFormat="1">
      <c r="A268" s="1" t="s">
        <v>370</v>
      </c>
      <c r="B268" s="2" t="s">
        <v>101</v>
      </c>
      <c r="C268" s="3" t="s">
        <v>371</v>
      </c>
      <c r="D268" s="3" t="s">
        <v>372</v>
      </c>
      <c r="E268" s="2">
        <v>15</v>
      </c>
      <c r="F268" s="247">
        <v>1930.1</v>
      </c>
      <c r="G268" s="247">
        <v>1932.1</v>
      </c>
      <c r="H268" s="7">
        <f>(G268-F268)*E268</f>
        <v>30</v>
      </c>
      <c r="I268" s="68"/>
      <c r="J268" s="39"/>
    </row>
    <row r="269" spans="1:13" s="55" customFormat="1">
      <c r="A269" s="1" t="s">
        <v>373</v>
      </c>
      <c r="B269" s="2" t="s">
        <v>374</v>
      </c>
      <c r="C269" s="2">
        <v>45958</v>
      </c>
      <c r="D269" s="3" t="s">
        <v>113</v>
      </c>
      <c r="E269" s="2">
        <v>50</v>
      </c>
      <c r="F269" s="247">
        <v>98759.2</v>
      </c>
      <c r="G269" s="247">
        <v>99213.8</v>
      </c>
      <c r="H269" s="7">
        <f>(G269-F269)*E269</f>
        <v>22730.000000000291</v>
      </c>
      <c r="I269" s="38"/>
      <c r="J269" s="39"/>
      <c r="K269" s="56"/>
      <c r="L269" s="56"/>
      <c r="M269" s="56"/>
    </row>
    <row r="270" spans="1:13" s="56" customFormat="1">
      <c r="A270" s="1" t="s">
        <v>375</v>
      </c>
      <c r="B270" s="2" t="s">
        <v>344</v>
      </c>
      <c r="C270" s="2">
        <v>10988492</v>
      </c>
      <c r="D270" s="2" t="s">
        <v>72</v>
      </c>
      <c r="E270" s="2">
        <v>20</v>
      </c>
      <c r="F270" s="247">
        <v>3947.1</v>
      </c>
      <c r="G270" s="247">
        <v>3948.2</v>
      </c>
      <c r="H270" s="7">
        <f>(G270-F270)*E270</f>
        <v>21.999999999998181</v>
      </c>
      <c r="I270" s="68"/>
      <c r="J270" s="39"/>
      <c r="K270" s="76"/>
      <c r="L270" s="76"/>
      <c r="M270" s="76"/>
    </row>
    <row r="271" spans="1:13" s="76" customFormat="1">
      <c r="A271" s="1" t="s">
        <v>376</v>
      </c>
      <c r="B271" s="3" t="s">
        <v>104</v>
      </c>
      <c r="C271" s="2">
        <v>1819</v>
      </c>
      <c r="D271" s="2" t="s">
        <v>40</v>
      </c>
      <c r="E271" s="2">
        <v>10</v>
      </c>
      <c r="F271" s="247">
        <v>31080.542000000001</v>
      </c>
      <c r="G271" s="247">
        <v>33053.292000000001</v>
      </c>
      <c r="H271" s="7">
        <f>(G271-F271)*E271</f>
        <v>19727.5</v>
      </c>
      <c r="I271" s="66"/>
      <c r="J271" s="50"/>
      <c r="K271" s="55"/>
      <c r="L271" s="55"/>
      <c r="M271" s="55"/>
    </row>
    <row r="272" spans="1:13" s="55" customFormat="1">
      <c r="A272" s="1" t="s">
        <v>377</v>
      </c>
      <c r="B272" s="2" t="s">
        <v>115</v>
      </c>
      <c r="C272" s="2"/>
      <c r="D272" s="2"/>
      <c r="E272" s="2"/>
      <c r="F272" s="18"/>
      <c r="G272" s="18"/>
      <c r="H272" s="7">
        <v>20</v>
      </c>
      <c r="I272" s="59"/>
      <c r="J272" s="39"/>
      <c r="K272" s="56"/>
      <c r="L272" s="56"/>
      <c r="M272" s="56"/>
    </row>
    <row r="273" spans="1:13" s="56" customFormat="1">
      <c r="A273" s="1" t="s">
        <v>378</v>
      </c>
      <c r="B273" s="2" t="s">
        <v>253</v>
      </c>
      <c r="C273" s="2">
        <v>35392544</v>
      </c>
      <c r="D273" s="2" t="s">
        <v>67</v>
      </c>
      <c r="E273" s="2">
        <v>200</v>
      </c>
      <c r="F273" s="62">
        <v>14355.1</v>
      </c>
      <c r="G273" s="62">
        <v>14355.11</v>
      </c>
      <c r="H273" s="7">
        <f>(G273-F273)*E273</f>
        <v>2.0000000000436557</v>
      </c>
      <c r="I273" s="59"/>
      <c r="J273" s="184"/>
      <c r="K273" s="76"/>
      <c r="L273" s="76"/>
      <c r="M273" s="76"/>
    </row>
    <row r="274" spans="1:13" s="76" customFormat="1">
      <c r="A274" s="1" t="s">
        <v>379</v>
      </c>
      <c r="B274" s="2" t="s">
        <v>155</v>
      </c>
      <c r="C274" s="2">
        <v>102300759</v>
      </c>
      <c r="D274" s="2" t="s">
        <v>67</v>
      </c>
      <c r="E274" s="2">
        <v>200</v>
      </c>
      <c r="F274" s="247">
        <v>4052.3</v>
      </c>
      <c r="G274" s="247">
        <v>4052.6</v>
      </c>
      <c r="H274" s="7">
        <f t="shared" ref="H274:H279" si="12">(G274-F274)*E274</f>
        <v>59.99999999994543</v>
      </c>
      <c r="I274" s="84"/>
      <c r="J274" s="40"/>
      <c r="K274" s="55"/>
      <c r="L274" s="55"/>
      <c r="M274" s="55"/>
    </row>
    <row r="275" spans="1:13" s="55" customFormat="1">
      <c r="A275" s="52" t="s">
        <v>380</v>
      </c>
      <c r="B275" s="2" t="s">
        <v>186</v>
      </c>
      <c r="C275" s="141">
        <v>1112451</v>
      </c>
      <c r="D275" s="2" t="s">
        <v>17</v>
      </c>
      <c r="E275" s="2">
        <v>120</v>
      </c>
      <c r="F275" s="41">
        <v>293.43400000000003</v>
      </c>
      <c r="G275" s="41">
        <v>754.79</v>
      </c>
      <c r="H275" s="7">
        <f t="shared" si="12"/>
        <v>55362.719999999994</v>
      </c>
      <c r="I275" s="64"/>
      <c r="J275" s="188"/>
    </row>
    <row r="276" spans="1:13" s="55" customFormat="1">
      <c r="A276" s="52" t="s">
        <v>381</v>
      </c>
      <c r="B276" s="2" t="s">
        <v>186</v>
      </c>
      <c r="C276" s="2">
        <v>1127608</v>
      </c>
      <c r="D276" s="2" t="s">
        <v>17</v>
      </c>
      <c r="E276" s="2">
        <v>120</v>
      </c>
      <c r="F276" s="247">
        <v>42464.923999999999</v>
      </c>
      <c r="G276" s="247">
        <v>42555.512999999999</v>
      </c>
      <c r="H276" s="7">
        <f t="shared" si="12"/>
        <v>10870.679999999993</v>
      </c>
      <c r="I276" s="64"/>
      <c r="J276" s="188"/>
    </row>
    <row r="277" spans="1:13" s="55" customFormat="1">
      <c r="A277" s="1" t="s">
        <v>382</v>
      </c>
      <c r="B277" s="2" t="s">
        <v>253</v>
      </c>
      <c r="C277" s="2">
        <v>3315585</v>
      </c>
      <c r="D277" s="2" t="s">
        <v>25</v>
      </c>
      <c r="E277" s="2">
        <v>60</v>
      </c>
      <c r="F277" s="247">
        <v>125871</v>
      </c>
      <c r="G277" s="247">
        <v>126569.15</v>
      </c>
      <c r="H277" s="7">
        <f t="shared" si="12"/>
        <v>41888.999999999651</v>
      </c>
      <c r="I277" s="59"/>
      <c r="J277" s="143"/>
    </row>
    <row r="278" spans="1:13" s="55" customFormat="1">
      <c r="A278" s="1" t="s">
        <v>383</v>
      </c>
      <c r="B278" s="2" t="s">
        <v>191</v>
      </c>
      <c r="C278" s="2">
        <v>147623</v>
      </c>
      <c r="D278" s="2" t="s">
        <v>40</v>
      </c>
      <c r="E278" s="2">
        <v>10</v>
      </c>
      <c r="F278" s="263">
        <v>5817.5</v>
      </c>
      <c r="G278" s="263">
        <v>5896.6</v>
      </c>
      <c r="H278" s="7">
        <f t="shared" si="12"/>
        <v>791.00000000000364</v>
      </c>
      <c r="I278" s="59"/>
      <c r="J278" s="143"/>
      <c r="K278" s="245"/>
      <c r="L278" s="245"/>
      <c r="M278" s="245"/>
    </row>
    <row r="279" spans="1:13" s="245" customFormat="1">
      <c r="A279" s="1" t="s">
        <v>384</v>
      </c>
      <c r="B279" s="2" t="s">
        <v>104</v>
      </c>
      <c r="C279" s="2">
        <v>1843</v>
      </c>
      <c r="D279" s="2" t="s">
        <v>25</v>
      </c>
      <c r="E279" s="2">
        <v>60</v>
      </c>
      <c r="F279" s="247">
        <v>15898.987999999999</v>
      </c>
      <c r="G279" s="247">
        <v>15899.305</v>
      </c>
      <c r="H279" s="7">
        <f t="shared" si="12"/>
        <v>19.020000000055006</v>
      </c>
      <c r="I279" s="59"/>
      <c r="J279" s="143"/>
      <c r="K279" s="55"/>
      <c r="L279" s="55"/>
      <c r="M279" s="55"/>
    </row>
    <row r="280" spans="1:13" s="55" customFormat="1">
      <c r="A280" s="1" t="s">
        <v>385</v>
      </c>
      <c r="B280" s="29" t="s">
        <v>344</v>
      </c>
      <c r="C280" s="29">
        <v>10988161</v>
      </c>
      <c r="D280" s="29" t="s">
        <v>72</v>
      </c>
      <c r="E280" s="29">
        <v>20</v>
      </c>
      <c r="F280" s="247"/>
      <c r="G280" s="247"/>
      <c r="H280" s="7">
        <v>50</v>
      </c>
      <c r="I280" s="59"/>
      <c r="J280" s="143"/>
    </row>
    <row r="281" spans="1:13" s="55" customFormat="1">
      <c r="A281" s="1" t="s">
        <v>386</v>
      </c>
      <c r="B281" s="2" t="s">
        <v>387</v>
      </c>
      <c r="C281" s="2" t="s">
        <v>388</v>
      </c>
      <c r="D281" s="2" t="s">
        <v>82</v>
      </c>
      <c r="E281" s="2">
        <v>40</v>
      </c>
      <c r="F281" s="247">
        <v>82029.5</v>
      </c>
      <c r="G281" s="247">
        <v>82977.3</v>
      </c>
      <c r="H281" s="7">
        <f>(G281-F281)*E281</f>
        <v>37912.000000000116</v>
      </c>
      <c r="I281" s="59"/>
      <c r="J281" s="143"/>
    </row>
    <row r="282" spans="1:13" s="55" customFormat="1">
      <c r="A282" s="1" t="s">
        <v>389</v>
      </c>
      <c r="B282" s="2" t="s">
        <v>390</v>
      </c>
      <c r="C282" s="2">
        <v>1051</v>
      </c>
      <c r="D282" s="2" t="s">
        <v>72</v>
      </c>
      <c r="E282" s="2">
        <v>20</v>
      </c>
      <c r="F282" s="247"/>
      <c r="G282" s="247"/>
      <c r="H282" s="7">
        <v>50</v>
      </c>
      <c r="I282" s="62"/>
      <c r="J282" s="143"/>
    </row>
    <row r="283" spans="1:13" s="55" customFormat="1">
      <c r="A283" s="1" t="s">
        <v>391</v>
      </c>
      <c r="B283" s="2" t="s">
        <v>392</v>
      </c>
      <c r="C283" s="2" t="s">
        <v>92</v>
      </c>
      <c r="D283" s="2"/>
      <c r="E283" s="2"/>
      <c r="F283" s="247"/>
      <c r="G283" s="247"/>
      <c r="H283" s="7">
        <v>50</v>
      </c>
      <c r="I283" s="59"/>
      <c r="J283" s="143"/>
    </row>
    <row r="284" spans="1:13" s="55" customFormat="1">
      <c r="A284" s="1" t="s">
        <v>393</v>
      </c>
      <c r="B284" s="2" t="s">
        <v>191</v>
      </c>
      <c r="C284" s="2">
        <v>319102</v>
      </c>
      <c r="D284" s="3" t="s">
        <v>17</v>
      </c>
      <c r="E284" s="2">
        <v>120</v>
      </c>
      <c r="F284" s="247">
        <v>6643.2</v>
      </c>
      <c r="G284" s="247">
        <v>6643.4</v>
      </c>
      <c r="H284" s="7">
        <f>(G284-F284)*E284</f>
        <v>23.999999999978172</v>
      </c>
      <c r="I284" s="59"/>
      <c r="J284" s="143"/>
    </row>
    <row r="285" spans="1:13" s="55" customFormat="1">
      <c r="A285" s="1" t="s">
        <v>394</v>
      </c>
      <c r="B285" s="2" t="s">
        <v>253</v>
      </c>
      <c r="C285" s="2">
        <v>35343605</v>
      </c>
      <c r="D285" s="2" t="s">
        <v>122</v>
      </c>
      <c r="E285" s="2">
        <v>40</v>
      </c>
      <c r="F285" s="247">
        <v>9466.19</v>
      </c>
      <c r="G285" s="247">
        <v>9720.07</v>
      </c>
      <c r="H285" s="7">
        <f>(G285-F285)*E285</f>
        <v>10155.199999999968</v>
      </c>
      <c r="I285" s="59"/>
      <c r="J285" s="143"/>
    </row>
    <row r="286" spans="1:13" s="55" customFormat="1">
      <c r="A286" s="5" t="s">
        <v>395</v>
      </c>
      <c r="B286" s="2" t="s">
        <v>396</v>
      </c>
      <c r="C286" s="2" t="s">
        <v>397</v>
      </c>
      <c r="D286" s="60" t="s">
        <v>122</v>
      </c>
      <c r="E286" s="2">
        <v>40</v>
      </c>
      <c r="F286" s="247">
        <v>25205.47</v>
      </c>
      <c r="G286" s="247">
        <v>25600.49</v>
      </c>
      <c r="H286" s="7">
        <f>(G286-F286)*E286</f>
        <v>15800.800000000017</v>
      </c>
      <c r="I286" s="59"/>
      <c r="J286" s="143"/>
    </row>
    <row r="287" spans="1:13" s="55" customFormat="1">
      <c r="A287" s="5" t="s">
        <v>56</v>
      </c>
      <c r="B287" s="2"/>
      <c r="C287" s="2"/>
      <c r="D287" s="60"/>
      <c r="E287" s="2"/>
      <c r="F287" s="247"/>
      <c r="G287" s="247"/>
      <c r="H287" s="93">
        <v>264353.88000000146</v>
      </c>
      <c r="I287" s="189"/>
      <c r="J287" s="143"/>
    </row>
    <row r="288" spans="1:13" s="55" customFormat="1">
      <c r="A288" s="1" t="s">
        <v>282</v>
      </c>
      <c r="B288" s="10"/>
      <c r="C288" s="2"/>
      <c r="D288" s="2"/>
      <c r="E288" s="2"/>
      <c r="F288" s="70"/>
      <c r="G288" s="70"/>
      <c r="H288" s="26">
        <f>H224*0.01</f>
        <v>13496.94</v>
      </c>
      <c r="I288" s="59"/>
      <c r="J288" s="143"/>
    </row>
    <row r="289" spans="1:13" s="55" customFormat="1">
      <c r="A289" s="1" t="s">
        <v>283</v>
      </c>
      <c r="B289" s="10"/>
      <c r="C289" s="35"/>
      <c r="D289" s="2"/>
      <c r="E289" s="2"/>
      <c r="F289" s="70"/>
      <c r="G289" s="70"/>
      <c r="H289" s="7">
        <f>H224*0.01</f>
        <v>13496.94</v>
      </c>
      <c r="I289" s="59"/>
      <c r="J289" s="143"/>
    </row>
    <row r="290" spans="1:13" s="55" customFormat="1">
      <c r="A290" s="190" t="s">
        <v>398</v>
      </c>
      <c r="B290" s="110"/>
      <c r="C290" s="191"/>
      <c r="D290" s="8"/>
      <c r="E290" s="8"/>
      <c r="F290" s="81"/>
      <c r="G290" s="81"/>
      <c r="H290" s="192" t="e">
        <f>H225+H226+H227+H228+H229+H230+H231+H232+H233+H234+H235+H236+H237+H238+H239+H240+H241+H242+H243+H244+H245+H246+H247+H248+H249+H250+H251+H252+H253+H254+H255+H256+H257+H258+H259+H260+H261+H262+H263+H264+H265+H266+H267+H268+H269+H270+H271+H272+H273+H274+H275+H276+H277+H278+H279+H280+H281+H282+H283+H284+H285+H286+H287+H288+H289</f>
        <v>#VALUE!</v>
      </c>
      <c r="I290" s="193"/>
      <c r="J290" s="194"/>
    </row>
    <row r="291" spans="1:13" s="55" customFormat="1" ht="16.5" thickBot="1">
      <c r="A291" s="195"/>
      <c r="B291" s="121"/>
      <c r="C291" s="196"/>
      <c r="D291" s="20"/>
      <c r="E291" s="20"/>
      <c r="F291" s="22"/>
      <c r="G291" s="22"/>
      <c r="H291" s="23"/>
      <c r="I291" s="197"/>
      <c r="J291" s="180"/>
    </row>
    <row r="292" spans="1:13" s="55" customFormat="1" ht="17.25" customHeight="1" thickBot="1">
      <c r="A292" s="137"/>
      <c r="B292" s="198"/>
      <c r="C292" s="145"/>
      <c r="D292" s="141"/>
      <c r="E292" s="141"/>
      <c r="F292" s="199"/>
      <c r="G292" s="199"/>
      <c r="H292" s="200"/>
      <c r="I292" s="86"/>
      <c r="J292" s="201"/>
    </row>
    <row r="293" spans="1:13" s="55" customFormat="1">
      <c r="A293" s="202" t="s">
        <v>399</v>
      </c>
      <c r="B293" s="313" t="s">
        <v>400</v>
      </c>
      <c r="C293" s="313"/>
      <c r="D293" s="313"/>
      <c r="E293" s="313"/>
      <c r="F293" s="313"/>
      <c r="G293" s="308"/>
      <c r="H293" s="203"/>
      <c r="I293" s="167" t="s">
        <v>92</v>
      </c>
      <c r="J293" s="168"/>
    </row>
    <row r="294" spans="1:13" s="55" customFormat="1">
      <c r="A294" s="52" t="s">
        <v>401</v>
      </c>
      <c r="B294" s="2" t="s">
        <v>16</v>
      </c>
      <c r="C294" s="2">
        <v>51217271</v>
      </c>
      <c r="D294" s="69" t="s">
        <v>25</v>
      </c>
      <c r="E294" s="69">
        <v>21000</v>
      </c>
      <c r="F294" s="247">
        <v>479.44200000000001</v>
      </c>
      <c r="G294" s="247">
        <v>571.69100000000003</v>
      </c>
      <c r="H294" s="26">
        <f>(G294-F294)*E294</f>
        <v>1937229.0000000005</v>
      </c>
      <c r="I294" s="204" t="s">
        <v>92</v>
      </c>
      <c r="J294" s="70"/>
      <c r="K294" s="56"/>
      <c r="L294" s="56"/>
      <c r="M294" s="56"/>
    </row>
    <row r="295" spans="1:13" s="56" customFormat="1">
      <c r="A295" s="52" t="s">
        <v>402</v>
      </c>
      <c r="B295" s="2" t="s">
        <v>16</v>
      </c>
      <c r="C295" s="2">
        <v>51217276</v>
      </c>
      <c r="D295" s="2" t="s">
        <v>25</v>
      </c>
      <c r="E295" s="2">
        <v>21000</v>
      </c>
      <c r="F295" s="84">
        <v>0.29699999999999999</v>
      </c>
      <c r="G295" s="84">
        <v>0.46600000000000003</v>
      </c>
      <c r="H295" s="7">
        <f>(G295-F295)*E295</f>
        <v>3549.0000000000009</v>
      </c>
      <c r="I295" s="59"/>
      <c r="J295" s="70"/>
    </row>
    <row r="296" spans="1:13" s="56" customFormat="1">
      <c r="A296" s="33" t="s">
        <v>403</v>
      </c>
      <c r="B296" s="2" t="s">
        <v>71</v>
      </c>
      <c r="C296" s="60">
        <v>51431357</v>
      </c>
      <c r="D296" s="3" t="s">
        <v>82</v>
      </c>
      <c r="E296" s="2">
        <v>14000</v>
      </c>
      <c r="F296" s="84">
        <v>633.29300000000001</v>
      </c>
      <c r="G296" s="84">
        <v>741.73099999999999</v>
      </c>
      <c r="H296" s="7">
        <f>(G296-F296)*E296</f>
        <v>1518131.9999999998</v>
      </c>
      <c r="I296" s="59"/>
      <c r="J296" s="143"/>
      <c r="K296" s="55"/>
      <c r="L296" s="55"/>
      <c r="M296" s="55"/>
    </row>
    <row r="297" spans="1:13" s="55" customFormat="1" ht="16.5" thickBot="1">
      <c r="A297" s="205" t="s">
        <v>404</v>
      </c>
      <c r="B297" s="269"/>
      <c r="C297" s="111"/>
      <c r="D297" s="111"/>
      <c r="E297" s="111"/>
      <c r="F297" s="46"/>
      <c r="G297" s="46"/>
      <c r="H297" s="11">
        <f>H294+H295+H296</f>
        <v>3458910</v>
      </c>
      <c r="I297" s="27">
        <f>H297-H304</f>
        <v>35049.700000000186</v>
      </c>
      <c r="J297" s="13">
        <f>I297/H297</f>
        <v>1.0133163337583281E-2</v>
      </c>
    </row>
    <row r="298" spans="1:13" s="55" customFormat="1">
      <c r="A298" s="1" t="s">
        <v>405</v>
      </c>
      <c r="B298" s="2" t="s">
        <v>71</v>
      </c>
      <c r="C298" s="69">
        <v>51259238</v>
      </c>
      <c r="D298" s="2" t="s">
        <v>72</v>
      </c>
      <c r="E298" s="2">
        <v>7000</v>
      </c>
      <c r="F298" s="277">
        <v>396.07799999999997</v>
      </c>
      <c r="G298" s="277">
        <v>486.01799999999997</v>
      </c>
      <c r="H298" s="7">
        <f>(G298-F298)*E298</f>
        <v>629580</v>
      </c>
      <c r="I298" s="59"/>
      <c r="J298" s="143"/>
    </row>
    <row r="299" spans="1:13" s="55" customFormat="1">
      <c r="A299" s="1" t="s">
        <v>406</v>
      </c>
      <c r="B299" s="2" t="s">
        <v>71</v>
      </c>
      <c r="C299" s="2">
        <v>51259324</v>
      </c>
      <c r="D299" s="2" t="s">
        <v>72</v>
      </c>
      <c r="E299" s="2">
        <v>7000</v>
      </c>
      <c r="F299" s="247">
        <v>303.899</v>
      </c>
      <c r="G299" s="247">
        <v>373.55099999999999</v>
      </c>
      <c r="H299" s="7">
        <f>(G299-F299)*E299</f>
        <v>487563.99999999988</v>
      </c>
      <c r="I299" s="59"/>
      <c r="J299" s="143"/>
    </row>
    <row r="300" spans="1:13" s="55" customFormat="1">
      <c r="A300" s="33" t="s">
        <v>407</v>
      </c>
      <c r="B300" s="2" t="s">
        <v>71</v>
      </c>
      <c r="C300" s="279">
        <v>51431297</v>
      </c>
      <c r="D300" s="2" t="s">
        <v>72</v>
      </c>
      <c r="E300" s="2">
        <v>7000</v>
      </c>
      <c r="F300" s="287">
        <v>191.30199999999999</v>
      </c>
      <c r="G300" s="287">
        <v>240.98699999999999</v>
      </c>
      <c r="H300" s="7">
        <f>(G300-F300)*E300</f>
        <v>347795</v>
      </c>
      <c r="I300" s="59"/>
      <c r="J300" s="143"/>
    </row>
    <row r="301" spans="1:13" s="55" customFormat="1" ht="16.5" customHeight="1">
      <c r="A301" s="33" t="s">
        <v>408</v>
      </c>
      <c r="B301" s="2" t="s">
        <v>71</v>
      </c>
      <c r="C301" s="279">
        <v>51431332</v>
      </c>
      <c r="D301" s="2" t="s">
        <v>72</v>
      </c>
      <c r="E301" s="2">
        <v>7000</v>
      </c>
      <c r="F301" s="247">
        <v>292.45100000000002</v>
      </c>
      <c r="G301" s="247">
        <v>325.553</v>
      </c>
      <c r="H301" s="7">
        <f>(G301-F301)*E301</f>
        <v>231713.99999999983</v>
      </c>
      <c r="I301" s="18"/>
      <c r="J301" s="143"/>
    </row>
    <row r="302" spans="1:13" s="55" customFormat="1">
      <c r="A302" s="138" t="s">
        <v>56</v>
      </c>
      <c r="B302" s="8"/>
      <c r="C302" s="8"/>
      <c r="D302" s="8"/>
      <c r="E302" s="8"/>
      <c r="F302" s="46"/>
      <c r="G302" s="46"/>
      <c r="H302" s="11">
        <v>1623440</v>
      </c>
      <c r="I302" s="206"/>
      <c r="J302" s="143"/>
    </row>
    <row r="303" spans="1:13" s="55" customFormat="1">
      <c r="A303" s="138" t="s">
        <v>409</v>
      </c>
      <c r="B303" s="8"/>
      <c r="C303" s="8"/>
      <c r="D303" s="8"/>
      <c r="E303" s="139"/>
      <c r="F303" s="207"/>
      <c r="G303" s="207"/>
      <c r="H303" s="37">
        <f>(H294+H295+H296)*0.03</f>
        <v>103767.3</v>
      </c>
      <c r="I303" s="206"/>
      <c r="J303" s="143"/>
    </row>
    <row r="304" spans="1:13" s="55" customFormat="1" ht="16.5" thickBot="1">
      <c r="A304" s="125" t="s">
        <v>410</v>
      </c>
      <c r="B304" s="208"/>
      <c r="C304" s="209"/>
      <c r="D304" s="209"/>
      <c r="E304" s="209"/>
      <c r="F304" s="210"/>
      <c r="G304" s="210"/>
      <c r="H304" s="23">
        <f>H298+H299+H300+H301+H302+H303</f>
        <v>3423860.3</v>
      </c>
      <c r="I304" s="161"/>
      <c r="J304" s="180" t="s">
        <v>92</v>
      </c>
    </row>
    <row r="305" spans="1:13" s="55" customFormat="1">
      <c r="A305" s="33"/>
      <c r="B305" s="2"/>
      <c r="C305" s="2"/>
      <c r="D305" s="2"/>
      <c r="E305" s="111"/>
      <c r="F305" s="18"/>
      <c r="G305" s="18"/>
      <c r="H305" s="7"/>
      <c r="I305" s="167"/>
      <c r="J305" s="173"/>
    </row>
    <row r="306" spans="1:13" s="55" customFormat="1" ht="16.5" thickBot="1">
      <c r="A306" s="211"/>
      <c r="B306" s="268" t="s">
        <v>411</v>
      </c>
      <c r="C306" s="209"/>
      <c r="D306" s="209"/>
      <c r="E306" s="209"/>
      <c r="F306" s="212"/>
      <c r="G306" s="212"/>
      <c r="H306" s="213"/>
      <c r="I306" s="214"/>
      <c r="J306" s="215"/>
    </row>
    <row r="307" spans="1:13" s="55" customFormat="1">
      <c r="A307" s="52" t="s">
        <v>412</v>
      </c>
      <c r="B307" s="2" t="s">
        <v>71</v>
      </c>
      <c r="C307" s="69">
        <v>51259238</v>
      </c>
      <c r="D307" s="69" t="s">
        <v>72</v>
      </c>
      <c r="E307" s="69">
        <v>7000</v>
      </c>
      <c r="F307" s="277">
        <v>396.07799999999997</v>
      </c>
      <c r="G307" s="277">
        <v>486.01799999999997</v>
      </c>
      <c r="H307" s="26">
        <f>(G307-F307)*E307</f>
        <v>629580</v>
      </c>
      <c r="I307" s="204"/>
      <c r="J307" s="216"/>
    </row>
    <row r="308" spans="1:13" s="55" customFormat="1">
      <c r="A308" s="1" t="s">
        <v>413</v>
      </c>
      <c r="B308" s="2" t="s">
        <v>71</v>
      </c>
      <c r="C308" s="2">
        <v>51259324</v>
      </c>
      <c r="D308" s="2" t="s">
        <v>72</v>
      </c>
      <c r="E308" s="2">
        <v>7000</v>
      </c>
      <c r="F308" s="247">
        <v>303.899</v>
      </c>
      <c r="G308" s="247">
        <v>373.55099999999999</v>
      </c>
      <c r="H308" s="7">
        <f>(G308-F308)*E308</f>
        <v>487563.99999999988</v>
      </c>
      <c r="I308" s="59"/>
      <c r="J308" s="143"/>
      <c r="K308" s="76"/>
    </row>
    <row r="309" spans="1:13" s="55" customFormat="1">
      <c r="A309" s="1" t="s">
        <v>414</v>
      </c>
      <c r="B309" s="140" t="s">
        <v>64</v>
      </c>
      <c r="C309" s="2">
        <v>51491618</v>
      </c>
      <c r="D309" s="2" t="s">
        <v>82</v>
      </c>
      <c r="E309" s="2">
        <v>40</v>
      </c>
      <c r="F309" s="84">
        <v>637.45399999999995</v>
      </c>
      <c r="G309" s="84">
        <v>976.61900000000003</v>
      </c>
      <c r="H309" s="7">
        <f>(G309-F309)*E309</f>
        <v>13566.600000000002</v>
      </c>
      <c r="I309" s="59"/>
      <c r="J309" s="143"/>
      <c r="K309" s="245"/>
      <c r="L309" s="245"/>
      <c r="M309" s="245"/>
    </row>
    <row r="310" spans="1:13" s="245" customFormat="1">
      <c r="A310" s="1" t="s">
        <v>415</v>
      </c>
      <c r="B310" s="140" t="s">
        <v>64</v>
      </c>
      <c r="C310" s="2">
        <v>51491624</v>
      </c>
      <c r="D310" s="2" t="s">
        <v>82</v>
      </c>
      <c r="E310" s="2">
        <v>40</v>
      </c>
      <c r="F310" s="84">
        <v>94.644999999999996</v>
      </c>
      <c r="G310" s="84">
        <v>131.20599999999999</v>
      </c>
      <c r="H310" s="7">
        <f>(G310-F310)*E310</f>
        <v>1462.4399999999996</v>
      </c>
      <c r="I310" s="59"/>
      <c r="J310" s="143"/>
    </row>
    <row r="311" spans="1:13" s="245" customFormat="1">
      <c r="A311" s="205" t="s">
        <v>416</v>
      </c>
      <c r="B311" s="269"/>
      <c r="C311" s="8" t="s">
        <v>92</v>
      </c>
      <c r="D311" s="139"/>
      <c r="E311" s="139"/>
      <c r="F311" s="317"/>
      <c r="G311" s="317"/>
      <c r="H311" s="217">
        <f>H307+H308</f>
        <v>1117144</v>
      </c>
      <c r="I311" s="27">
        <f>H311-H314-H309-H310</f>
        <v>-34045.040000000001</v>
      </c>
      <c r="J311" s="13">
        <f>I311/H311</f>
        <v>-3.047506856770479E-2</v>
      </c>
      <c r="K311" s="76"/>
      <c r="L311" s="55"/>
      <c r="M311" s="55"/>
    </row>
    <row r="312" spans="1:13" s="55" customFormat="1">
      <c r="A312" s="1" t="s">
        <v>417</v>
      </c>
      <c r="B312" s="2" t="s">
        <v>71</v>
      </c>
      <c r="C312" s="314">
        <v>51097588</v>
      </c>
      <c r="D312" s="2" t="s">
        <v>67</v>
      </c>
      <c r="E312" s="2">
        <v>12000</v>
      </c>
      <c r="F312" s="247">
        <v>240.774</v>
      </c>
      <c r="G312" s="247">
        <v>293.25700000000001</v>
      </c>
      <c r="H312" s="7">
        <f>(G312-F312)*E312</f>
        <v>629796</v>
      </c>
      <c r="I312" s="59"/>
      <c r="J312" s="143"/>
      <c r="K312" s="76"/>
    </row>
    <row r="313" spans="1:13" s="55" customFormat="1">
      <c r="A313" s="1" t="s">
        <v>418</v>
      </c>
      <c r="B313" s="2" t="s">
        <v>71</v>
      </c>
      <c r="C313" s="314">
        <v>51431335</v>
      </c>
      <c r="D313" s="2" t="s">
        <v>67</v>
      </c>
      <c r="E313" s="2">
        <v>12000</v>
      </c>
      <c r="F313" s="247">
        <v>187.00399999999999</v>
      </c>
      <c r="G313" s="247">
        <v>229.20099999999999</v>
      </c>
      <c r="H313" s="7">
        <f>(G313-F313)*E313</f>
        <v>506364.00000000006</v>
      </c>
      <c r="I313" s="59"/>
      <c r="J313" s="143"/>
    </row>
    <row r="314" spans="1:13" s="55" customFormat="1">
      <c r="A314" s="104" t="s">
        <v>419</v>
      </c>
      <c r="B314" s="2" t="s">
        <v>92</v>
      </c>
      <c r="C314" s="2"/>
      <c r="D314" s="2"/>
      <c r="E314" s="2"/>
      <c r="F314" s="247"/>
      <c r="G314" s="247"/>
      <c r="H314" s="11">
        <f>H312+ H313</f>
        <v>1136160</v>
      </c>
      <c r="I314" s="27">
        <f>H314-H320</f>
        <v>-2664</v>
      </c>
      <c r="J314" s="13">
        <f>I314/H314</f>
        <v>-2.3447401774397973E-3</v>
      </c>
      <c r="K314" s="76"/>
    </row>
    <row r="315" spans="1:13" s="55" customFormat="1">
      <c r="A315" s="1" t="s">
        <v>420</v>
      </c>
      <c r="B315" s="2" t="s">
        <v>71</v>
      </c>
      <c r="C315" s="314">
        <v>51097676</v>
      </c>
      <c r="D315" s="3" t="s">
        <v>82</v>
      </c>
      <c r="E315" s="2">
        <v>2400</v>
      </c>
      <c r="F315" s="247">
        <v>474.77</v>
      </c>
      <c r="G315" s="247">
        <v>602.73</v>
      </c>
      <c r="H315" s="7">
        <f>(G315-F315)*E315</f>
        <v>307104.00000000012</v>
      </c>
      <c r="I315" s="59"/>
      <c r="J315" s="143"/>
      <c r="K315" s="76"/>
    </row>
    <row r="316" spans="1:13" s="55" customFormat="1">
      <c r="A316" s="1" t="s">
        <v>421</v>
      </c>
      <c r="B316" s="2" t="s">
        <v>71</v>
      </c>
      <c r="C316" s="314">
        <v>51431355</v>
      </c>
      <c r="D316" s="2" t="s">
        <v>25</v>
      </c>
      <c r="E316" s="2">
        <v>3600</v>
      </c>
      <c r="F316" s="247">
        <v>287.77</v>
      </c>
      <c r="G316" s="247">
        <v>328.82400000000001</v>
      </c>
      <c r="H316" s="7">
        <f>(G316-F316)*E316</f>
        <v>147794.40000000011</v>
      </c>
      <c r="I316" s="59"/>
      <c r="J316" s="39"/>
      <c r="K316" s="76"/>
    </row>
    <row r="317" spans="1:13" s="55" customFormat="1">
      <c r="A317" s="1" t="s">
        <v>422</v>
      </c>
      <c r="B317" s="2" t="s">
        <v>71</v>
      </c>
      <c r="C317" s="314">
        <v>51259331</v>
      </c>
      <c r="D317" s="3" t="s">
        <v>40</v>
      </c>
      <c r="E317" s="2">
        <v>600</v>
      </c>
      <c r="F317" s="247">
        <v>106.956</v>
      </c>
      <c r="G317" s="247">
        <v>141.27199999999999</v>
      </c>
      <c r="H317" s="7">
        <f>(G317-F317)*E317</f>
        <v>20589.599999999991</v>
      </c>
      <c r="I317" s="59"/>
      <c r="J317" s="39"/>
      <c r="K317" s="76"/>
    </row>
    <row r="318" spans="1:13" s="55" customFormat="1">
      <c r="A318" s="1" t="s">
        <v>423</v>
      </c>
      <c r="B318" s="2" t="s">
        <v>71</v>
      </c>
      <c r="C318" s="314">
        <v>51259326</v>
      </c>
      <c r="D318" s="3" t="s">
        <v>17</v>
      </c>
      <c r="E318" s="2">
        <v>7200</v>
      </c>
      <c r="F318" s="247">
        <v>247.227</v>
      </c>
      <c r="G318" s="247">
        <v>292.42399999999998</v>
      </c>
      <c r="H318" s="7">
        <f>(G318-F318)*E318</f>
        <v>325418.39999999979</v>
      </c>
      <c r="I318" s="59"/>
      <c r="J318" s="39"/>
      <c r="K318" s="76"/>
    </row>
    <row r="319" spans="1:13" s="55" customFormat="1">
      <c r="A319" s="1" t="s">
        <v>424</v>
      </c>
      <c r="B319" s="2" t="s">
        <v>71</v>
      </c>
      <c r="C319" s="314">
        <v>51431351</v>
      </c>
      <c r="D319" s="3" t="s">
        <v>17</v>
      </c>
      <c r="E319" s="2">
        <v>7200</v>
      </c>
      <c r="F319" s="247">
        <v>155.929</v>
      </c>
      <c r="G319" s="247">
        <v>202.86199999999999</v>
      </c>
      <c r="H319" s="7">
        <f>(G319-F319)*E319</f>
        <v>337917.6</v>
      </c>
      <c r="I319" s="59"/>
      <c r="J319" s="39"/>
    </row>
    <row r="320" spans="1:13" s="55" customFormat="1">
      <c r="A320" s="9" t="s">
        <v>425</v>
      </c>
      <c r="B320" s="2"/>
      <c r="C320" s="2"/>
      <c r="D320" s="2"/>
      <c r="E320" s="2"/>
      <c r="F320" s="46"/>
      <c r="G320" s="46"/>
      <c r="H320" s="11">
        <f>H315+H316+H317+H318+H319</f>
        <v>1138824</v>
      </c>
      <c r="I320" s="59"/>
      <c r="J320" s="143"/>
    </row>
    <row r="321" spans="1:13" s="55" customFormat="1">
      <c r="A321" s="1"/>
      <c r="B321" s="250" t="s">
        <v>426</v>
      </c>
      <c r="C321" s="251"/>
      <c r="D321" s="251"/>
      <c r="E321" s="251"/>
      <c r="F321" s="46"/>
      <c r="G321" s="46"/>
      <c r="H321" s="252"/>
      <c r="I321" s="59"/>
      <c r="J321" s="39"/>
      <c r="K321" s="76"/>
    </row>
    <row r="322" spans="1:13" s="55" customFormat="1">
      <c r="A322" s="1" t="s">
        <v>427</v>
      </c>
      <c r="B322" s="2" t="s">
        <v>71</v>
      </c>
      <c r="C322" s="314">
        <v>51097676</v>
      </c>
      <c r="D322" s="3" t="s">
        <v>82</v>
      </c>
      <c r="E322" s="2">
        <v>2400</v>
      </c>
      <c r="F322" s="247">
        <v>474.77</v>
      </c>
      <c r="G322" s="247">
        <v>602.73</v>
      </c>
      <c r="H322" s="7">
        <f>(G322-F322)*E322</f>
        <v>307104.00000000012</v>
      </c>
      <c r="I322" s="59"/>
      <c r="J322" s="39"/>
      <c r="K322" s="76"/>
      <c r="L322" s="56"/>
      <c r="M322" s="56"/>
    </row>
    <row r="323" spans="1:13" s="56" customFormat="1">
      <c r="A323" s="1" t="s">
        <v>428</v>
      </c>
      <c r="B323" s="2" t="s">
        <v>71</v>
      </c>
      <c r="C323" s="314">
        <v>51431355</v>
      </c>
      <c r="D323" s="2" t="s">
        <v>25</v>
      </c>
      <c r="E323" s="2">
        <v>3600</v>
      </c>
      <c r="F323" s="247">
        <v>287.77</v>
      </c>
      <c r="G323" s="247">
        <v>328.82400000000001</v>
      </c>
      <c r="H323" s="7">
        <f>(G323-F323)*E323</f>
        <v>147794.40000000011</v>
      </c>
      <c r="I323" s="59"/>
      <c r="J323" s="143"/>
      <c r="K323" s="76"/>
      <c r="L323" s="55"/>
      <c r="M323" s="55"/>
    </row>
    <row r="324" spans="1:13" s="55" customFormat="1">
      <c r="A324" s="1" t="s">
        <v>422</v>
      </c>
      <c r="B324" s="2" t="s">
        <v>71</v>
      </c>
      <c r="C324" s="314">
        <v>51259331</v>
      </c>
      <c r="D324" s="3" t="s">
        <v>40</v>
      </c>
      <c r="E324" s="2">
        <v>600</v>
      </c>
      <c r="F324" s="247">
        <v>106.956</v>
      </c>
      <c r="G324" s="247">
        <v>141.27199999999999</v>
      </c>
      <c r="H324" s="7">
        <f>(G324-F324)*E324</f>
        <v>20589.599999999991</v>
      </c>
      <c r="I324" s="59"/>
      <c r="J324" s="143"/>
    </row>
    <row r="325" spans="1:13" s="55" customFormat="1">
      <c r="A325" s="1" t="s">
        <v>429</v>
      </c>
      <c r="B325" s="2" t="s">
        <v>71</v>
      </c>
      <c r="C325" s="279">
        <v>51217267</v>
      </c>
      <c r="D325" s="3" t="s">
        <v>82</v>
      </c>
      <c r="E325" s="2">
        <v>2400</v>
      </c>
      <c r="F325" s="95">
        <v>18.431000000000001</v>
      </c>
      <c r="G325" s="95">
        <v>19.448</v>
      </c>
      <c r="H325" s="7">
        <f>(G325-F325)*E325</f>
        <v>2440.7999999999988</v>
      </c>
      <c r="I325" s="59"/>
      <c r="J325" s="143"/>
    </row>
    <row r="326" spans="1:13" s="55" customFormat="1">
      <c r="A326" s="1" t="s">
        <v>430</v>
      </c>
      <c r="B326" s="2" t="s">
        <v>71</v>
      </c>
      <c r="C326" s="279">
        <v>51431352</v>
      </c>
      <c r="D326" s="3" t="s">
        <v>25</v>
      </c>
      <c r="E326" s="2">
        <v>3600</v>
      </c>
      <c r="F326" s="247">
        <v>138.35300000000001</v>
      </c>
      <c r="G326" s="247">
        <v>185.82599999999999</v>
      </c>
      <c r="H326" s="7">
        <f>(G326-F326)*E326</f>
        <v>170902.79999999996</v>
      </c>
      <c r="I326" s="59"/>
      <c r="J326" s="143"/>
    </row>
    <row r="327" spans="1:13" s="55" customFormat="1">
      <c r="A327" s="9" t="s">
        <v>431</v>
      </c>
      <c r="B327" s="2"/>
      <c r="C327" s="2"/>
      <c r="D327" s="2"/>
      <c r="E327" s="2"/>
      <c r="F327" s="18"/>
      <c r="G327" s="18"/>
      <c r="H327" s="11">
        <f>H322+H323+H324+H325+H326</f>
        <v>648831.60000000021</v>
      </c>
      <c r="I327" s="27">
        <f>H327-H428</f>
        <v>132944.26399999973</v>
      </c>
      <c r="J327" s="13">
        <f>I327/H327</f>
        <v>0.20489794886685497</v>
      </c>
    </row>
    <row r="328" spans="1:13" s="55" customFormat="1">
      <c r="A328" s="9"/>
      <c r="B328" s="2"/>
      <c r="C328" s="2"/>
      <c r="D328" s="2"/>
      <c r="E328" s="2"/>
      <c r="F328" s="18"/>
      <c r="G328" s="18"/>
      <c r="H328" s="7"/>
      <c r="I328" s="59"/>
      <c r="J328" s="143"/>
      <c r="K328" s="246"/>
      <c r="L328" s="246"/>
      <c r="M328" s="246"/>
    </row>
    <row r="329" spans="1:13" s="246" customFormat="1">
      <c r="A329" s="1" t="s">
        <v>432</v>
      </c>
      <c r="B329" s="2" t="s">
        <v>433</v>
      </c>
      <c r="C329" s="2" t="s">
        <v>434</v>
      </c>
      <c r="D329" s="2" t="s">
        <v>72</v>
      </c>
      <c r="E329" s="2">
        <v>20</v>
      </c>
      <c r="F329" s="287">
        <v>9312.7099999999991</v>
      </c>
      <c r="G329" s="287">
        <v>9595.3700000000008</v>
      </c>
      <c r="H329" s="7">
        <f t="shared" ref="H329:H354" si="13">(G329-F329)*E329</f>
        <v>5653.2000000000335</v>
      </c>
      <c r="I329" s="142"/>
      <c r="J329" s="142"/>
      <c r="K329" s="56"/>
      <c r="L329" s="56"/>
      <c r="M329" s="56"/>
    </row>
    <row r="330" spans="1:13" s="56" customFormat="1">
      <c r="A330" s="1" t="s">
        <v>377</v>
      </c>
      <c r="B330" s="2" t="s">
        <v>191</v>
      </c>
      <c r="C330" s="2">
        <v>9340</v>
      </c>
      <c r="D330" s="3" t="s">
        <v>189</v>
      </c>
      <c r="E330" s="2">
        <v>6</v>
      </c>
      <c r="F330" s="247">
        <v>38056.400000000001</v>
      </c>
      <c r="G330" s="247">
        <v>38725.4</v>
      </c>
      <c r="H330" s="7">
        <f t="shared" si="13"/>
        <v>4014</v>
      </c>
      <c r="I330" s="59"/>
      <c r="J330" s="143"/>
      <c r="K330" s="55"/>
      <c r="L330" s="55"/>
      <c r="M330" s="55"/>
    </row>
    <row r="331" spans="1:13" s="55" customFormat="1">
      <c r="A331" s="1" t="s">
        <v>435</v>
      </c>
      <c r="B331" s="17" t="s">
        <v>97</v>
      </c>
      <c r="C331" s="2">
        <v>5332604</v>
      </c>
      <c r="D331" s="3" t="s">
        <v>82</v>
      </c>
      <c r="E331" s="2">
        <v>40</v>
      </c>
      <c r="F331" s="247">
        <v>68568.33</v>
      </c>
      <c r="G331" s="247">
        <v>68960.960000000006</v>
      </c>
      <c r="H331" s="7">
        <f t="shared" si="13"/>
        <v>15705.200000000186</v>
      </c>
      <c r="I331" s="59"/>
      <c r="J331" s="143"/>
      <c r="K331" s="56"/>
      <c r="L331" s="56"/>
      <c r="M331" s="56"/>
    </row>
    <row r="332" spans="1:13" s="56" customFormat="1">
      <c r="A332" s="1" t="s">
        <v>436</v>
      </c>
      <c r="B332" s="17" t="s">
        <v>97</v>
      </c>
      <c r="C332" s="2">
        <v>5332531</v>
      </c>
      <c r="D332" s="3" t="s">
        <v>82</v>
      </c>
      <c r="E332" s="2">
        <v>40</v>
      </c>
      <c r="F332" s="247">
        <v>33445.74</v>
      </c>
      <c r="G332" s="247">
        <v>33660.85</v>
      </c>
      <c r="H332" s="7">
        <f t="shared" si="13"/>
        <v>8604.4000000000233</v>
      </c>
      <c r="I332" s="59"/>
      <c r="J332" s="143"/>
      <c r="K332" s="55"/>
      <c r="L332" s="55"/>
      <c r="M332" s="55"/>
    </row>
    <row r="333" spans="1:13" s="55" customFormat="1">
      <c r="A333" s="1" t="s">
        <v>437</v>
      </c>
      <c r="B333" s="17" t="s">
        <v>97</v>
      </c>
      <c r="C333" s="2">
        <v>5332606</v>
      </c>
      <c r="D333" s="3" t="s">
        <v>82</v>
      </c>
      <c r="E333" s="2">
        <v>40</v>
      </c>
      <c r="F333" s="247">
        <v>45055.88</v>
      </c>
      <c r="G333" s="247">
        <v>45223.41</v>
      </c>
      <c r="H333" s="7">
        <f t="shared" si="13"/>
        <v>6701.2000000002445</v>
      </c>
      <c r="I333" s="59"/>
      <c r="J333" s="143"/>
    </row>
    <row r="334" spans="1:13" s="55" customFormat="1">
      <c r="A334" s="1" t="s">
        <v>438</v>
      </c>
      <c r="B334" s="2" t="s">
        <v>101</v>
      </c>
      <c r="C334" s="2" t="s">
        <v>439</v>
      </c>
      <c r="D334" s="3" t="s">
        <v>17</v>
      </c>
      <c r="E334" s="2">
        <v>120</v>
      </c>
      <c r="F334" s="247">
        <v>32323</v>
      </c>
      <c r="G334" s="247">
        <v>32323.4</v>
      </c>
      <c r="H334" s="7">
        <f t="shared" si="13"/>
        <v>48.000000000174623</v>
      </c>
      <c r="I334" s="59"/>
      <c r="J334" s="143"/>
    </row>
    <row r="335" spans="1:13" s="55" customFormat="1">
      <c r="A335" s="1" t="s">
        <v>440</v>
      </c>
      <c r="B335" s="2" t="s">
        <v>101</v>
      </c>
      <c r="C335" s="2" t="s">
        <v>441</v>
      </c>
      <c r="D335" s="3" t="s">
        <v>17</v>
      </c>
      <c r="E335" s="2">
        <v>120</v>
      </c>
      <c r="F335" s="247">
        <v>83778.2</v>
      </c>
      <c r="G335" s="336">
        <v>84925.2</v>
      </c>
      <c r="H335" s="7">
        <f>(G335-F335)*E335</f>
        <v>137640</v>
      </c>
      <c r="I335" s="59"/>
      <c r="J335" s="143"/>
    </row>
    <row r="336" spans="1:13" s="55" customFormat="1">
      <c r="A336" s="1" t="s">
        <v>442</v>
      </c>
      <c r="B336" s="2" t="s">
        <v>191</v>
      </c>
      <c r="C336" s="2">
        <v>1266</v>
      </c>
      <c r="D336" s="2" t="s">
        <v>72</v>
      </c>
      <c r="E336" s="2">
        <v>20</v>
      </c>
      <c r="F336" s="247">
        <v>62245</v>
      </c>
      <c r="G336" s="247">
        <v>63056.3</v>
      </c>
      <c r="H336" s="7">
        <f t="shared" si="13"/>
        <v>16226.000000000058</v>
      </c>
      <c r="I336" s="204"/>
      <c r="J336" s="143"/>
    </row>
    <row r="337" spans="1:13" s="55" customFormat="1">
      <c r="A337" s="1" t="s">
        <v>443</v>
      </c>
      <c r="B337" s="2" t="s">
        <v>191</v>
      </c>
      <c r="C337" s="2">
        <v>4974</v>
      </c>
      <c r="D337" s="2" t="s">
        <v>72</v>
      </c>
      <c r="E337" s="2">
        <v>20</v>
      </c>
      <c r="F337" s="247">
        <v>1751.5</v>
      </c>
      <c r="G337" s="284">
        <v>1759.9</v>
      </c>
      <c r="H337" s="7">
        <f t="shared" si="13"/>
        <v>168.00000000000182</v>
      </c>
      <c r="I337" s="59"/>
      <c r="J337" s="143"/>
    </row>
    <row r="338" spans="1:13" s="55" customFormat="1">
      <c r="A338" s="1" t="s">
        <v>444</v>
      </c>
      <c r="B338" s="2" t="s">
        <v>97</v>
      </c>
      <c r="C338" s="2">
        <v>42420307</v>
      </c>
      <c r="D338" s="2" t="s">
        <v>72</v>
      </c>
      <c r="E338" s="2">
        <v>20</v>
      </c>
      <c r="F338" s="247">
        <v>4</v>
      </c>
      <c r="G338" s="284">
        <v>4</v>
      </c>
      <c r="H338" s="7">
        <f t="shared" si="13"/>
        <v>0</v>
      </c>
      <c r="I338" s="59"/>
      <c r="J338" s="39"/>
    </row>
    <row r="339" spans="1:13" s="55" customFormat="1">
      <c r="A339" s="1" t="s">
        <v>445</v>
      </c>
      <c r="B339" s="2" t="s">
        <v>97</v>
      </c>
      <c r="C339" s="2">
        <v>42422866</v>
      </c>
      <c r="D339" s="2" t="s">
        <v>72</v>
      </c>
      <c r="E339" s="2">
        <v>20</v>
      </c>
      <c r="F339" s="247">
        <v>32.200000000000003</v>
      </c>
      <c r="G339" s="284">
        <v>32.200000000000003</v>
      </c>
      <c r="H339" s="7">
        <f t="shared" si="13"/>
        <v>0</v>
      </c>
      <c r="I339" s="59"/>
      <c r="J339" s="39"/>
    </row>
    <row r="340" spans="1:13" s="55" customFormat="1">
      <c r="A340" s="1" t="s">
        <v>446</v>
      </c>
      <c r="B340" s="2" t="s">
        <v>155</v>
      </c>
      <c r="C340" s="2">
        <v>102300923</v>
      </c>
      <c r="D340" s="2" t="s">
        <v>72</v>
      </c>
      <c r="E340" s="2">
        <v>20</v>
      </c>
      <c r="F340" s="330">
        <v>698.6</v>
      </c>
      <c r="G340" s="330">
        <v>733.1</v>
      </c>
      <c r="H340" s="7">
        <f t="shared" si="13"/>
        <v>690</v>
      </c>
      <c r="I340" s="59"/>
      <c r="J340" s="39"/>
    </row>
    <row r="341" spans="1:13" s="55" customFormat="1">
      <c r="A341" s="1" t="s">
        <v>447</v>
      </c>
      <c r="B341" s="2" t="s">
        <v>155</v>
      </c>
      <c r="C341" s="2">
        <v>104210582</v>
      </c>
      <c r="D341" s="2" t="s">
        <v>72</v>
      </c>
      <c r="E341" s="2">
        <v>20</v>
      </c>
      <c r="F341" s="330">
        <v>386.6</v>
      </c>
      <c r="G341" s="330">
        <v>387.2</v>
      </c>
      <c r="H341" s="7">
        <f t="shared" si="13"/>
        <v>11.999999999999318</v>
      </c>
      <c r="I341" s="68"/>
      <c r="J341" s="39"/>
      <c r="K341" s="246"/>
      <c r="L341" s="246"/>
      <c r="M341" s="246"/>
    </row>
    <row r="342" spans="1:13" s="246" customFormat="1">
      <c r="A342" s="1"/>
      <c r="B342" s="2"/>
      <c r="C342" s="2"/>
      <c r="D342" s="2"/>
      <c r="E342" s="2"/>
      <c r="F342" s="247"/>
      <c r="G342" s="247"/>
      <c r="H342" s="7">
        <f t="shared" si="13"/>
        <v>0</v>
      </c>
      <c r="I342" s="142"/>
      <c r="J342" s="142"/>
      <c r="K342" s="55"/>
      <c r="L342" s="55"/>
      <c r="M342" s="55"/>
    </row>
    <row r="343" spans="1:13" s="55" customFormat="1">
      <c r="A343" s="1" t="s">
        <v>448</v>
      </c>
      <c r="B343" s="2" t="s">
        <v>191</v>
      </c>
      <c r="C343" s="2">
        <v>6985</v>
      </c>
      <c r="D343" s="2" t="s">
        <v>72</v>
      </c>
      <c r="E343" s="2">
        <v>20</v>
      </c>
      <c r="F343" s="247">
        <v>953.8</v>
      </c>
      <c r="G343" s="284">
        <v>953.8</v>
      </c>
      <c r="H343" s="7">
        <f t="shared" si="13"/>
        <v>0</v>
      </c>
      <c r="I343" s="68"/>
      <c r="J343" s="39"/>
    </row>
    <row r="344" spans="1:13" s="55" customFormat="1">
      <c r="A344" s="1" t="s">
        <v>449</v>
      </c>
      <c r="B344" s="2" t="s">
        <v>94</v>
      </c>
      <c r="C344" s="2" t="s">
        <v>450</v>
      </c>
      <c r="D344" s="2" t="s">
        <v>72</v>
      </c>
      <c r="E344" s="2">
        <v>20</v>
      </c>
      <c r="F344" s="330">
        <v>1257.5</v>
      </c>
      <c r="G344" s="330">
        <v>1261.5999999999999</v>
      </c>
      <c r="H344" s="7">
        <f t="shared" si="13"/>
        <v>81.999999999998181</v>
      </c>
      <c r="I344" s="68"/>
      <c r="J344" s="39"/>
    </row>
    <row r="345" spans="1:13" s="55" customFormat="1">
      <c r="A345" s="1" t="s">
        <v>451</v>
      </c>
      <c r="B345" s="2" t="s">
        <v>97</v>
      </c>
      <c r="C345" s="2">
        <v>42420302</v>
      </c>
      <c r="D345" s="2" t="s">
        <v>72</v>
      </c>
      <c r="E345" s="2">
        <v>20</v>
      </c>
      <c r="F345" s="330">
        <v>13</v>
      </c>
      <c r="G345" s="284">
        <v>136</v>
      </c>
      <c r="H345" s="7">
        <f t="shared" si="13"/>
        <v>2460</v>
      </c>
      <c r="I345" s="59"/>
      <c r="J345" s="39"/>
    </row>
    <row r="346" spans="1:13" s="55" customFormat="1">
      <c r="A346" s="1" t="s">
        <v>452</v>
      </c>
      <c r="B346" s="2" t="s">
        <v>97</v>
      </c>
      <c r="C346" s="2">
        <v>42393621</v>
      </c>
      <c r="D346" s="2" t="s">
        <v>91</v>
      </c>
      <c r="E346" s="2">
        <v>1</v>
      </c>
      <c r="F346" s="330">
        <v>2247</v>
      </c>
      <c r="G346" s="330">
        <v>2343</v>
      </c>
      <c r="H346" s="7">
        <f t="shared" si="13"/>
        <v>96</v>
      </c>
      <c r="I346" s="68"/>
      <c r="J346" s="39"/>
    </row>
    <row r="347" spans="1:13" s="55" customFormat="1">
      <c r="A347" s="1" t="s">
        <v>453</v>
      </c>
      <c r="B347" s="2" t="s">
        <v>155</v>
      </c>
      <c r="C347" s="2">
        <v>102301196</v>
      </c>
      <c r="D347" s="2" t="s">
        <v>72</v>
      </c>
      <c r="E347" s="2">
        <v>20</v>
      </c>
      <c r="F347" s="247">
        <v>433</v>
      </c>
      <c r="G347" s="284">
        <v>437.1</v>
      </c>
      <c r="H347" s="7">
        <f t="shared" si="13"/>
        <v>82.000000000000455</v>
      </c>
      <c r="I347" s="59"/>
      <c r="J347" s="39"/>
    </row>
    <row r="348" spans="1:13" s="55" customFormat="1">
      <c r="A348" s="1" t="s">
        <v>454</v>
      </c>
      <c r="B348" s="2" t="s">
        <v>191</v>
      </c>
      <c r="C348" s="2">
        <v>78563</v>
      </c>
      <c r="D348" s="2" t="s">
        <v>82</v>
      </c>
      <c r="E348" s="2">
        <v>40</v>
      </c>
      <c r="F348" s="247">
        <v>8602.1</v>
      </c>
      <c r="G348" s="247">
        <v>8630.7999999999993</v>
      </c>
      <c r="H348" s="7">
        <f t="shared" si="13"/>
        <v>1147.9999999999563</v>
      </c>
      <c r="I348" s="59"/>
      <c r="J348" s="39"/>
    </row>
    <row r="349" spans="1:13" s="55" customFormat="1">
      <c r="A349" s="1" t="s">
        <v>455</v>
      </c>
      <c r="B349" s="2" t="s">
        <v>115</v>
      </c>
      <c r="C349" s="2"/>
      <c r="D349" s="2"/>
      <c r="E349" s="2"/>
      <c r="F349" s="335"/>
      <c r="G349" s="335"/>
      <c r="H349" s="7"/>
      <c r="I349" s="68"/>
      <c r="J349" s="39"/>
    </row>
    <row r="350" spans="1:13" s="55" customFormat="1">
      <c r="A350" s="1" t="s">
        <v>456</v>
      </c>
      <c r="B350" s="2" t="s">
        <v>155</v>
      </c>
      <c r="C350" s="2">
        <v>102300394</v>
      </c>
      <c r="D350" s="2">
        <v>20</v>
      </c>
      <c r="E350" s="2">
        <v>20</v>
      </c>
      <c r="F350" s="330">
        <v>3178.8</v>
      </c>
      <c r="G350" s="337">
        <v>4011.5</v>
      </c>
      <c r="H350" s="7">
        <f t="shared" si="13"/>
        <v>16653.999999999996</v>
      </c>
      <c r="I350" s="59"/>
      <c r="J350" s="39"/>
    </row>
    <row r="351" spans="1:13" s="55" customFormat="1">
      <c r="A351" s="1" t="s">
        <v>457</v>
      </c>
      <c r="B351" s="2" t="s">
        <v>97</v>
      </c>
      <c r="C351" s="2">
        <v>42422810</v>
      </c>
      <c r="D351" s="2" t="s">
        <v>72</v>
      </c>
      <c r="E351" s="2">
        <v>20</v>
      </c>
      <c r="F351" s="247">
        <v>717.2</v>
      </c>
      <c r="G351" s="247">
        <v>717.2</v>
      </c>
      <c r="H351" s="7">
        <f t="shared" si="13"/>
        <v>0</v>
      </c>
      <c r="I351" s="59"/>
      <c r="J351" s="39"/>
    </row>
    <row r="352" spans="1:13" s="55" customFormat="1">
      <c r="A352" s="1" t="s">
        <v>458</v>
      </c>
      <c r="B352" s="2" t="s">
        <v>115</v>
      </c>
      <c r="C352" s="2"/>
      <c r="D352" s="2"/>
      <c r="E352" s="2"/>
      <c r="F352" s="335"/>
      <c r="G352" s="335"/>
      <c r="H352" s="7"/>
      <c r="I352" s="59"/>
      <c r="J352" s="39"/>
    </row>
    <row r="353" spans="1:13" s="55" customFormat="1">
      <c r="A353" s="1" t="s">
        <v>459</v>
      </c>
      <c r="B353" s="2" t="s">
        <v>460</v>
      </c>
      <c r="C353" s="2">
        <v>40000082</v>
      </c>
      <c r="D353" s="2" t="s">
        <v>72</v>
      </c>
      <c r="E353" s="2">
        <v>20</v>
      </c>
      <c r="F353" s="247">
        <v>204.5</v>
      </c>
      <c r="G353" s="284">
        <v>204.5</v>
      </c>
      <c r="H353" s="7">
        <f t="shared" si="13"/>
        <v>0</v>
      </c>
      <c r="I353" s="68"/>
      <c r="J353" s="39"/>
    </row>
    <row r="354" spans="1:13" s="55" customFormat="1">
      <c r="A354" s="1" t="s">
        <v>461</v>
      </c>
      <c r="B354" s="2" t="s">
        <v>191</v>
      </c>
      <c r="C354" s="2">
        <v>9271</v>
      </c>
      <c r="D354" s="2" t="s">
        <v>72</v>
      </c>
      <c r="E354" s="2">
        <v>20</v>
      </c>
      <c r="F354" s="247">
        <v>2089.9</v>
      </c>
      <c r="G354" s="284">
        <v>2089.9</v>
      </c>
      <c r="H354" s="7">
        <f t="shared" si="13"/>
        <v>0</v>
      </c>
      <c r="I354" s="59"/>
      <c r="J354" s="39"/>
      <c r="K354" s="56"/>
      <c r="L354" s="56"/>
      <c r="M354" s="56"/>
    </row>
    <row r="355" spans="1:13" s="56" customFormat="1">
      <c r="A355" s="1" t="s">
        <v>462</v>
      </c>
      <c r="B355" s="2" t="s">
        <v>155</v>
      </c>
      <c r="C355" s="2">
        <v>102301201</v>
      </c>
      <c r="D355" s="2" t="s">
        <v>72</v>
      </c>
      <c r="E355" s="2">
        <v>20</v>
      </c>
      <c r="F355" s="330">
        <v>730.9</v>
      </c>
      <c r="G355" s="330">
        <v>734.6</v>
      </c>
      <c r="H355" s="7">
        <f t="shared" ref="H355:H360" si="14">(G355-F355)*E355</f>
        <v>74.000000000000909</v>
      </c>
      <c r="I355" s="68"/>
      <c r="J355" s="39"/>
      <c r="K355" s="55"/>
      <c r="L355" s="55"/>
      <c r="M355" s="55"/>
    </row>
    <row r="356" spans="1:13" s="55" customFormat="1" ht="15.75" customHeight="1">
      <c r="A356" s="1" t="s">
        <v>463</v>
      </c>
      <c r="B356" s="2" t="s">
        <v>356</v>
      </c>
      <c r="C356" s="2" t="s">
        <v>464</v>
      </c>
      <c r="D356" s="3" t="s">
        <v>372</v>
      </c>
      <c r="E356" s="2">
        <v>15</v>
      </c>
      <c r="F356" s="330">
        <v>2859.2</v>
      </c>
      <c r="G356" s="330">
        <v>2859.6</v>
      </c>
      <c r="H356" s="7">
        <f t="shared" si="14"/>
        <v>6.0000000000013642</v>
      </c>
      <c r="I356" s="68"/>
      <c r="J356" s="39"/>
      <c r="K356" s="56"/>
      <c r="L356" s="56"/>
      <c r="M356" s="56"/>
    </row>
    <row r="357" spans="1:13" s="56" customFormat="1" ht="15" customHeight="1">
      <c r="A357" s="1" t="s">
        <v>465</v>
      </c>
      <c r="B357" s="2" t="s">
        <v>94</v>
      </c>
      <c r="C357" s="2" t="s">
        <v>466</v>
      </c>
      <c r="D357" s="2" t="s">
        <v>72</v>
      </c>
      <c r="E357" s="2">
        <v>20</v>
      </c>
      <c r="F357" s="330">
        <v>2567.9</v>
      </c>
      <c r="G357" s="330">
        <v>2571.6</v>
      </c>
      <c r="H357" s="7">
        <f t="shared" si="14"/>
        <v>73.999999999996362</v>
      </c>
      <c r="I357" s="68"/>
      <c r="J357" s="39"/>
    </row>
    <row r="358" spans="1:13" s="56" customFormat="1" ht="15" customHeight="1">
      <c r="A358" s="1" t="s">
        <v>467</v>
      </c>
      <c r="B358" s="2" t="s">
        <v>101</v>
      </c>
      <c r="C358" s="2" t="s">
        <v>468</v>
      </c>
      <c r="D358" s="3" t="s">
        <v>372</v>
      </c>
      <c r="E358" s="2">
        <v>15</v>
      </c>
      <c r="F358" s="330">
        <v>1268.0999999999999</v>
      </c>
      <c r="G358" s="330">
        <v>1268.5</v>
      </c>
      <c r="H358" s="7">
        <f t="shared" si="14"/>
        <v>6.0000000000013642</v>
      </c>
      <c r="I358" s="68"/>
      <c r="J358" s="39"/>
      <c r="K358" s="55"/>
      <c r="L358" s="55"/>
      <c r="M358" s="55"/>
    </row>
    <row r="359" spans="1:13" s="55" customFormat="1" ht="15" customHeight="1">
      <c r="A359" s="1" t="s">
        <v>469</v>
      </c>
      <c r="B359" s="2" t="s">
        <v>101</v>
      </c>
      <c r="C359" s="2" t="s">
        <v>470</v>
      </c>
      <c r="D359" s="2" t="s">
        <v>72</v>
      </c>
      <c r="E359" s="2">
        <v>20</v>
      </c>
      <c r="F359" s="330">
        <v>1725.5</v>
      </c>
      <c r="G359" s="330">
        <v>1729.2</v>
      </c>
      <c r="H359" s="7">
        <f t="shared" si="14"/>
        <v>74.000000000000909</v>
      </c>
      <c r="I359" s="38"/>
      <c r="J359" s="39"/>
    </row>
    <row r="360" spans="1:13" s="55" customFormat="1" ht="15" customHeight="1">
      <c r="A360" s="1" t="s">
        <v>471</v>
      </c>
      <c r="B360" s="2" t="s">
        <v>101</v>
      </c>
      <c r="C360" s="2" t="s">
        <v>472</v>
      </c>
      <c r="D360" s="3" t="s">
        <v>372</v>
      </c>
      <c r="E360" s="2">
        <v>15</v>
      </c>
      <c r="F360" s="330">
        <v>1098.8</v>
      </c>
      <c r="G360" s="330">
        <v>1102.9000000000001</v>
      </c>
      <c r="H360" s="7">
        <f t="shared" si="14"/>
        <v>61.500000000002046</v>
      </c>
      <c r="I360" s="68"/>
      <c r="J360" s="39"/>
    </row>
    <row r="361" spans="1:13" s="55" customFormat="1" ht="15" customHeight="1">
      <c r="A361" s="1" t="s">
        <v>473</v>
      </c>
      <c r="B361" s="2" t="s">
        <v>115</v>
      </c>
      <c r="C361" s="2"/>
      <c r="D361" s="2"/>
      <c r="E361" s="2"/>
      <c r="F361" s="247"/>
      <c r="G361" s="247"/>
      <c r="H361" s="7">
        <v>10</v>
      </c>
      <c r="I361" s="59"/>
      <c r="J361" s="39"/>
      <c r="K361" s="298"/>
    </row>
    <row r="362" spans="1:13" s="55" customFormat="1">
      <c r="A362" s="1" t="s">
        <v>474</v>
      </c>
      <c r="B362" s="3" t="s">
        <v>104</v>
      </c>
      <c r="C362" s="3" t="s">
        <v>475</v>
      </c>
      <c r="D362" s="2" t="s">
        <v>25</v>
      </c>
      <c r="E362" s="2">
        <v>60</v>
      </c>
      <c r="F362" s="247">
        <v>3612.97</v>
      </c>
      <c r="G362" s="284">
        <v>4038.36</v>
      </c>
      <c r="H362" s="7">
        <f>(G362-F362)*E362</f>
        <v>25523.40000000002</v>
      </c>
      <c r="I362" s="38"/>
      <c r="J362" s="39"/>
      <c r="K362" s="297" t="s">
        <v>476</v>
      </c>
      <c r="L362" s="61"/>
      <c r="M362" s="61"/>
    </row>
    <row r="363" spans="1:13" s="61" customFormat="1">
      <c r="A363" s="1" t="s">
        <v>477</v>
      </c>
      <c r="B363" s="2" t="s">
        <v>94</v>
      </c>
      <c r="C363" s="2">
        <v>152774</v>
      </c>
      <c r="D363" s="2" t="s">
        <v>122</v>
      </c>
      <c r="E363" s="2">
        <v>40</v>
      </c>
      <c r="F363" s="316">
        <v>586.20000000000005</v>
      </c>
      <c r="G363" s="337">
        <v>586.20000000000005</v>
      </c>
      <c r="H363" s="7">
        <f>(G363-F363)*E363</f>
        <v>0</v>
      </c>
      <c r="I363" s="142"/>
      <c r="J363" s="299"/>
      <c r="K363" s="56"/>
      <c r="L363" s="56"/>
      <c r="M363" s="56"/>
    </row>
    <row r="364" spans="1:13" s="56" customFormat="1">
      <c r="A364" s="1" t="s">
        <v>478</v>
      </c>
      <c r="B364" s="2" t="s">
        <v>101</v>
      </c>
      <c r="C364" s="2" t="s">
        <v>479</v>
      </c>
      <c r="D364" s="3" t="s">
        <v>372</v>
      </c>
      <c r="E364" s="2">
        <v>15</v>
      </c>
      <c r="F364" s="247">
        <v>1072.0999999999999</v>
      </c>
      <c r="G364" s="284">
        <v>1074.7</v>
      </c>
      <c r="H364" s="7">
        <f>(G364-F364)*E364</f>
        <v>39.000000000002046</v>
      </c>
      <c r="I364" s="38"/>
      <c r="J364" s="39"/>
      <c r="K364" s="55"/>
      <c r="L364" s="55"/>
      <c r="M364" s="55"/>
    </row>
    <row r="365" spans="1:13" s="55" customFormat="1">
      <c r="A365" s="1" t="s">
        <v>480</v>
      </c>
      <c r="B365" s="2" t="s">
        <v>101</v>
      </c>
      <c r="C365" s="2" t="s">
        <v>481</v>
      </c>
      <c r="D365" s="3" t="s">
        <v>372</v>
      </c>
      <c r="E365" s="2">
        <v>15</v>
      </c>
      <c r="F365" s="247">
        <v>1603.7</v>
      </c>
      <c r="G365" s="284">
        <v>1611.5</v>
      </c>
      <c r="H365" s="7">
        <f>(G365-F365)*E365</f>
        <v>116.99999999999932</v>
      </c>
      <c r="I365" s="38"/>
      <c r="J365" s="39"/>
    </row>
    <row r="366" spans="1:13" s="55" customFormat="1">
      <c r="A366" s="1" t="s">
        <v>482</v>
      </c>
      <c r="B366" s="2" t="s">
        <v>94</v>
      </c>
      <c r="C366" s="2" t="s">
        <v>483</v>
      </c>
      <c r="D366" s="3" t="s">
        <v>25</v>
      </c>
      <c r="E366" s="2">
        <v>60</v>
      </c>
      <c r="F366" s="247">
        <v>19875.900000000001</v>
      </c>
      <c r="G366" s="284">
        <v>19875.900000000001</v>
      </c>
      <c r="H366" s="7">
        <f>(G366-F366)*E366</f>
        <v>0</v>
      </c>
      <c r="I366" s="38"/>
      <c r="J366" s="39"/>
    </row>
    <row r="367" spans="1:13" s="55" customFormat="1">
      <c r="A367" s="1" t="s">
        <v>484</v>
      </c>
      <c r="B367" s="2" t="s">
        <v>191</v>
      </c>
      <c r="C367" s="2">
        <v>410353</v>
      </c>
      <c r="D367" s="2" t="s">
        <v>72</v>
      </c>
      <c r="E367" s="2">
        <v>20</v>
      </c>
      <c r="F367" s="296"/>
      <c r="G367" s="296"/>
      <c r="H367" s="7">
        <v>10</v>
      </c>
      <c r="I367" s="68"/>
      <c r="J367" s="39"/>
      <c r="K367" s="56"/>
      <c r="L367" s="56"/>
      <c r="M367" s="56"/>
    </row>
    <row r="368" spans="1:13" s="56" customFormat="1">
      <c r="A368" s="1" t="s">
        <v>485</v>
      </c>
      <c r="B368" s="2" t="s">
        <v>101</v>
      </c>
      <c r="C368" s="2" t="s">
        <v>486</v>
      </c>
      <c r="D368" s="3" t="s">
        <v>372</v>
      </c>
      <c r="E368" s="2">
        <v>15</v>
      </c>
      <c r="F368" s="247">
        <v>1275.9000000000001</v>
      </c>
      <c r="G368" s="284">
        <v>1275.9000000000001</v>
      </c>
      <c r="H368" s="7">
        <f t="shared" ref="H368:H376" si="15">(G368-F368)*E368</f>
        <v>0</v>
      </c>
      <c r="I368" s="68"/>
      <c r="J368" s="39"/>
      <c r="K368" s="55"/>
      <c r="L368" s="55"/>
      <c r="M368" s="55"/>
    </row>
    <row r="369" spans="1:13" s="55" customFormat="1">
      <c r="A369" s="1" t="s">
        <v>487</v>
      </c>
      <c r="B369" s="2" t="s">
        <v>94</v>
      </c>
      <c r="C369" s="2" t="s">
        <v>488</v>
      </c>
      <c r="D369" s="2" t="s">
        <v>72</v>
      </c>
      <c r="E369" s="2">
        <v>20</v>
      </c>
      <c r="F369" s="247">
        <v>47846.400000000001</v>
      </c>
      <c r="G369" s="247">
        <v>48280.800000000003</v>
      </c>
      <c r="H369" s="7">
        <f>(G369-F369)*E369</f>
        <v>8688.0000000000291</v>
      </c>
      <c r="I369" s="59"/>
      <c r="J369" s="39"/>
    </row>
    <row r="370" spans="1:13" s="55" customFormat="1">
      <c r="A370" s="1" t="s">
        <v>489</v>
      </c>
      <c r="B370" s="2" t="s">
        <v>101</v>
      </c>
      <c r="C370" s="2" t="s">
        <v>490</v>
      </c>
      <c r="D370" s="3" t="s">
        <v>372</v>
      </c>
      <c r="E370" s="2">
        <v>15</v>
      </c>
      <c r="F370" s="247">
        <v>19723.7</v>
      </c>
      <c r="G370" s="247">
        <v>20146.599999999999</v>
      </c>
      <c r="H370" s="7">
        <f t="shared" si="15"/>
        <v>6343.4999999999673</v>
      </c>
      <c r="I370" s="59"/>
      <c r="J370" s="39"/>
      <c r="K370" s="56"/>
      <c r="L370" s="56"/>
      <c r="M370" s="56"/>
    </row>
    <row r="371" spans="1:13" s="56" customFormat="1">
      <c r="A371" s="1" t="s">
        <v>491</v>
      </c>
      <c r="B371" s="2" t="s">
        <v>104</v>
      </c>
      <c r="C371" s="2" t="s">
        <v>492</v>
      </c>
      <c r="D371" s="2" t="s">
        <v>72</v>
      </c>
      <c r="E371" s="2">
        <v>20</v>
      </c>
      <c r="F371" s="247">
        <v>42200.981</v>
      </c>
      <c r="G371" s="247">
        <v>42706.315000000002</v>
      </c>
      <c r="H371" s="7">
        <f>(G371-F371)*E371</f>
        <v>10106.680000000051</v>
      </c>
      <c r="I371" s="59"/>
      <c r="J371" s="39"/>
      <c r="K371" s="55"/>
      <c r="L371" s="55"/>
      <c r="M371" s="55"/>
    </row>
    <row r="372" spans="1:13" s="55" customFormat="1">
      <c r="A372" s="1" t="s">
        <v>493</v>
      </c>
      <c r="B372" s="2" t="s">
        <v>97</v>
      </c>
      <c r="C372" s="2">
        <v>35388930</v>
      </c>
      <c r="D372" s="2" t="s">
        <v>72</v>
      </c>
      <c r="E372" s="2">
        <v>20</v>
      </c>
      <c r="F372" s="316">
        <v>11158.71</v>
      </c>
      <c r="G372" s="337">
        <v>11182.38</v>
      </c>
      <c r="H372" s="7">
        <f t="shared" si="15"/>
        <v>473.40000000000146</v>
      </c>
      <c r="I372" s="59"/>
      <c r="J372" s="39"/>
    </row>
    <row r="373" spans="1:13" s="55" customFormat="1">
      <c r="A373" s="1" t="s">
        <v>494</v>
      </c>
      <c r="B373" s="2" t="s">
        <v>495</v>
      </c>
      <c r="C373" s="2" t="s">
        <v>496</v>
      </c>
      <c r="D373" s="2" t="s">
        <v>72</v>
      </c>
      <c r="E373" s="2">
        <v>20</v>
      </c>
      <c r="F373" s="330">
        <v>2479.1</v>
      </c>
      <c r="G373" s="330">
        <v>2479.4</v>
      </c>
      <c r="H373" s="7">
        <f t="shared" si="15"/>
        <v>6.000000000003638</v>
      </c>
      <c r="I373" s="59"/>
      <c r="J373" s="39"/>
    </row>
    <row r="374" spans="1:13" s="55" customFormat="1">
      <c r="A374" s="1" t="s">
        <v>497</v>
      </c>
      <c r="B374" s="2" t="s">
        <v>191</v>
      </c>
      <c r="C374" s="2">
        <v>7595</v>
      </c>
      <c r="D374" s="2" t="s">
        <v>72</v>
      </c>
      <c r="E374" s="2">
        <v>20</v>
      </c>
      <c r="F374" s="247">
        <v>5465.8</v>
      </c>
      <c r="G374" s="247">
        <v>5484.2</v>
      </c>
      <c r="H374" s="7">
        <f t="shared" si="15"/>
        <v>367.99999999999272</v>
      </c>
      <c r="I374" s="59"/>
      <c r="J374" s="39"/>
    </row>
    <row r="375" spans="1:13" s="55" customFormat="1">
      <c r="A375" s="1" t="s">
        <v>498</v>
      </c>
      <c r="B375" s="2" t="s">
        <v>101</v>
      </c>
      <c r="C375" s="2" t="s">
        <v>499</v>
      </c>
      <c r="D375" s="2" t="s">
        <v>25</v>
      </c>
      <c r="E375" s="2">
        <v>60</v>
      </c>
      <c r="F375" s="330">
        <v>2165.4</v>
      </c>
      <c r="G375" s="330">
        <v>2167.9</v>
      </c>
      <c r="H375" s="7">
        <f t="shared" si="15"/>
        <v>150</v>
      </c>
      <c r="I375" s="59"/>
      <c r="J375" s="39"/>
    </row>
    <row r="376" spans="1:13" s="55" customFormat="1">
      <c r="A376" s="1" t="s">
        <v>500</v>
      </c>
      <c r="B376" s="2" t="s">
        <v>94</v>
      </c>
      <c r="C376" s="2" t="s">
        <v>501</v>
      </c>
      <c r="D376" s="2" t="s">
        <v>72</v>
      </c>
      <c r="E376" s="2">
        <v>20</v>
      </c>
      <c r="F376" s="316">
        <v>1557.2</v>
      </c>
      <c r="G376" s="316">
        <v>1576</v>
      </c>
      <c r="H376" s="7">
        <f t="shared" si="15"/>
        <v>375.99999999999909</v>
      </c>
      <c r="I376" s="68"/>
      <c r="J376" s="39"/>
    </row>
    <row r="377" spans="1:13" s="55" customFormat="1">
      <c r="A377" s="1" t="s">
        <v>502</v>
      </c>
      <c r="B377" s="2" t="s">
        <v>191</v>
      </c>
      <c r="C377" s="2">
        <v>1246</v>
      </c>
      <c r="D377" s="2" t="s">
        <v>72</v>
      </c>
      <c r="E377" s="2">
        <v>20</v>
      </c>
      <c r="F377" s="247"/>
      <c r="G377" s="247"/>
      <c r="H377" s="7">
        <v>10</v>
      </c>
      <c r="I377" s="68"/>
      <c r="J377" s="39"/>
    </row>
    <row r="378" spans="1:13" s="55" customFormat="1">
      <c r="A378" s="1" t="s">
        <v>503</v>
      </c>
      <c r="B378" s="2" t="s">
        <v>191</v>
      </c>
      <c r="C378" s="2" t="s">
        <v>504</v>
      </c>
      <c r="D378" s="2" t="s">
        <v>505</v>
      </c>
      <c r="E378" s="2">
        <v>15</v>
      </c>
      <c r="F378" s="247">
        <v>2352.1999999999998</v>
      </c>
      <c r="G378" s="247">
        <v>2355.6</v>
      </c>
      <c r="H378" s="7">
        <f t="shared" ref="H378:H385" si="16">(G378-F378)*E378</f>
        <v>51.000000000001364</v>
      </c>
      <c r="I378" s="59"/>
      <c r="J378" s="39"/>
    </row>
    <row r="379" spans="1:13" s="55" customFormat="1">
      <c r="A379" s="1" t="s">
        <v>506</v>
      </c>
      <c r="B379" s="2" t="s">
        <v>191</v>
      </c>
      <c r="C379" s="2">
        <v>8933</v>
      </c>
      <c r="D379" s="2" t="s">
        <v>72</v>
      </c>
      <c r="E379" s="2">
        <v>20</v>
      </c>
      <c r="F379" s="329"/>
      <c r="G379" s="329"/>
      <c r="H379" s="7">
        <v>10</v>
      </c>
      <c r="I379" s="68"/>
      <c r="J379" s="39"/>
    </row>
    <row r="380" spans="1:13" s="55" customFormat="1">
      <c r="A380" s="1" t="s">
        <v>507</v>
      </c>
      <c r="B380" s="2" t="s">
        <v>191</v>
      </c>
      <c r="C380" s="2">
        <v>9276</v>
      </c>
      <c r="D380" s="2" t="s">
        <v>72</v>
      </c>
      <c r="E380" s="2">
        <v>20</v>
      </c>
      <c r="F380" s="330">
        <v>2342.6999999999998</v>
      </c>
      <c r="G380" s="330">
        <v>2346.4</v>
      </c>
      <c r="H380" s="7">
        <f t="shared" si="16"/>
        <v>74.000000000005457</v>
      </c>
      <c r="I380" s="68"/>
      <c r="J380" s="39"/>
      <c r="K380" s="56"/>
      <c r="L380" s="56"/>
      <c r="M380" s="56"/>
    </row>
    <row r="381" spans="1:13" s="56" customFormat="1">
      <c r="A381" s="1" t="s">
        <v>508</v>
      </c>
      <c r="B381" s="2" t="s">
        <v>94</v>
      </c>
      <c r="C381" s="2" t="s">
        <v>509</v>
      </c>
      <c r="D381" s="2" t="s">
        <v>72</v>
      </c>
      <c r="E381" s="2">
        <v>20</v>
      </c>
      <c r="F381" s="316">
        <v>1225.7</v>
      </c>
      <c r="G381" s="316">
        <v>1226.0999999999999</v>
      </c>
      <c r="H381" s="7">
        <f t="shared" si="16"/>
        <v>7.9999999999972715</v>
      </c>
      <c r="I381" s="59"/>
      <c r="J381" s="39"/>
      <c r="K381" s="55"/>
      <c r="L381" s="55"/>
      <c r="M381" s="55"/>
    </row>
    <row r="382" spans="1:13" s="55" customFormat="1">
      <c r="A382" s="1" t="s">
        <v>510</v>
      </c>
      <c r="B382" s="2" t="s">
        <v>191</v>
      </c>
      <c r="C382" s="2">
        <v>1190</v>
      </c>
      <c r="D382" s="3" t="s">
        <v>72</v>
      </c>
      <c r="E382" s="2">
        <v>20</v>
      </c>
      <c r="F382" s="247">
        <v>4140.3</v>
      </c>
      <c r="G382" s="247">
        <v>4163.1000000000004</v>
      </c>
      <c r="H382" s="7">
        <f t="shared" si="16"/>
        <v>456.00000000000364</v>
      </c>
      <c r="I382" s="68" t="s">
        <v>92</v>
      </c>
      <c r="J382" s="39"/>
    </row>
    <row r="383" spans="1:13" s="55" customFormat="1">
      <c r="A383" s="1" t="s">
        <v>511</v>
      </c>
      <c r="B383" s="2" t="s">
        <v>460</v>
      </c>
      <c r="C383" s="2">
        <v>10988619</v>
      </c>
      <c r="D383" s="2" t="s">
        <v>72</v>
      </c>
      <c r="E383" s="2">
        <v>20</v>
      </c>
      <c r="F383" s="247">
        <v>3493.4</v>
      </c>
      <c r="G383" s="284">
        <v>3508.8</v>
      </c>
      <c r="H383" s="7">
        <f t="shared" si="16"/>
        <v>308.00000000000182</v>
      </c>
      <c r="I383" s="59"/>
      <c r="J383" s="39"/>
      <c r="K383" s="56"/>
      <c r="L383" s="56"/>
      <c r="M383" s="56"/>
    </row>
    <row r="384" spans="1:13" s="56" customFormat="1">
      <c r="A384" s="1" t="s">
        <v>512</v>
      </c>
      <c r="B384" s="2" t="s">
        <v>191</v>
      </c>
      <c r="C384" s="2">
        <v>140424</v>
      </c>
      <c r="D384" s="2" t="s">
        <v>72</v>
      </c>
      <c r="E384" s="2">
        <v>20</v>
      </c>
      <c r="F384" s="247">
        <v>581.70000000000005</v>
      </c>
      <c r="G384" s="284">
        <v>581.70000000000005</v>
      </c>
      <c r="H384" s="7">
        <f t="shared" si="16"/>
        <v>0</v>
      </c>
      <c r="I384" s="59"/>
      <c r="J384" s="39"/>
    </row>
    <row r="385" spans="1:13" s="56" customFormat="1">
      <c r="A385" s="1" t="s">
        <v>513</v>
      </c>
      <c r="B385" s="2" t="s">
        <v>514</v>
      </c>
      <c r="C385" s="2" t="s">
        <v>515</v>
      </c>
      <c r="D385" s="2" t="s">
        <v>72</v>
      </c>
      <c r="E385" s="2">
        <v>20</v>
      </c>
      <c r="F385" s="330">
        <v>1112.5999999999999</v>
      </c>
      <c r="G385" s="330">
        <v>1118.5999999999999</v>
      </c>
      <c r="H385" s="7">
        <f t="shared" si="16"/>
        <v>120</v>
      </c>
      <c r="I385" s="59"/>
      <c r="J385" s="39"/>
      <c r="K385" s="55"/>
      <c r="L385" s="55"/>
      <c r="M385" s="55"/>
    </row>
    <row r="386" spans="1:13" s="55" customFormat="1">
      <c r="A386" s="1" t="s">
        <v>516</v>
      </c>
      <c r="B386" s="2" t="s">
        <v>155</v>
      </c>
      <c r="C386" s="2">
        <v>102300980</v>
      </c>
      <c r="D386" s="2" t="s">
        <v>122</v>
      </c>
      <c r="E386" s="2">
        <v>40</v>
      </c>
      <c r="F386" s="330">
        <v>6047.5</v>
      </c>
      <c r="G386" s="330">
        <v>6126</v>
      </c>
      <c r="H386" s="7">
        <f t="shared" ref="H386:H392" si="17">(G386-F386)*E386</f>
        <v>3140</v>
      </c>
      <c r="I386" s="59"/>
      <c r="J386" s="39"/>
      <c r="K386" s="56"/>
      <c r="L386" s="56"/>
      <c r="M386" s="56"/>
    </row>
    <row r="387" spans="1:13" s="56" customFormat="1">
      <c r="A387" s="1" t="s">
        <v>517</v>
      </c>
      <c r="B387" s="2" t="s">
        <v>94</v>
      </c>
      <c r="C387" s="2">
        <v>137679</v>
      </c>
      <c r="D387" s="2" t="s">
        <v>122</v>
      </c>
      <c r="E387" s="2">
        <v>40</v>
      </c>
      <c r="F387" s="330">
        <v>5345.01</v>
      </c>
      <c r="G387" s="330">
        <v>5393.5</v>
      </c>
      <c r="H387" s="7">
        <f t="shared" si="17"/>
        <v>1939.5999999999913</v>
      </c>
      <c r="I387" s="59"/>
      <c r="J387" s="39"/>
    </row>
    <row r="388" spans="1:13" s="56" customFormat="1">
      <c r="A388" s="1" t="s">
        <v>518</v>
      </c>
      <c r="B388" s="2" t="s">
        <v>94</v>
      </c>
      <c r="C388" s="2" t="s">
        <v>519</v>
      </c>
      <c r="D388" s="2" t="s">
        <v>72</v>
      </c>
      <c r="E388" s="2">
        <v>20</v>
      </c>
      <c r="F388" s="247">
        <v>1390.3</v>
      </c>
      <c r="G388" s="284">
        <v>1390.3</v>
      </c>
      <c r="H388" s="7">
        <f t="shared" si="17"/>
        <v>0</v>
      </c>
      <c r="I388" s="59"/>
      <c r="J388" s="39"/>
      <c r="K388" s="55"/>
      <c r="L388" s="55"/>
      <c r="M388" s="55"/>
    </row>
    <row r="389" spans="1:13" s="55" customFormat="1">
      <c r="A389" s="1" t="s">
        <v>520</v>
      </c>
      <c r="B389" s="2" t="s">
        <v>94</v>
      </c>
      <c r="C389" s="2" t="s">
        <v>521</v>
      </c>
      <c r="D389" s="2" t="s">
        <v>72</v>
      </c>
      <c r="E389" s="2">
        <v>20</v>
      </c>
      <c r="F389" s="330">
        <v>1304.4000000000001</v>
      </c>
      <c r="G389" s="338">
        <v>1306.2</v>
      </c>
      <c r="H389" s="7">
        <f t="shared" si="17"/>
        <v>35.999999999999091</v>
      </c>
      <c r="I389" s="59"/>
      <c r="J389" s="39"/>
    </row>
    <row r="390" spans="1:13" s="55" customFormat="1">
      <c r="A390" s="1" t="s">
        <v>522</v>
      </c>
      <c r="B390" s="2" t="s">
        <v>94</v>
      </c>
      <c r="C390" s="2" t="s">
        <v>523</v>
      </c>
      <c r="D390" s="2" t="s">
        <v>72</v>
      </c>
      <c r="E390" s="2">
        <v>20</v>
      </c>
      <c r="F390" s="330">
        <v>3432.9</v>
      </c>
      <c r="G390" s="338">
        <v>3432.9</v>
      </c>
      <c r="H390" s="7">
        <f t="shared" si="17"/>
        <v>0</v>
      </c>
      <c r="I390" s="68"/>
      <c r="J390" s="39"/>
    </row>
    <row r="391" spans="1:13" s="55" customFormat="1">
      <c r="A391" s="1" t="s">
        <v>524</v>
      </c>
      <c r="B391" s="2" t="s">
        <v>495</v>
      </c>
      <c r="C391" s="2" t="s">
        <v>525</v>
      </c>
      <c r="D391" s="2" t="s">
        <v>72</v>
      </c>
      <c r="E391" s="2">
        <v>20</v>
      </c>
      <c r="F391" s="330">
        <v>1743.1</v>
      </c>
      <c r="G391" s="330">
        <v>1745.6</v>
      </c>
      <c r="H391" s="7">
        <f t="shared" si="17"/>
        <v>50</v>
      </c>
      <c r="I391" s="59"/>
      <c r="J391" s="39"/>
    </row>
    <row r="392" spans="1:13" s="55" customFormat="1">
      <c r="A392" s="1" t="s">
        <v>526</v>
      </c>
      <c r="B392" s="2" t="s">
        <v>101</v>
      </c>
      <c r="C392" s="2" t="s">
        <v>527</v>
      </c>
      <c r="D392" s="2" t="s">
        <v>505</v>
      </c>
      <c r="E392" s="2">
        <v>15</v>
      </c>
      <c r="F392" s="330">
        <v>203.3</v>
      </c>
      <c r="G392" s="330">
        <v>206.9</v>
      </c>
      <c r="H392" s="7">
        <f t="shared" si="17"/>
        <v>53.999999999999915</v>
      </c>
      <c r="I392" s="59"/>
      <c r="J392" s="39"/>
    </row>
    <row r="393" spans="1:13" s="55" customFormat="1">
      <c r="A393" s="1" t="s">
        <v>528</v>
      </c>
      <c r="B393" s="2" t="s">
        <v>115</v>
      </c>
      <c r="C393" s="2"/>
      <c r="D393" s="2" t="s">
        <v>122</v>
      </c>
      <c r="E393" s="2">
        <v>40</v>
      </c>
      <c r="F393" s="247"/>
      <c r="G393" s="247"/>
      <c r="H393" s="7">
        <v>10</v>
      </c>
      <c r="I393" s="59"/>
      <c r="J393" s="39"/>
      <c r="K393" s="56"/>
      <c r="L393" s="56"/>
      <c r="M393" s="56"/>
    </row>
    <row r="394" spans="1:13" s="56" customFormat="1">
      <c r="A394" s="1" t="s">
        <v>529</v>
      </c>
      <c r="B394" s="2" t="s">
        <v>94</v>
      </c>
      <c r="C394" s="2" t="s">
        <v>530</v>
      </c>
      <c r="D394" s="2" t="s">
        <v>72</v>
      </c>
      <c r="E394" s="2">
        <v>20</v>
      </c>
      <c r="F394" s="330">
        <v>1741.8</v>
      </c>
      <c r="G394" s="338">
        <v>1742.1</v>
      </c>
      <c r="H394" s="7">
        <f t="shared" ref="H394:H408" si="18">(G394-F394)*E394</f>
        <v>5.9999999999990905</v>
      </c>
      <c r="I394" s="68"/>
      <c r="J394" s="39"/>
      <c r="K394" s="55"/>
      <c r="L394" s="55"/>
      <c r="M394" s="55"/>
    </row>
    <row r="395" spans="1:13" s="55" customFormat="1">
      <c r="A395" s="1" t="s">
        <v>531</v>
      </c>
      <c r="B395" s="2" t="s">
        <v>94</v>
      </c>
      <c r="C395" s="2" t="s">
        <v>532</v>
      </c>
      <c r="D395" s="2" t="s">
        <v>72</v>
      </c>
      <c r="E395" s="2">
        <v>20</v>
      </c>
      <c r="F395" s="330">
        <v>1631.1</v>
      </c>
      <c r="G395" s="338">
        <v>1635.1</v>
      </c>
      <c r="H395" s="7">
        <f t="shared" si="18"/>
        <v>80</v>
      </c>
      <c r="I395" s="68"/>
      <c r="J395" s="39"/>
      <c r="K395" s="76" t="s">
        <v>533</v>
      </c>
    </row>
    <row r="396" spans="1:13" s="55" customFormat="1">
      <c r="A396" s="1" t="s">
        <v>534</v>
      </c>
      <c r="B396" s="2" t="s">
        <v>94</v>
      </c>
      <c r="C396" s="2" t="s">
        <v>535</v>
      </c>
      <c r="D396" s="2" t="s">
        <v>72</v>
      </c>
      <c r="E396" s="2">
        <v>20</v>
      </c>
      <c r="F396" s="2">
        <v>5066.6000000000004</v>
      </c>
      <c r="G396" s="339">
        <v>5071.3999999999996</v>
      </c>
      <c r="H396" s="7">
        <f t="shared" si="18"/>
        <v>95.999999999985448</v>
      </c>
      <c r="I396" s="68"/>
      <c r="J396" s="39"/>
    </row>
    <row r="397" spans="1:13" s="55" customFormat="1">
      <c r="A397" s="1" t="s">
        <v>536</v>
      </c>
      <c r="B397" s="2" t="s">
        <v>94</v>
      </c>
      <c r="C397" s="2" t="s">
        <v>537</v>
      </c>
      <c r="D397" s="2" t="s">
        <v>72</v>
      </c>
      <c r="E397" s="2">
        <v>20</v>
      </c>
      <c r="F397" s="247">
        <v>1783</v>
      </c>
      <c r="G397" s="284">
        <v>1787.9</v>
      </c>
      <c r="H397" s="7">
        <f t="shared" si="18"/>
        <v>98.000000000001819</v>
      </c>
      <c r="I397" s="59"/>
      <c r="J397" s="39"/>
    </row>
    <row r="398" spans="1:13" s="55" customFormat="1">
      <c r="A398" s="1" t="s">
        <v>538</v>
      </c>
      <c r="B398" s="2" t="s">
        <v>495</v>
      </c>
      <c r="C398" s="2" t="s">
        <v>539</v>
      </c>
      <c r="D398" s="2" t="s">
        <v>72</v>
      </c>
      <c r="E398" s="2">
        <v>20</v>
      </c>
      <c r="F398" s="330">
        <v>4471.3999999999996</v>
      </c>
      <c r="G398" s="338">
        <v>4501</v>
      </c>
      <c r="H398" s="7">
        <f t="shared" si="18"/>
        <v>592.00000000000728</v>
      </c>
      <c r="I398" s="59"/>
      <c r="J398" s="39"/>
      <c r="K398" s="56"/>
      <c r="L398" s="56"/>
      <c r="M398" s="56"/>
    </row>
    <row r="399" spans="1:13" s="56" customFormat="1" ht="15" customHeight="1">
      <c r="A399" s="1" t="s">
        <v>540</v>
      </c>
      <c r="B399" s="2" t="s">
        <v>101</v>
      </c>
      <c r="C399" s="2" t="s">
        <v>541</v>
      </c>
      <c r="D399" s="2" t="s">
        <v>505</v>
      </c>
      <c r="E399" s="2">
        <v>15</v>
      </c>
      <c r="F399" s="247">
        <v>4278.5</v>
      </c>
      <c r="G399" s="284">
        <v>4418.5</v>
      </c>
      <c r="H399" s="7">
        <f t="shared" si="18"/>
        <v>2100</v>
      </c>
      <c r="I399" s="38"/>
      <c r="J399" s="39"/>
    </row>
    <row r="400" spans="1:13" s="56" customFormat="1">
      <c r="A400" s="1" t="s">
        <v>542</v>
      </c>
      <c r="B400" s="2" t="s">
        <v>495</v>
      </c>
      <c r="C400" s="2" t="s">
        <v>543</v>
      </c>
      <c r="D400" s="2" t="s">
        <v>72</v>
      </c>
      <c r="E400" s="2">
        <v>20</v>
      </c>
      <c r="F400" s="330">
        <v>520.86</v>
      </c>
      <c r="G400" s="338">
        <v>699.42</v>
      </c>
      <c r="H400" s="7">
        <f t="shared" si="18"/>
        <v>3571.1999999999989</v>
      </c>
      <c r="I400" s="68"/>
      <c r="J400" s="39"/>
      <c r="K400" s="55"/>
      <c r="L400" s="55"/>
      <c r="M400" s="55"/>
    </row>
    <row r="401" spans="1:10" s="55" customFormat="1">
      <c r="A401" s="1" t="s">
        <v>544</v>
      </c>
      <c r="B401" s="2" t="s">
        <v>495</v>
      </c>
      <c r="C401" s="2" t="s">
        <v>545</v>
      </c>
      <c r="D401" s="2" t="s">
        <v>72</v>
      </c>
      <c r="E401" s="2">
        <v>20</v>
      </c>
      <c r="F401" s="330">
        <v>1888.8</v>
      </c>
      <c r="G401" s="330">
        <v>1893.7</v>
      </c>
      <c r="H401" s="7">
        <f>(G401-F401)*E401</f>
        <v>98.000000000001819</v>
      </c>
      <c r="I401" s="68"/>
      <c r="J401" s="39"/>
    </row>
    <row r="402" spans="1:10" s="55" customFormat="1">
      <c r="A402" s="1" t="s">
        <v>546</v>
      </c>
      <c r="B402" s="2" t="s">
        <v>191</v>
      </c>
      <c r="C402" s="2">
        <v>848</v>
      </c>
      <c r="D402" s="2">
        <v>20</v>
      </c>
      <c r="E402" s="2">
        <v>20</v>
      </c>
      <c r="F402" s="330">
        <v>147.28</v>
      </c>
      <c r="G402" s="330">
        <v>147.28</v>
      </c>
      <c r="H402" s="7">
        <f>(G402-F402)*E402</f>
        <v>0</v>
      </c>
      <c r="I402" s="68"/>
      <c r="J402" s="39"/>
    </row>
    <row r="403" spans="1:10" s="55" customFormat="1">
      <c r="A403" s="1" t="s">
        <v>547</v>
      </c>
      <c r="B403" s="2" t="s">
        <v>94</v>
      </c>
      <c r="C403" s="2" t="s">
        <v>548</v>
      </c>
      <c r="D403" s="2" t="s">
        <v>72</v>
      </c>
      <c r="E403" s="2">
        <v>20</v>
      </c>
      <c r="F403" s="247">
        <v>3682.3</v>
      </c>
      <c r="G403" s="247">
        <v>3702.8</v>
      </c>
      <c r="H403" s="7">
        <f t="shared" si="18"/>
        <v>410</v>
      </c>
      <c r="I403" s="59"/>
      <c r="J403" s="39"/>
    </row>
    <row r="404" spans="1:10" s="55" customFormat="1">
      <c r="A404" s="1" t="s">
        <v>549</v>
      </c>
      <c r="B404" s="2" t="s">
        <v>94</v>
      </c>
      <c r="C404" s="2" t="s">
        <v>550</v>
      </c>
      <c r="D404" s="2" t="s">
        <v>72</v>
      </c>
      <c r="E404" s="2">
        <v>20</v>
      </c>
      <c r="F404" s="247">
        <v>855.8</v>
      </c>
      <c r="G404" s="247">
        <v>856.4</v>
      </c>
      <c r="H404" s="7">
        <f t="shared" si="18"/>
        <v>12.000000000000455</v>
      </c>
      <c r="I404" s="68"/>
      <c r="J404" s="39"/>
    </row>
    <row r="405" spans="1:10" s="55" customFormat="1">
      <c r="A405" s="1" t="s">
        <v>551</v>
      </c>
      <c r="B405" s="2" t="s">
        <v>94</v>
      </c>
      <c r="C405" s="2" t="s">
        <v>552</v>
      </c>
      <c r="D405" s="2" t="s">
        <v>72</v>
      </c>
      <c r="E405" s="2">
        <v>20</v>
      </c>
      <c r="F405" s="247">
        <v>676.8</v>
      </c>
      <c r="G405" s="284">
        <v>676.8</v>
      </c>
      <c r="H405" s="7">
        <f t="shared" si="18"/>
        <v>0</v>
      </c>
      <c r="I405" s="68"/>
      <c r="J405" s="39"/>
    </row>
    <row r="406" spans="1:10" s="55" customFormat="1">
      <c r="A406" s="1" t="s">
        <v>553</v>
      </c>
      <c r="B406" s="2" t="s">
        <v>101</v>
      </c>
      <c r="C406" s="2" t="s">
        <v>554</v>
      </c>
      <c r="D406" s="2" t="s">
        <v>372</v>
      </c>
      <c r="E406" s="2">
        <v>15</v>
      </c>
      <c r="F406" s="247">
        <v>73.8</v>
      </c>
      <c r="G406" s="247">
        <v>97.2</v>
      </c>
      <c r="H406" s="7">
        <f t="shared" si="18"/>
        <v>351.00000000000011</v>
      </c>
      <c r="I406" s="68"/>
      <c r="J406" s="39"/>
    </row>
    <row r="407" spans="1:10" s="55" customFormat="1">
      <c r="A407" s="1" t="s">
        <v>555</v>
      </c>
      <c r="B407" s="2" t="s">
        <v>94</v>
      </c>
      <c r="C407" s="2" t="s">
        <v>556</v>
      </c>
      <c r="D407" s="2" t="s">
        <v>372</v>
      </c>
      <c r="E407" s="2">
        <v>15</v>
      </c>
      <c r="F407" s="247">
        <v>154.80000000000001</v>
      </c>
      <c r="G407" s="247">
        <v>171.8</v>
      </c>
      <c r="H407" s="7">
        <f t="shared" si="18"/>
        <v>255</v>
      </c>
      <c r="I407" s="68"/>
      <c r="J407" s="39"/>
    </row>
    <row r="408" spans="1:10" s="55" customFormat="1">
      <c r="A408" s="1" t="s">
        <v>557</v>
      </c>
      <c r="B408" s="2" t="s">
        <v>97</v>
      </c>
      <c r="C408" s="2">
        <v>50442300</v>
      </c>
      <c r="D408" s="2" t="s">
        <v>25</v>
      </c>
      <c r="E408" s="2">
        <v>60</v>
      </c>
      <c r="F408" s="247">
        <v>670.89</v>
      </c>
      <c r="G408" s="247">
        <v>1188.42</v>
      </c>
      <c r="H408" s="7">
        <f t="shared" si="18"/>
        <v>31051.800000000007</v>
      </c>
      <c r="I408" s="68"/>
      <c r="J408" s="39"/>
    </row>
    <row r="409" spans="1:10" s="55" customFormat="1">
      <c r="A409" s="1" t="s">
        <v>558</v>
      </c>
      <c r="B409" s="2" t="s">
        <v>191</v>
      </c>
      <c r="C409" s="2">
        <v>6726</v>
      </c>
      <c r="D409" s="2" t="s">
        <v>25</v>
      </c>
      <c r="E409" s="2">
        <v>60</v>
      </c>
      <c r="F409" s="247"/>
      <c r="G409" s="247"/>
      <c r="H409" s="7">
        <v>10</v>
      </c>
      <c r="I409" s="59"/>
      <c r="J409" s="39"/>
    </row>
    <row r="410" spans="1:10" s="55" customFormat="1">
      <c r="A410" s="1" t="s">
        <v>559</v>
      </c>
      <c r="B410" s="2" t="s">
        <v>191</v>
      </c>
      <c r="C410" s="2">
        <v>7089</v>
      </c>
      <c r="D410" s="2" t="s">
        <v>25</v>
      </c>
      <c r="E410" s="2">
        <v>60</v>
      </c>
      <c r="F410" s="247"/>
      <c r="G410" s="247"/>
      <c r="H410" s="7">
        <v>10</v>
      </c>
      <c r="I410" s="59"/>
      <c r="J410" s="39"/>
    </row>
    <row r="411" spans="1:10" s="55" customFormat="1">
      <c r="A411" s="1" t="s">
        <v>560</v>
      </c>
      <c r="B411" s="2" t="s">
        <v>191</v>
      </c>
      <c r="C411" s="2">
        <v>970</v>
      </c>
      <c r="D411" s="2" t="s">
        <v>72</v>
      </c>
      <c r="E411" s="2">
        <v>20</v>
      </c>
      <c r="F411" s="247">
        <v>6908.9</v>
      </c>
      <c r="G411" s="284">
        <v>6908.9</v>
      </c>
      <c r="H411" s="7">
        <f>(G411-F411)*E411</f>
        <v>0</v>
      </c>
      <c r="I411" s="59"/>
      <c r="J411" s="39"/>
    </row>
    <row r="412" spans="1:10" s="55" customFormat="1">
      <c r="A412" s="1" t="s">
        <v>221</v>
      </c>
      <c r="B412" s="2" t="s">
        <v>97</v>
      </c>
      <c r="C412" s="2">
        <v>35392626</v>
      </c>
      <c r="D412" s="2" t="s">
        <v>72</v>
      </c>
      <c r="E412" s="2">
        <v>20</v>
      </c>
      <c r="F412" s="62">
        <v>12238.85</v>
      </c>
      <c r="G412" s="62">
        <v>12435.26</v>
      </c>
      <c r="H412" s="7">
        <f t="shared" ref="H412:H423" si="19">(G412-F412)*E412</f>
        <v>3928.1999999999971</v>
      </c>
      <c r="I412" s="59"/>
      <c r="J412" s="39"/>
    </row>
    <row r="413" spans="1:10" s="55" customFormat="1">
      <c r="A413" s="1" t="s">
        <v>561</v>
      </c>
      <c r="B413" s="2" t="s">
        <v>191</v>
      </c>
      <c r="C413" s="2">
        <v>8014</v>
      </c>
      <c r="D413" s="2" t="s">
        <v>72</v>
      </c>
      <c r="E413" s="2">
        <v>20</v>
      </c>
      <c r="F413" s="284">
        <v>50861.3</v>
      </c>
      <c r="G413" s="284">
        <v>51368.3</v>
      </c>
      <c r="H413" s="7">
        <f t="shared" si="19"/>
        <v>10140</v>
      </c>
      <c r="I413" s="38"/>
      <c r="J413" s="39"/>
    </row>
    <row r="414" spans="1:10" s="55" customFormat="1">
      <c r="A414" s="1" t="s">
        <v>562</v>
      </c>
      <c r="B414" s="2" t="s">
        <v>101</v>
      </c>
      <c r="C414" s="2" t="s">
        <v>563</v>
      </c>
      <c r="D414" s="2" t="s">
        <v>505</v>
      </c>
      <c r="E414" s="2">
        <v>15</v>
      </c>
      <c r="F414" s="41">
        <v>1930.2</v>
      </c>
      <c r="G414" s="340">
        <v>1930.2</v>
      </c>
      <c r="H414" s="7">
        <f t="shared" si="19"/>
        <v>0</v>
      </c>
      <c r="I414" s="38"/>
      <c r="J414" s="39"/>
    </row>
    <row r="415" spans="1:10" s="55" customFormat="1">
      <c r="A415" s="1" t="s">
        <v>564</v>
      </c>
      <c r="B415" s="2" t="s">
        <v>191</v>
      </c>
      <c r="C415" s="2">
        <v>6982</v>
      </c>
      <c r="D415" s="3" t="s">
        <v>72</v>
      </c>
      <c r="E415" s="2">
        <v>20</v>
      </c>
      <c r="F415" s="247">
        <v>7000</v>
      </c>
      <c r="G415" s="247">
        <v>7000</v>
      </c>
      <c r="H415" s="7">
        <f t="shared" si="19"/>
        <v>0</v>
      </c>
      <c r="I415" s="68"/>
      <c r="J415" s="39"/>
    </row>
    <row r="416" spans="1:10" s="55" customFormat="1">
      <c r="A416" s="1" t="s">
        <v>565</v>
      </c>
      <c r="B416" s="2" t="s">
        <v>94</v>
      </c>
      <c r="C416" s="35" t="s">
        <v>566</v>
      </c>
      <c r="D416" s="2" t="s">
        <v>72</v>
      </c>
      <c r="E416" s="2">
        <v>20</v>
      </c>
      <c r="F416" s="247">
        <v>43939.3</v>
      </c>
      <c r="G416" s="247">
        <v>44445.4</v>
      </c>
      <c r="H416" s="7">
        <f t="shared" si="19"/>
        <v>10121.999999999971</v>
      </c>
      <c r="I416" s="59"/>
      <c r="J416" s="39"/>
    </row>
    <row r="417" spans="1:11" s="55" customFormat="1">
      <c r="A417" s="1" t="s">
        <v>567</v>
      </c>
      <c r="B417" s="2" t="s">
        <v>191</v>
      </c>
      <c r="C417" s="2">
        <v>139570</v>
      </c>
      <c r="D417" s="2" t="s">
        <v>72</v>
      </c>
      <c r="E417" s="2">
        <v>20</v>
      </c>
      <c r="F417" s="247">
        <v>72464.899999999994</v>
      </c>
      <c r="G417" s="247">
        <v>73320.2</v>
      </c>
      <c r="H417" s="7">
        <f t="shared" si="19"/>
        <v>17106.000000000058</v>
      </c>
      <c r="I417" s="18"/>
      <c r="J417" s="39"/>
    </row>
    <row r="418" spans="1:11" s="55" customFormat="1">
      <c r="A418" s="1" t="s">
        <v>568</v>
      </c>
      <c r="B418" s="2" t="s">
        <v>569</v>
      </c>
      <c r="C418" s="35">
        <v>10988342</v>
      </c>
      <c r="D418" s="2" t="s">
        <v>72</v>
      </c>
      <c r="E418" s="2">
        <v>20</v>
      </c>
      <c r="F418" s="247">
        <v>46211.6</v>
      </c>
      <c r="G418" s="247">
        <v>46724.1</v>
      </c>
      <c r="H418" s="7">
        <f t="shared" si="19"/>
        <v>10250</v>
      </c>
      <c r="I418" s="59"/>
      <c r="J418" s="39"/>
    </row>
    <row r="419" spans="1:11" s="55" customFormat="1">
      <c r="A419" s="5" t="s">
        <v>570</v>
      </c>
      <c r="B419" s="2" t="s">
        <v>94</v>
      </c>
      <c r="C419" s="2" t="s">
        <v>571</v>
      </c>
      <c r="D419" s="3" t="s">
        <v>72</v>
      </c>
      <c r="E419" s="2">
        <v>20</v>
      </c>
      <c r="F419" s="247">
        <v>28483.8</v>
      </c>
      <c r="G419" s="247">
        <v>28721.200000000001</v>
      </c>
      <c r="H419" s="7">
        <f t="shared" si="19"/>
        <v>4748.0000000000291</v>
      </c>
      <c r="I419" s="59"/>
      <c r="J419" s="39"/>
    </row>
    <row r="420" spans="1:11" s="55" customFormat="1">
      <c r="A420" s="5" t="s">
        <v>572</v>
      </c>
      <c r="B420" s="2" t="s">
        <v>573</v>
      </c>
      <c r="C420" s="2" t="s">
        <v>574</v>
      </c>
      <c r="D420" s="2">
        <f>75/5</f>
        <v>15</v>
      </c>
      <c r="E420" s="2">
        <v>20</v>
      </c>
      <c r="F420" s="247">
        <v>20338.939999999999</v>
      </c>
      <c r="G420" s="247">
        <v>20601.64</v>
      </c>
      <c r="H420" s="7">
        <f t="shared" si="19"/>
        <v>5254.0000000000146</v>
      </c>
      <c r="I420" s="59"/>
      <c r="J420" s="39"/>
    </row>
    <row r="421" spans="1:11" s="55" customFormat="1">
      <c r="A421" s="5" t="s">
        <v>575</v>
      </c>
      <c r="B421" s="2" t="s">
        <v>495</v>
      </c>
      <c r="C421" s="2" t="s">
        <v>576</v>
      </c>
      <c r="D421" s="2" t="s">
        <v>72</v>
      </c>
      <c r="E421" s="2">
        <v>20</v>
      </c>
      <c r="F421" s="247">
        <v>25924.400000000001</v>
      </c>
      <c r="G421" s="247">
        <v>26249.599999999999</v>
      </c>
      <c r="H421" s="7">
        <f t="shared" si="19"/>
        <v>6503.9999999999418</v>
      </c>
      <c r="I421" s="59"/>
      <c r="J421" s="39"/>
    </row>
    <row r="422" spans="1:11" s="55" customFormat="1">
      <c r="A422" s="1" t="s">
        <v>577</v>
      </c>
      <c r="B422" s="2" t="s">
        <v>191</v>
      </c>
      <c r="C422" s="2">
        <v>150829</v>
      </c>
      <c r="D422" s="3" t="s">
        <v>72</v>
      </c>
      <c r="E422" s="2">
        <v>20</v>
      </c>
      <c r="F422" s="247">
        <v>41027.9</v>
      </c>
      <c r="G422" s="284">
        <v>41027.9</v>
      </c>
      <c r="H422" s="7">
        <f t="shared" si="19"/>
        <v>0</v>
      </c>
      <c r="I422" s="59"/>
      <c r="J422" s="39"/>
    </row>
    <row r="423" spans="1:11" s="55" customFormat="1">
      <c r="A423" s="1" t="s">
        <v>578</v>
      </c>
      <c r="B423" s="2" t="s">
        <v>579</v>
      </c>
      <c r="C423" s="2">
        <v>10988213</v>
      </c>
      <c r="D423" s="2" t="s">
        <v>72</v>
      </c>
      <c r="E423" s="2">
        <v>20</v>
      </c>
      <c r="F423" s="247">
        <v>10446.4</v>
      </c>
      <c r="G423" s="284">
        <v>10446.4</v>
      </c>
      <c r="H423" s="7">
        <f t="shared" si="19"/>
        <v>0</v>
      </c>
      <c r="I423" s="59"/>
      <c r="J423" s="39"/>
      <c r="K423" s="300" t="s">
        <v>580</v>
      </c>
    </row>
    <row r="424" spans="1:11" s="55" customFormat="1">
      <c r="A424" s="1" t="s">
        <v>581</v>
      </c>
      <c r="B424" s="2" t="s">
        <v>228</v>
      </c>
      <c r="C424" s="2" t="s">
        <v>582</v>
      </c>
      <c r="D424" s="3" t="s">
        <v>82</v>
      </c>
      <c r="E424" s="2">
        <v>40</v>
      </c>
      <c r="F424" s="247">
        <v>15830.7</v>
      </c>
      <c r="G424" s="247">
        <v>16081.3</v>
      </c>
      <c r="H424" s="7">
        <f>(G424-F424)*E424</f>
        <v>10023.999999999942</v>
      </c>
      <c r="I424" s="59"/>
      <c r="J424" s="39"/>
    </row>
    <row r="425" spans="1:11" s="55" customFormat="1">
      <c r="A425" s="1" t="s">
        <v>56</v>
      </c>
      <c r="B425" s="2"/>
      <c r="C425" s="2"/>
      <c r="D425" s="3"/>
      <c r="E425" s="2"/>
      <c r="F425" s="247"/>
      <c r="G425" s="247"/>
      <c r="H425" s="255">
        <v>85383.159999999742</v>
      </c>
      <c r="I425" s="59"/>
      <c r="J425" s="39"/>
    </row>
    <row r="426" spans="1:11" s="55" customFormat="1" ht="16.5" thickBot="1">
      <c r="A426" s="1" t="s">
        <v>583</v>
      </c>
      <c r="B426" s="10"/>
      <c r="C426" s="35"/>
      <c r="D426" s="2"/>
      <c r="E426" s="2"/>
      <c r="F426" s="302"/>
      <c r="G426" s="302"/>
      <c r="H426" s="7">
        <f>H327*0.03</f>
        <v>19464.948000000004</v>
      </c>
      <c r="I426" s="59"/>
      <c r="J426" s="39"/>
    </row>
    <row r="427" spans="1:11" s="55" customFormat="1">
      <c r="A427" s="1" t="s">
        <v>283</v>
      </c>
      <c r="B427" s="10"/>
      <c r="C427" s="35"/>
      <c r="D427" s="2"/>
      <c r="E427" s="2"/>
      <c r="F427" s="70"/>
      <c r="G427" s="70"/>
      <c r="H427" s="7">
        <f>H327*0.03</f>
        <v>19464.948000000004</v>
      </c>
      <c r="I427" s="59"/>
      <c r="J427" s="39"/>
    </row>
    <row r="428" spans="1:11" s="55" customFormat="1">
      <c r="A428" s="9" t="s">
        <v>284</v>
      </c>
      <c r="B428" s="10"/>
      <c r="C428" s="35"/>
      <c r="D428" s="2"/>
      <c r="E428" s="2"/>
      <c r="F428" s="70"/>
      <c r="G428" s="70"/>
      <c r="H428" s="11">
        <f>H329+H330+H331+H332+H333+H334+H335+H336+H337+H338+H339+H340+H341+H342+H343+H344+H345+H346+H347+H348+H349+H350+H351+H352+H353+H354+H355+H356+H357+H358+H359+H360+H361+H362+H363+H364+H365+H367+H368+H369+H370+H371+H372+H373+H374+H375+H376+H377+H378+H379+H380+H381+H382+H383+H384+H385+H386+H387+H388+H389+H390+H391+H392+H393+H394+H395+H396+H397+H398+H399+H400+H401+H403+H404+H405+H406+H407+H408+H409+H410+H411+H412+H413+H414+H415+H416+H417+H418+H419+H420+H421+H422+H423+H424+H425+H426+H427</f>
        <v>515887.33600000048</v>
      </c>
      <c r="I428" s="59"/>
      <c r="J428" s="39"/>
    </row>
    <row r="429" spans="1:11" s="55" customFormat="1">
      <c r="A429" s="99" t="s">
        <v>584</v>
      </c>
      <c r="B429" s="251"/>
      <c r="C429" s="251"/>
      <c r="D429" s="251"/>
      <c r="E429" s="251"/>
      <c r="F429" s="251"/>
      <c r="G429" s="251"/>
      <c r="H429" s="251"/>
      <c r="I429" s="169"/>
      <c r="J429" s="164"/>
      <c r="K429" s="76"/>
    </row>
    <row r="430" spans="1:11" s="55" customFormat="1">
      <c r="A430" s="1" t="s">
        <v>585</v>
      </c>
      <c r="B430" s="2" t="s">
        <v>71</v>
      </c>
      <c r="C430" s="314">
        <v>51259326</v>
      </c>
      <c r="D430" s="3" t="s">
        <v>17</v>
      </c>
      <c r="E430" s="2">
        <v>7200</v>
      </c>
      <c r="F430" s="247">
        <v>247.227</v>
      </c>
      <c r="G430" s="247">
        <v>292.42399999999998</v>
      </c>
      <c r="H430" s="7">
        <f>(G430-F430)*E430</f>
        <v>325418.39999999979</v>
      </c>
      <c r="I430" s="59"/>
      <c r="J430" s="39"/>
      <c r="K430" s="76"/>
    </row>
    <row r="431" spans="1:11" s="55" customFormat="1">
      <c r="A431" s="1" t="s">
        <v>586</v>
      </c>
      <c r="B431" s="2" t="s">
        <v>71</v>
      </c>
      <c r="C431" s="314">
        <v>51431351</v>
      </c>
      <c r="D431" s="3" t="s">
        <v>17</v>
      </c>
      <c r="E431" s="2">
        <v>7200</v>
      </c>
      <c r="F431" s="247">
        <v>155.929</v>
      </c>
      <c r="G431" s="247">
        <v>202.86199999999999</v>
      </c>
      <c r="H431" s="7">
        <f>(G431-F431)*E431</f>
        <v>337917.6</v>
      </c>
      <c r="I431" s="59"/>
      <c r="J431" s="39"/>
    </row>
    <row r="432" spans="1:11" s="55" customFormat="1">
      <c r="A432" s="9" t="s">
        <v>587</v>
      </c>
      <c r="B432" s="10"/>
      <c r="C432" s="35"/>
      <c r="D432" s="2"/>
      <c r="E432" s="2"/>
      <c r="F432" s="70"/>
      <c r="G432" s="70"/>
      <c r="H432" s="11">
        <f>H430+H431</f>
        <v>663335.99999999977</v>
      </c>
      <c r="I432" s="27">
        <f>H432-H437</f>
        <v>14807.999999999884</v>
      </c>
      <c r="J432" s="13">
        <f>I432/H432</f>
        <v>2.2323528347624567E-2</v>
      </c>
    </row>
    <row r="433" spans="1:13" s="55" customFormat="1">
      <c r="A433" s="1" t="s">
        <v>588</v>
      </c>
      <c r="B433" s="2" t="s">
        <v>132</v>
      </c>
      <c r="C433" s="2">
        <v>1186800</v>
      </c>
      <c r="D433" s="3" t="s">
        <v>37</v>
      </c>
      <c r="E433" s="2">
        <v>4800</v>
      </c>
      <c r="F433" s="247">
        <v>9056.25</v>
      </c>
      <c r="G433" s="247">
        <v>9109.1859999999997</v>
      </c>
      <c r="H433" s="26">
        <f>(G433-F433)*E433</f>
        <v>254092.79999999853</v>
      </c>
      <c r="I433" s="59"/>
      <c r="J433" s="164"/>
      <c r="K433" s="56"/>
      <c r="L433" s="56"/>
      <c r="M433" s="56"/>
    </row>
    <row r="434" spans="1:13" s="56" customFormat="1">
      <c r="A434" s="1" t="s">
        <v>589</v>
      </c>
      <c r="B434" s="2" t="s">
        <v>132</v>
      </c>
      <c r="C434" s="2">
        <v>1186845</v>
      </c>
      <c r="D434" s="3" t="s">
        <v>37</v>
      </c>
      <c r="E434" s="2">
        <v>4800</v>
      </c>
      <c r="F434" s="247">
        <v>8007.183</v>
      </c>
      <c r="G434" s="247">
        <v>8077.0320000000002</v>
      </c>
      <c r="H434" s="26">
        <f>(G434-F434)*E434</f>
        <v>335275.20000000077</v>
      </c>
      <c r="I434" s="218"/>
      <c r="J434" s="120"/>
      <c r="K434" s="55"/>
      <c r="L434" s="55"/>
      <c r="M434" s="55"/>
    </row>
    <row r="435" spans="1:13" s="55" customFormat="1">
      <c r="A435" s="1" t="s">
        <v>590</v>
      </c>
      <c r="B435" s="2" t="s">
        <v>191</v>
      </c>
      <c r="C435" s="2">
        <v>67269</v>
      </c>
      <c r="D435" s="2" t="s">
        <v>82</v>
      </c>
      <c r="E435" s="2">
        <v>40</v>
      </c>
      <c r="F435" s="247">
        <v>2293.9</v>
      </c>
      <c r="G435" s="284">
        <v>2293.9</v>
      </c>
      <c r="H435" s="7">
        <f>(G435-F435)*E435</f>
        <v>0</v>
      </c>
      <c r="I435" s="59"/>
      <c r="J435" s="39"/>
    </row>
    <row r="436" spans="1:13" s="55" customFormat="1" ht="16.5" thickBot="1">
      <c r="A436" s="1" t="s">
        <v>591</v>
      </c>
      <c r="B436" s="69" t="s">
        <v>94</v>
      </c>
      <c r="C436" s="69">
        <v>117878</v>
      </c>
      <c r="D436" s="69" t="s">
        <v>67</v>
      </c>
      <c r="E436" s="69">
        <v>200</v>
      </c>
      <c r="F436" s="302">
        <v>78848.899999999994</v>
      </c>
      <c r="G436" s="247">
        <v>79144.7</v>
      </c>
      <c r="H436" s="26">
        <f>(G436-F436)*E436</f>
        <v>59160.000000000582</v>
      </c>
      <c r="I436" s="59"/>
      <c r="J436" s="39"/>
    </row>
    <row r="437" spans="1:13" s="55" customFormat="1">
      <c r="A437" s="9" t="s">
        <v>587</v>
      </c>
      <c r="B437" s="10"/>
      <c r="C437" s="35"/>
      <c r="D437" s="2"/>
      <c r="E437" s="2"/>
      <c r="F437" s="303"/>
      <c r="G437" s="303"/>
      <c r="H437" s="217">
        <f>H433+H434+H435+H436</f>
        <v>648527.99999999988</v>
      </c>
      <c r="I437" s="59"/>
      <c r="J437" s="39"/>
    </row>
    <row r="438" spans="1:13" s="55" customFormat="1">
      <c r="A438" s="33"/>
      <c r="B438" s="251" t="s">
        <v>592</v>
      </c>
      <c r="C438" s="251"/>
      <c r="D438" s="251"/>
      <c r="E438" s="251"/>
      <c r="F438" s="82"/>
      <c r="G438" s="82"/>
      <c r="H438" s="219"/>
      <c r="I438" s="169"/>
      <c r="J438" s="164"/>
    </row>
    <row r="439" spans="1:13" s="55" customFormat="1">
      <c r="A439" s="1" t="s">
        <v>593</v>
      </c>
      <c r="B439" s="69" t="s">
        <v>132</v>
      </c>
      <c r="C439" s="69">
        <v>1186800</v>
      </c>
      <c r="D439" s="157" t="s">
        <v>37</v>
      </c>
      <c r="E439" s="69">
        <v>4800</v>
      </c>
      <c r="F439" s="247">
        <v>9056.25</v>
      </c>
      <c r="G439" s="247">
        <v>9109.1859999999997</v>
      </c>
      <c r="H439" s="26">
        <f>(G439-F439)*E439</f>
        <v>254092.79999999853</v>
      </c>
      <c r="I439" s="59"/>
      <c r="J439" s="39"/>
      <c r="K439" s="56"/>
      <c r="L439" s="56"/>
      <c r="M439" s="56"/>
    </row>
    <row r="440" spans="1:13" s="56" customFormat="1">
      <c r="A440" s="1" t="s">
        <v>594</v>
      </c>
      <c r="B440" s="2" t="s">
        <v>132</v>
      </c>
      <c r="C440" s="2">
        <v>1186845</v>
      </c>
      <c r="D440" s="3" t="s">
        <v>37</v>
      </c>
      <c r="E440" s="2">
        <v>4800</v>
      </c>
      <c r="F440" s="247">
        <v>8007.183</v>
      </c>
      <c r="G440" s="247">
        <v>8077.0320000000002</v>
      </c>
      <c r="H440" s="26">
        <f>(G440-F440)*E440</f>
        <v>335275.20000000077</v>
      </c>
      <c r="I440" s="59"/>
      <c r="J440" s="39"/>
      <c r="K440" s="55"/>
      <c r="L440" s="55"/>
      <c r="M440" s="55"/>
    </row>
    <row r="441" spans="1:13" s="55" customFormat="1">
      <c r="A441" s="9" t="s">
        <v>595</v>
      </c>
      <c r="B441" s="2" t="s">
        <v>92</v>
      </c>
      <c r="C441" s="2"/>
      <c r="D441" s="2"/>
      <c r="E441" s="2"/>
      <c r="F441" s="247"/>
      <c r="G441" s="247"/>
      <c r="H441" s="11">
        <f>H439+H440</f>
        <v>589367.9999999993</v>
      </c>
      <c r="I441" s="27">
        <f>H441-H451</f>
        <v>9424.819999996922</v>
      </c>
      <c r="J441" s="13">
        <f>I441/H441</f>
        <v>1.5991400958309466E-2</v>
      </c>
    </row>
    <row r="442" spans="1:13" s="55" customFormat="1">
      <c r="A442" s="1" t="s">
        <v>596</v>
      </c>
      <c r="B442" s="2" t="s">
        <v>132</v>
      </c>
      <c r="C442" s="2">
        <v>1186789</v>
      </c>
      <c r="D442" s="3" t="s">
        <v>40</v>
      </c>
      <c r="E442" s="2">
        <v>600</v>
      </c>
      <c r="F442" s="247">
        <v>3458.4920000000002</v>
      </c>
      <c r="G442" s="284">
        <v>3458.4920000000002</v>
      </c>
      <c r="H442" s="26">
        <f t="shared" ref="H442:H450" si="20">(G442-F442)*E442</f>
        <v>0</v>
      </c>
      <c r="I442" s="59"/>
      <c r="J442" s="39"/>
    </row>
    <row r="443" spans="1:13" s="55" customFormat="1">
      <c r="A443" s="273" t="s">
        <v>597</v>
      </c>
      <c r="B443" s="274" t="s">
        <v>598</v>
      </c>
      <c r="C443" s="274">
        <v>1289265</v>
      </c>
      <c r="D443" s="275" t="s">
        <v>40</v>
      </c>
      <c r="E443" s="2">
        <v>10</v>
      </c>
      <c r="F443" s="305">
        <v>330.84300000000002</v>
      </c>
      <c r="G443" s="341">
        <v>344.58100000000002</v>
      </c>
      <c r="H443" s="26">
        <f t="shared" si="20"/>
        <v>137.38</v>
      </c>
      <c r="I443" s="59"/>
      <c r="J443" s="220"/>
    </row>
    <row r="444" spans="1:13" s="55" customFormat="1">
      <c r="A444" s="1" t="s">
        <v>599</v>
      </c>
      <c r="B444" s="2" t="s">
        <v>132</v>
      </c>
      <c r="C444" s="2">
        <v>1185333</v>
      </c>
      <c r="D444" s="3" t="s">
        <v>40</v>
      </c>
      <c r="E444" s="2">
        <v>600</v>
      </c>
      <c r="F444" s="247">
        <v>3.4000000000000002E-2</v>
      </c>
      <c r="G444" s="284">
        <v>3.4000000000000002E-2</v>
      </c>
      <c r="H444" s="26">
        <f t="shared" si="20"/>
        <v>0</v>
      </c>
      <c r="I444" s="64"/>
      <c r="J444" s="65"/>
    </row>
    <row r="445" spans="1:13" s="55" customFormat="1">
      <c r="A445" s="1" t="s">
        <v>600</v>
      </c>
      <c r="B445" s="2" t="s">
        <v>132</v>
      </c>
      <c r="C445" s="2">
        <v>1186842</v>
      </c>
      <c r="D445" s="3" t="s">
        <v>82</v>
      </c>
      <c r="E445" s="2">
        <v>2400</v>
      </c>
      <c r="F445" s="247">
        <v>13936.42</v>
      </c>
      <c r="G445" s="284">
        <v>14025.144</v>
      </c>
      <c r="H445" s="26">
        <f t="shared" si="20"/>
        <v>212937.60000000038</v>
      </c>
      <c r="I445" s="59"/>
      <c r="J445" s="39"/>
    </row>
    <row r="446" spans="1:13" s="55" customFormat="1">
      <c r="A446" s="1" t="s">
        <v>601</v>
      </c>
      <c r="B446" s="2" t="s">
        <v>132</v>
      </c>
      <c r="C446" s="2">
        <v>1191207</v>
      </c>
      <c r="D446" s="3" t="s">
        <v>40</v>
      </c>
      <c r="E446" s="2">
        <v>600</v>
      </c>
      <c r="F446" s="247">
        <v>3024.93</v>
      </c>
      <c r="G446" s="284">
        <v>3092.4949999999999</v>
      </c>
      <c r="H446" s="26">
        <f>(G446-F446)*E446</f>
        <v>40539.000000000029</v>
      </c>
      <c r="I446" s="59"/>
      <c r="J446" s="39"/>
    </row>
    <row r="447" spans="1:13" s="55" customFormat="1">
      <c r="A447" s="1" t="s">
        <v>602</v>
      </c>
      <c r="B447" s="2" t="s">
        <v>132</v>
      </c>
      <c r="C447" s="2">
        <v>1185342</v>
      </c>
      <c r="D447" s="3" t="s">
        <v>40</v>
      </c>
      <c r="E447" s="2">
        <v>600</v>
      </c>
      <c r="F447" s="247">
        <v>7377.317</v>
      </c>
      <c r="G447" s="284">
        <v>7465.5749999999998</v>
      </c>
      <c r="H447" s="26">
        <f t="shared" si="20"/>
        <v>52954.799999999886</v>
      </c>
      <c r="I447" s="59" t="s">
        <v>92</v>
      </c>
      <c r="J447" s="39"/>
    </row>
    <row r="448" spans="1:13" s="55" customFormat="1">
      <c r="A448" s="1" t="s">
        <v>603</v>
      </c>
      <c r="B448" s="2" t="s">
        <v>132</v>
      </c>
      <c r="C448" s="2">
        <v>1185329</v>
      </c>
      <c r="D448" s="3" t="s">
        <v>40</v>
      </c>
      <c r="E448" s="2">
        <v>600</v>
      </c>
      <c r="F448" s="247">
        <v>2653.4969999999998</v>
      </c>
      <c r="G448" s="284">
        <v>2653.4969999999998</v>
      </c>
      <c r="H448" s="26">
        <f t="shared" si="20"/>
        <v>0</v>
      </c>
      <c r="I448" s="59"/>
      <c r="J448" s="39"/>
    </row>
    <row r="449" spans="1:13" s="55" customFormat="1">
      <c r="A449" s="1" t="s">
        <v>604</v>
      </c>
      <c r="B449" s="2" t="s">
        <v>132</v>
      </c>
      <c r="C449" s="2">
        <v>1185278</v>
      </c>
      <c r="D449" s="3" t="s">
        <v>40</v>
      </c>
      <c r="E449" s="2">
        <v>600</v>
      </c>
      <c r="F449" s="247">
        <v>0.17799999999999999</v>
      </c>
      <c r="G449" s="284">
        <v>0.17799999999999999</v>
      </c>
      <c r="H449" s="26">
        <f t="shared" si="20"/>
        <v>0</v>
      </c>
      <c r="I449" s="59"/>
      <c r="J449" s="39"/>
    </row>
    <row r="450" spans="1:13" s="55" customFormat="1" ht="16.5" thickBot="1">
      <c r="A450" s="1" t="s">
        <v>605</v>
      </c>
      <c r="B450" s="2" t="s">
        <v>132</v>
      </c>
      <c r="C450" s="2">
        <v>1185292</v>
      </c>
      <c r="D450" s="3" t="s">
        <v>82</v>
      </c>
      <c r="E450" s="2">
        <v>2400</v>
      </c>
      <c r="F450" s="331">
        <v>11998.444</v>
      </c>
      <c r="G450" s="331">
        <v>12112.35</v>
      </c>
      <c r="H450" s="26">
        <f t="shared" si="20"/>
        <v>273374.40000000206</v>
      </c>
      <c r="I450" s="59"/>
      <c r="J450" s="39"/>
    </row>
    <row r="451" spans="1:13" s="55" customFormat="1">
      <c r="A451" s="9" t="s">
        <v>606</v>
      </c>
      <c r="B451" s="2" t="s">
        <v>92</v>
      </c>
      <c r="C451" s="10"/>
      <c r="D451" s="10"/>
      <c r="E451" s="10"/>
      <c r="F451" s="304"/>
      <c r="G451" s="304"/>
      <c r="H451" s="93">
        <f>H442+H444+H445+H447+H448+H449+H450+H443+H446</f>
        <v>579943.18000000238</v>
      </c>
      <c r="I451" s="59"/>
      <c r="J451" s="39"/>
    </row>
    <row r="452" spans="1:13" s="55" customFormat="1">
      <c r="A452" s="1"/>
      <c r="B452" s="10"/>
      <c r="C452" s="10"/>
      <c r="D452" s="10"/>
      <c r="E452" s="10"/>
      <c r="F452" s="18"/>
      <c r="G452" s="18"/>
      <c r="H452" s="19"/>
      <c r="I452" s="59"/>
      <c r="J452" s="39"/>
    </row>
    <row r="453" spans="1:13" s="55" customFormat="1">
      <c r="A453" s="221"/>
      <c r="B453" s="17"/>
      <c r="C453" s="105" t="s">
        <v>607</v>
      </c>
      <c r="D453" s="111"/>
      <c r="E453" s="111"/>
      <c r="F453" s="222"/>
      <c r="G453" s="222"/>
      <c r="H453" s="223"/>
      <c r="I453" s="169"/>
      <c r="J453" s="184"/>
    </row>
    <row r="454" spans="1:13" s="55" customFormat="1" ht="16.5" customHeight="1">
      <c r="A454" s="33" t="s">
        <v>412</v>
      </c>
      <c r="B454" s="2" t="s">
        <v>71</v>
      </c>
      <c r="C454" s="279">
        <v>51431297</v>
      </c>
      <c r="D454" s="2" t="s">
        <v>72</v>
      </c>
      <c r="E454" s="111">
        <v>7000</v>
      </c>
      <c r="F454" s="287">
        <v>191.30199999999999</v>
      </c>
      <c r="G454" s="287">
        <v>240.98699999999999</v>
      </c>
      <c r="H454" s="7">
        <f>(G454-F454)*E454</f>
        <v>347795</v>
      </c>
      <c r="I454" s="86"/>
      <c r="J454" s="256"/>
    </row>
    <row r="455" spans="1:13" s="55" customFormat="1">
      <c r="A455" s="33" t="s">
        <v>413</v>
      </c>
      <c r="B455" s="2" t="s">
        <v>71</v>
      </c>
      <c r="C455" s="279">
        <v>51431332</v>
      </c>
      <c r="D455" s="2" t="s">
        <v>72</v>
      </c>
      <c r="E455" s="111">
        <v>7000</v>
      </c>
      <c r="F455" s="247">
        <v>292.45100000000002</v>
      </c>
      <c r="G455" s="247">
        <v>325.553</v>
      </c>
      <c r="H455" s="7">
        <f>(G455-F455)*E455</f>
        <v>231713.99999999983</v>
      </c>
      <c r="I455" s="2"/>
      <c r="J455" s="143"/>
    </row>
    <row r="456" spans="1:13" s="55" customFormat="1">
      <c r="A456" s="1" t="s">
        <v>414</v>
      </c>
      <c r="B456" s="2" t="s">
        <v>191</v>
      </c>
      <c r="C456" s="16">
        <v>150773</v>
      </c>
      <c r="D456" s="2" t="s">
        <v>72</v>
      </c>
      <c r="E456" s="16">
        <v>20</v>
      </c>
      <c r="F456" s="287">
        <v>15184.4</v>
      </c>
      <c r="G456" s="287">
        <v>15445.4</v>
      </c>
      <c r="H456" s="7">
        <f>(G456-F456)*E456</f>
        <v>5220</v>
      </c>
      <c r="I456" s="59"/>
      <c r="J456" s="143"/>
    </row>
    <row r="457" spans="1:13" s="55" customFormat="1">
      <c r="A457" s="1" t="s">
        <v>415</v>
      </c>
      <c r="B457" s="2" t="s">
        <v>191</v>
      </c>
      <c r="C457" s="16">
        <v>150791</v>
      </c>
      <c r="D457" s="2" t="s">
        <v>72</v>
      </c>
      <c r="E457" s="16">
        <v>20</v>
      </c>
      <c r="F457" s="247">
        <v>231.7</v>
      </c>
      <c r="G457" s="247">
        <v>231.5</v>
      </c>
      <c r="H457" s="7">
        <f>(G457-F457)*E457</f>
        <v>-3.9999999999997726</v>
      </c>
      <c r="I457" s="59"/>
      <c r="J457" s="143"/>
    </row>
    <row r="458" spans="1:13" s="55" customFormat="1">
      <c r="A458" s="99" t="s">
        <v>416</v>
      </c>
      <c r="B458" s="252"/>
      <c r="C458" s="8"/>
      <c r="D458" s="139"/>
      <c r="E458" s="139"/>
      <c r="F458" s="247"/>
      <c r="G458" s="247"/>
      <c r="H458" s="11">
        <f>H454+H455</f>
        <v>579508.99999999977</v>
      </c>
      <c r="I458" s="27">
        <f>H458-H461-H456-H457</f>
        <v>13984.199999999721</v>
      </c>
      <c r="J458" s="13">
        <f>I458/H458</f>
        <v>2.4131117894631016E-2</v>
      </c>
    </row>
    <row r="459" spans="1:13" s="55" customFormat="1">
      <c r="A459" s="1" t="s">
        <v>608</v>
      </c>
      <c r="B459" s="2" t="s">
        <v>71</v>
      </c>
      <c r="C459" s="279">
        <v>51431342</v>
      </c>
      <c r="D459" s="3" t="s">
        <v>37</v>
      </c>
      <c r="E459" s="2">
        <v>4800</v>
      </c>
      <c r="F459" s="247">
        <v>270.245</v>
      </c>
      <c r="G459" s="247">
        <v>341.36900000000003</v>
      </c>
      <c r="H459" s="7">
        <f>(G459-F459)*E459</f>
        <v>341395.20000000013</v>
      </c>
      <c r="I459" s="59"/>
      <c r="J459" s="39"/>
    </row>
    <row r="460" spans="1:13" s="55" customFormat="1">
      <c r="A460" s="1" t="s">
        <v>609</v>
      </c>
      <c r="B460" s="2" t="s">
        <v>71</v>
      </c>
      <c r="C460" s="279">
        <v>51431343</v>
      </c>
      <c r="D460" s="3" t="s">
        <v>37</v>
      </c>
      <c r="E460" s="2">
        <v>4800</v>
      </c>
      <c r="F460" s="247">
        <v>415.20100000000002</v>
      </c>
      <c r="G460" s="247">
        <v>460.80799999999999</v>
      </c>
      <c r="H460" s="7">
        <f>(G460-F460)*E460</f>
        <v>218913.59999999986</v>
      </c>
      <c r="I460" s="59"/>
      <c r="J460" s="39"/>
    </row>
    <row r="461" spans="1:13" s="55" customFormat="1">
      <c r="A461" s="9" t="s">
        <v>587</v>
      </c>
      <c r="B461" s="140"/>
      <c r="C461" s="16"/>
      <c r="D461" s="224"/>
      <c r="E461" s="16"/>
      <c r="F461" s="247"/>
      <c r="G461" s="247"/>
      <c r="H461" s="11">
        <f>H459+H460</f>
        <v>560308.80000000005</v>
      </c>
      <c r="I461" s="27">
        <f>H461-H469</f>
        <v>-3751.4000000000233</v>
      </c>
      <c r="J461" s="13">
        <f>I461/H461</f>
        <v>-6.6952366266601971E-3</v>
      </c>
    </row>
    <row r="462" spans="1:13" s="55" customFormat="1">
      <c r="A462" s="1" t="s">
        <v>610</v>
      </c>
      <c r="B462" s="2" t="s">
        <v>71</v>
      </c>
      <c r="C462" s="279">
        <v>51431347</v>
      </c>
      <c r="D462" s="2" t="s">
        <v>72</v>
      </c>
      <c r="E462" s="2">
        <v>1200</v>
      </c>
      <c r="F462" s="247">
        <v>899.54499999999996</v>
      </c>
      <c r="G462" s="247">
        <v>1048.7280000000001</v>
      </c>
      <c r="H462" s="7">
        <f>(G462-F462)*E462</f>
        <v>179019.60000000012</v>
      </c>
      <c r="I462" s="59"/>
      <c r="J462" s="39"/>
    </row>
    <row r="463" spans="1:13" s="55" customFormat="1">
      <c r="A463" s="1" t="s">
        <v>611</v>
      </c>
      <c r="B463" s="2" t="s">
        <v>71</v>
      </c>
      <c r="C463" s="279">
        <v>51431339</v>
      </c>
      <c r="D463" s="2" t="s">
        <v>72</v>
      </c>
      <c r="E463" s="2">
        <v>1200</v>
      </c>
      <c r="F463" s="247"/>
      <c r="G463" s="247"/>
      <c r="H463" s="7">
        <v>0</v>
      </c>
      <c r="I463" s="59"/>
      <c r="J463" s="39"/>
    </row>
    <row r="464" spans="1:13" s="55" customFormat="1">
      <c r="A464" s="1" t="s">
        <v>612</v>
      </c>
      <c r="B464" s="2" t="s">
        <v>71</v>
      </c>
      <c r="C464" s="279">
        <v>51217244</v>
      </c>
      <c r="D464" s="2" t="s">
        <v>40</v>
      </c>
      <c r="E464" s="2">
        <v>600</v>
      </c>
      <c r="F464" s="95">
        <v>227.42599999999999</v>
      </c>
      <c r="G464" s="95">
        <v>287.82</v>
      </c>
      <c r="H464" s="7">
        <f>(G464-F464)*E464</f>
        <v>36236.400000000001</v>
      </c>
      <c r="I464" s="59"/>
      <c r="J464" s="39"/>
      <c r="K464" s="56"/>
      <c r="L464" s="56"/>
      <c r="M464" s="56"/>
    </row>
    <row r="465" spans="1:13" s="56" customFormat="1">
      <c r="A465" s="1" t="s">
        <v>613</v>
      </c>
      <c r="B465" s="2" t="s">
        <v>71</v>
      </c>
      <c r="C465" s="279">
        <v>51217267</v>
      </c>
      <c r="D465" s="3" t="s">
        <v>82</v>
      </c>
      <c r="E465" s="2">
        <v>2400</v>
      </c>
      <c r="F465" s="95">
        <v>18.431000000000001</v>
      </c>
      <c r="G465" s="95">
        <v>19.448</v>
      </c>
      <c r="H465" s="7">
        <f>(G465-F465)*E465</f>
        <v>2440.7999999999988</v>
      </c>
      <c r="I465" s="59"/>
      <c r="J465" s="39"/>
      <c r="K465" s="55"/>
      <c r="L465" s="55"/>
      <c r="M465" s="55"/>
    </row>
    <row r="466" spans="1:13" s="55" customFormat="1">
      <c r="A466" s="1" t="s">
        <v>614</v>
      </c>
      <c r="B466" s="2" t="s">
        <v>71</v>
      </c>
      <c r="C466" s="2">
        <v>51555165</v>
      </c>
      <c r="D466" s="2" t="s">
        <v>72</v>
      </c>
      <c r="E466" s="2">
        <v>1200</v>
      </c>
      <c r="F466" s="95">
        <v>649.726</v>
      </c>
      <c r="G466" s="95">
        <v>771.62699999999995</v>
      </c>
      <c r="H466" s="7">
        <f>(G466-F466)*E466</f>
        <v>146281.19999999995</v>
      </c>
      <c r="I466" s="59"/>
      <c r="J466" s="39"/>
      <c r="K466" s="283"/>
    </row>
    <row r="467" spans="1:13" s="283" customFormat="1">
      <c r="A467" s="278" t="s">
        <v>615</v>
      </c>
      <c r="B467" s="2" t="s">
        <v>71</v>
      </c>
      <c r="C467" s="279">
        <v>51431346</v>
      </c>
      <c r="D467" s="279" t="s">
        <v>40</v>
      </c>
      <c r="E467" s="279">
        <v>600</v>
      </c>
      <c r="F467" s="95">
        <v>276.988</v>
      </c>
      <c r="G467" s="95">
        <v>316.92700000000002</v>
      </c>
      <c r="H467" s="280">
        <f>(G467-F467)*E467</f>
        <v>23963.400000000012</v>
      </c>
      <c r="I467" s="281"/>
      <c r="J467" s="282"/>
      <c r="K467" s="55"/>
    </row>
    <row r="468" spans="1:13" s="55" customFormat="1">
      <c r="A468" s="1" t="s">
        <v>616</v>
      </c>
      <c r="B468" s="2" t="s">
        <v>71</v>
      </c>
      <c r="C468" s="279">
        <v>51431352</v>
      </c>
      <c r="D468" s="3" t="s">
        <v>25</v>
      </c>
      <c r="E468" s="2">
        <v>3600</v>
      </c>
      <c r="F468" s="247">
        <v>138.35300000000001</v>
      </c>
      <c r="G468" s="247">
        <v>185.82599999999999</v>
      </c>
      <c r="H468" s="7">
        <f>(G468-F468)*E468</f>
        <v>170902.79999999996</v>
      </c>
      <c r="I468" s="59"/>
      <c r="J468" s="39"/>
    </row>
    <row r="469" spans="1:13" s="55" customFormat="1">
      <c r="A469" s="9" t="s">
        <v>587</v>
      </c>
      <c r="B469" s="59"/>
      <c r="C469" s="59"/>
      <c r="D469" s="59"/>
      <c r="E469" s="59"/>
      <c r="F469" s="318"/>
      <c r="G469" s="318"/>
      <c r="H469" s="225">
        <f>H462+H463+H464+H465+H466+H467+H468+H456+H457</f>
        <v>564060.20000000007</v>
      </c>
      <c r="I469" s="59"/>
      <c r="J469" s="39"/>
    </row>
    <row r="470" spans="1:13" s="55" customFormat="1">
      <c r="A470" s="53"/>
      <c r="B470" s="59"/>
      <c r="C470" s="59"/>
      <c r="D470" s="59"/>
      <c r="E470" s="59"/>
      <c r="F470" s="84"/>
      <c r="G470" s="84"/>
      <c r="H470" s="11"/>
      <c r="I470" s="59"/>
      <c r="J470" s="67"/>
    </row>
    <row r="471" spans="1:13" s="55" customFormat="1">
      <c r="A471" s="53"/>
      <c r="B471" s="59"/>
      <c r="C471" s="59"/>
      <c r="D471" s="59"/>
      <c r="E471" s="59"/>
      <c r="F471" s="84"/>
      <c r="G471" s="84"/>
      <c r="H471" s="11"/>
      <c r="I471" s="59"/>
      <c r="J471" s="67"/>
    </row>
    <row r="472" spans="1:13" s="55" customFormat="1">
      <c r="A472" s="6" t="s">
        <v>15</v>
      </c>
      <c r="B472" s="2" t="s">
        <v>16</v>
      </c>
      <c r="C472" s="2">
        <v>51555166</v>
      </c>
      <c r="D472" s="2" t="s">
        <v>17</v>
      </c>
      <c r="E472" s="2">
        <v>132000</v>
      </c>
      <c r="F472" s="287">
        <v>2.1970000000000001</v>
      </c>
      <c r="G472" s="287">
        <v>2.8410000000000002</v>
      </c>
      <c r="H472" s="7">
        <f t="shared" ref="H472:H478" si="21">(G472-F472)*E472</f>
        <v>85008.000000000015</v>
      </c>
      <c r="I472" s="59"/>
      <c r="J472" s="67"/>
    </row>
    <row r="473" spans="1:13" s="55" customFormat="1">
      <c r="A473" s="6" t="s">
        <v>18</v>
      </c>
      <c r="B473" s="2" t="s">
        <v>16</v>
      </c>
      <c r="C473" s="2">
        <v>51555191</v>
      </c>
      <c r="D473" s="2" t="s">
        <v>17</v>
      </c>
      <c r="E473" s="2">
        <v>132000</v>
      </c>
      <c r="F473" s="247">
        <v>254.114</v>
      </c>
      <c r="G473" s="247">
        <v>318.74099999999999</v>
      </c>
      <c r="H473" s="7">
        <f t="shared" si="21"/>
        <v>8530763.9999999981</v>
      </c>
      <c r="I473" s="59"/>
      <c r="J473" s="67"/>
    </row>
    <row r="474" spans="1:13" s="55" customFormat="1">
      <c r="A474" s="33" t="s">
        <v>403</v>
      </c>
      <c r="B474" s="2" t="s">
        <v>71</v>
      </c>
      <c r="C474" s="60">
        <v>51431357</v>
      </c>
      <c r="D474" s="3" t="s">
        <v>82</v>
      </c>
      <c r="E474" s="2">
        <v>14000</v>
      </c>
      <c r="F474" s="84">
        <v>633.29300000000001</v>
      </c>
      <c r="G474" s="84">
        <v>741.73099999999999</v>
      </c>
      <c r="H474" s="7">
        <f t="shared" si="21"/>
        <v>1518131.9999999998</v>
      </c>
      <c r="I474" s="59"/>
      <c r="J474" s="67"/>
    </row>
    <row r="475" spans="1:13" s="55" customFormat="1">
      <c r="A475" s="1" t="s">
        <v>167</v>
      </c>
      <c r="B475" s="2" t="s">
        <v>168</v>
      </c>
      <c r="C475" s="2">
        <v>203605</v>
      </c>
      <c r="D475" s="2" t="s">
        <v>72</v>
      </c>
      <c r="E475" s="140">
        <v>2000</v>
      </c>
      <c r="F475" s="48">
        <v>5602.607</v>
      </c>
      <c r="G475" s="48">
        <v>5652.0919999999996</v>
      </c>
      <c r="H475" s="83">
        <f>(G475-F475)*E475</f>
        <v>98969.999999999345</v>
      </c>
      <c r="I475" s="59"/>
      <c r="J475" s="67"/>
    </row>
    <row r="476" spans="1:13" s="55" customFormat="1">
      <c r="A476" s="35" t="s">
        <v>70</v>
      </c>
      <c r="B476" s="2" t="s">
        <v>71</v>
      </c>
      <c r="C476" s="2">
        <v>51555209</v>
      </c>
      <c r="D476" s="2" t="s">
        <v>72</v>
      </c>
      <c r="E476" s="2">
        <v>7000</v>
      </c>
      <c r="F476" s="287">
        <v>2.9750000000000001</v>
      </c>
      <c r="G476" s="287">
        <v>4.5659999999999998</v>
      </c>
      <c r="H476" s="107">
        <f t="shared" si="21"/>
        <v>11136.999999999998</v>
      </c>
      <c r="I476" s="59"/>
      <c r="J476" s="67"/>
    </row>
    <row r="477" spans="1:13" s="55" customFormat="1">
      <c r="A477" s="10" t="s">
        <v>617</v>
      </c>
      <c r="B477" s="38"/>
      <c r="C477" s="2">
        <v>50661368</v>
      </c>
      <c r="D477" s="62" t="s">
        <v>618</v>
      </c>
      <c r="E477" s="3">
        <v>1</v>
      </c>
      <c r="F477" s="84">
        <v>38.128</v>
      </c>
      <c r="G477" s="84">
        <v>70.602000000000004</v>
      </c>
      <c r="H477" s="7">
        <f t="shared" si="21"/>
        <v>32.474000000000004</v>
      </c>
      <c r="I477" s="59"/>
      <c r="J477" s="67"/>
    </row>
    <row r="478" spans="1:13" s="55" customFormat="1">
      <c r="A478" s="10" t="s">
        <v>619</v>
      </c>
      <c r="B478" s="38"/>
      <c r="C478" s="2">
        <v>50661353</v>
      </c>
      <c r="D478" s="62" t="s">
        <v>618</v>
      </c>
      <c r="E478" s="3" t="s">
        <v>620</v>
      </c>
      <c r="F478" s="84">
        <v>119.062</v>
      </c>
      <c r="G478" s="84">
        <v>174.22399999999999</v>
      </c>
      <c r="H478" s="7">
        <f t="shared" si="21"/>
        <v>55.161999999999992</v>
      </c>
      <c r="I478" s="59"/>
      <c r="J478" s="67"/>
    </row>
    <row r="479" spans="1:13" s="55" customFormat="1">
      <c r="A479" s="53" t="s">
        <v>621</v>
      </c>
      <c r="B479" s="59"/>
      <c r="C479" s="59"/>
      <c r="D479" s="59"/>
      <c r="E479" s="59"/>
      <c r="F479" s="84"/>
      <c r="G479" s="84"/>
      <c r="H479" s="11">
        <f>H472+H473+H474+H475+H476+H477+H478</f>
        <v>10244098.635999998</v>
      </c>
      <c r="I479" s="59"/>
      <c r="J479" s="67"/>
    </row>
    <row r="480" spans="1:13" s="55" customFormat="1">
      <c r="A480" s="53" t="s">
        <v>622</v>
      </c>
      <c r="B480" s="59"/>
      <c r="C480" s="59"/>
      <c r="D480" s="59"/>
      <c r="E480" s="59"/>
      <c r="F480" s="84"/>
      <c r="G480" s="84"/>
      <c r="H480" s="11">
        <v>2589447.5100000012</v>
      </c>
      <c r="I480" s="59"/>
      <c r="J480" s="67"/>
    </row>
    <row r="481" spans="1:13" s="55" customFormat="1">
      <c r="A481" s="53" t="s">
        <v>623</v>
      </c>
      <c r="B481" s="2"/>
      <c r="C481" s="2"/>
      <c r="D481" s="2"/>
      <c r="E481" s="2"/>
      <c r="F481" s="2"/>
      <c r="G481" s="2"/>
      <c r="H481" s="11">
        <f>H479-H480</f>
        <v>7654651.1259999964</v>
      </c>
      <c r="I481" s="59"/>
      <c r="J481" s="67"/>
    </row>
    <row r="482" spans="1:13" s="55" customFormat="1">
      <c r="A482" s="141" t="s">
        <v>92</v>
      </c>
      <c r="B482" s="141"/>
      <c r="C482" s="141"/>
      <c r="D482" s="141"/>
      <c r="E482" s="141"/>
      <c r="F482" s="141"/>
      <c r="G482" s="141"/>
      <c r="H482" s="141"/>
      <c r="I482" s="86"/>
    </row>
    <row r="483" spans="1:13" s="55" customFormat="1">
      <c r="A483" s="55" t="s">
        <v>624</v>
      </c>
      <c r="C483" s="145"/>
      <c r="D483" s="141"/>
      <c r="E483" s="141"/>
      <c r="F483" s="148" t="s">
        <v>625</v>
      </c>
      <c r="G483" s="148" t="s">
        <v>626</v>
      </c>
      <c r="H483" s="146"/>
      <c r="I483" s="141"/>
    </row>
    <row r="484" spans="1:13" s="55" customFormat="1">
      <c r="C484" s="145"/>
      <c r="D484" s="141"/>
      <c r="E484" s="141"/>
      <c r="F484" s="226"/>
      <c r="G484" s="226"/>
      <c r="H484" s="146" t="s">
        <v>92</v>
      </c>
      <c r="I484" s="86"/>
    </row>
    <row r="485" spans="1:13" s="55" customFormat="1">
      <c r="A485" s="373" t="s">
        <v>627</v>
      </c>
      <c r="B485" s="373"/>
      <c r="C485" s="373"/>
      <c r="D485" s="373"/>
      <c r="E485" s="373"/>
      <c r="F485" s="373"/>
      <c r="G485" s="373"/>
      <c r="H485" s="373"/>
      <c r="I485" s="373"/>
      <c r="J485" s="373"/>
    </row>
    <row r="486" spans="1:13" s="55" customFormat="1">
      <c r="C486" s="145"/>
      <c r="D486" s="141"/>
      <c r="E486" s="141"/>
      <c r="F486" s="226"/>
      <c r="G486" s="226"/>
      <c r="H486" s="146"/>
      <c r="I486" s="86"/>
    </row>
    <row r="487" spans="1:13" s="55" customFormat="1">
      <c r="F487" s="148"/>
      <c r="G487" s="148"/>
      <c r="H487" s="85"/>
      <c r="I487" s="86"/>
    </row>
    <row r="488" spans="1:13" s="55" customFormat="1">
      <c r="F488" s="148"/>
      <c r="G488" s="148"/>
      <c r="H488" s="85" t="s">
        <v>628</v>
      </c>
      <c r="I488" s="86"/>
    </row>
    <row r="489" spans="1:13" s="55" customFormat="1">
      <c r="F489" s="148"/>
      <c r="G489" s="148"/>
      <c r="H489" s="85"/>
      <c r="I489" s="86"/>
    </row>
    <row r="490" spans="1:13" s="55" customFormat="1">
      <c r="F490" s="148"/>
      <c r="G490" s="148"/>
      <c r="H490" s="85"/>
      <c r="I490" s="86"/>
    </row>
    <row r="491" spans="1:13" s="55" customFormat="1">
      <c r="F491" s="148"/>
      <c r="G491" s="148"/>
      <c r="H491" s="85"/>
      <c r="I491" s="86"/>
    </row>
    <row r="492" spans="1:13" s="55" customFormat="1">
      <c r="F492" s="148"/>
      <c r="G492" s="148"/>
      <c r="H492" s="85"/>
      <c r="I492" s="86"/>
      <c r="K492" s="147"/>
      <c r="L492" s="147"/>
      <c r="M492" s="147"/>
    </row>
    <row r="493" spans="1:13">
      <c r="A493" s="147"/>
      <c r="B493" s="147"/>
      <c r="C493" s="147"/>
      <c r="D493" s="147"/>
      <c r="E493" s="147"/>
      <c r="F493" s="147"/>
      <c r="G493" s="147"/>
      <c r="H493" s="147"/>
      <c r="I493" s="147"/>
    </row>
    <row r="494" spans="1:13">
      <c r="A494" s="147"/>
      <c r="B494" s="147"/>
      <c r="C494" s="147"/>
      <c r="D494" s="147"/>
      <c r="E494" s="147"/>
      <c r="F494" s="147"/>
      <c r="G494" s="147"/>
      <c r="H494" s="147"/>
      <c r="I494" s="147"/>
    </row>
    <row r="495" spans="1:13">
      <c r="A495" s="147"/>
      <c r="B495" s="147"/>
      <c r="C495" s="147"/>
      <c r="D495" s="147"/>
      <c r="E495" s="147"/>
      <c r="F495" s="147"/>
      <c r="G495" s="147"/>
      <c r="H495" s="147"/>
      <c r="I495" s="147"/>
    </row>
    <row r="496" spans="1:13">
      <c r="A496" s="147"/>
      <c r="B496" s="147"/>
      <c r="C496" s="147"/>
      <c r="D496" s="147"/>
      <c r="E496" s="147"/>
      <c r="F496" s="147"/>
      <c r="G496" s="147"/>
      <c r="H496" s="147"/>
      <c r="I496" s="147"/>
    </row>
    <row r="497" spans="1:9">
      <c r="A497" s="147"/>
      <c r="B497" s="147"/>
      <c r="C497" s="147"/>
      <c r="D497" s="147"/>
      <c r="E497" s="147"/>
      <c r="F497" s="147"/>
      <c r="G497" s="147"/>
      <c r="H497" s="147"/>
      <c r="I497" s="147"/>
    </row>
    <row r="498" spans="1:9">
      <c r="A498" s="147"/>
      <c r="B498" s="147"/>
      <c r="C498" s="147"/>
      <c r="D498" s="147"/>
      <c r="E498" s="147"/>
      <c r="F498" s="147"/>
      <c r="G498" s="147"/>
      <c r="H498" s="147"/>
      <c r="I498" s="147"/>
    </row>
    <row r="499" spans="1:9">
      <c r="A499" s="147"/>
      <c r="B499" s="147"/>
      <c r="C499" s="147"/>
      <c r="D499" s="147"/>
      <c r="E499" s="147"/>
      <c r="F499" s="147"/>
      <c r="G499" s="147"/>
      <c r="H499" s="147"/>
      <c r="I499" s="147"/>
    </row>
    <row r="500" spans="1:9">
      <c r="A500" s="147"/>
      <c r="B500" s="147"/>
      <c r="C500" s="147"/>
      <c r="D500" s="147"/>
      <c r="E500" s="147"/>
      <c r="F500" s="147"/>
      <c r="G500" s="147"/>
      <c r="H500" s="147"/>
      <c r="I500" s="147"/>
    </row>
    <row r="501" spans="1:9">
      <c r="A501" s="147"/>
      <c r="B501" s="147"/>
      <c r="C501" s="147"/>
      <c r="D501" s="147"/>
      <c r="E501" s="147"/>
      <c r="F501" s="147"/>
      <c r="G501" s="147"/>
      <c r="H501" s="147"/>
      <c r="I501" s="147"/>
    </row>
    <row r="502" spans="1:9">
      <c r="A502" s="147"/>
      <c r="B502" s="147"/>
      <c r="C502" s="147"/>
      <c r="D502" s="147"/>
      <c r="E502" s="147"/>
      <c r="F502" s="147"/>
      <c r="G502" s="147"/>
      <c r="H502" s="147"/>
      <c r="I502" s="147"/>
    </row>
    <row r="503" spans="1:9">
      <c r="A503" s="147"/>
      <c r="B503" s="147"/>
      <c r="C503" s="147"/>
      <c r="D503" s="147"/>
      <c r="E503" s="147"/>
      <c r="F503" s="147"/>
      <c r="G503" s="147"/>
      <c r="H503" s="147"/>
      <c r="I503" s="147"/>
    </row>
    <row r="504" spans="1:9">
      <c r="A504" s="147"/>
      <c r="B504" s="147"/>
      <c r="C504" s="147"/>
      <c r="D504" s="147"/>
      <c r="E504" s="147"/>
      <c r="F504" s="147"/>
      <c r="G504" s="147"/>
      <c r="H504" s="147"/>
      <c r="I504" s="147"/>
    </row>
    <row r="505" spans="1:9">
      <c r="A505" s="147"/>
      <c r="B505" s="147"/>
      <c r="C505" s="147"/>
      <c r="D505" s="147"/>
      <c r="E505" s="147"/>
      <c r="F505" s="147"/>
      <c r="G505" s="147"/>
      <c r="H505" s="147"/>
      <c r="I505" s="147"/>
    </row>
    <row r="506" spans="1:9">
      <c r="A506" s="147"/>
      <c r="B506" s="147"/>
      <c r="C506" s="147"/>
      <c r="D506" s="147"/>
      <c r="E506" s="147"/>
      <c r="F506" s="147"/>
      <c r="G506" s="147"/>
      <c r="H506" s="147"/>
      <c r="I506" s="147"/>
    </row>
    <row r="507" spans="1:9">
      <c r="A507" s="147"/>
      <c r="B507" s="147"/>
      <c r="C507" s="147"/>
      <c r="D507" s="147"/>
      <c r="E507" s="147"/>
      <c r="F507" s="147"/>
      <c r="G507" s="147"/>
      <c r="H507" s="147"/>
      <c r="I507" s="147"/>
    </row>
    <row r="508" spans="1:9">
      <c r="A508" s="147"/>
      <c r="B508" s="147"/>
      <c r="C508" s="147"/>
      <c r="D508" s="147"/>
      <c r="E508" s="147"/>
      <c r="F508" s="147"/>
      <c r="G508" s="147"/>
      <c r="H508" s="147"/>
      <c r="I508" s="147"/>
    </row>
  </sheetData>
  <autoFilter ref="A1:J509" xr:uid="{F1EFF26C-0C3D-4D51-AAA8-BBA848B72583}"/>
  <mergeCells count="29">
    <mergeCell ref="A52:B52"/>
    <mergeCell ref="A71:F71"/>
    <mergeCell ref="A11:B11"/>
    <mergeCell ref="A21:B21"/>
    <mergeCell ref="A39:B39"/>
    <mergeCell ref="A14:B14"/>
    <mergeCell ref="A24:B24"/>
    <mergeCell ref="A2:J2"/>
    <mergeCell ref="A3:J3"/>
    <mergeCell ref="A4:J4"/>
    <mergeCell ref="F6:G6"/>
    <mergeCell ref="A6:A7"/>
    <mergeCell ref="B6:B7"/>
    <mergeCell ref="C6:C7"/>
    <mergeCell ref="D6:D7"/>
    <mergeCell ref="E6:E7"/>
    <mergeCell ref="A172:F172"/>
    <mergeCell ref="A219:F219"/>
    <mergeCell ref="B132:F132"/>
    <mergeCell ref="A485:J485"/>
    <mergeCell ref="A55:B55"/>
    <mergeCell ref="A120:D120"/>
    <mergeCell ref="A114:D114"/>
    <mergeCell ref="A108:B108"/>
    <mergeCell ref="A95:B95"/>
    <mergeCell ref="A98:B98"/>
    <mergeCell ref="A151:E151"/>
    <mergeCell ref="A131:B131"/>
    <mergeCell ref="A128:B128"/>
  </mergeCells>
  <phoneticPr fontId="0" type="noConversion"/>
  <pageMargins left="0.47244094488188981" right="7.874015748031496E-2" top="0.11811023622047245" bottom="0.11811023622047245" header="0.31496062992125984" footer="0.31496062992125984"/>
  <pageSetup paperSize="9" scale="80" fitToHeight="6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7E62-5078-4A70-9AF6-470EADA7BB52}">
  <dimension ref="A2:K101"/>
  <sheetViews>
    <sheetView topLeftCell="A70" zoomScaleNormal="100" workbookViewId="0">
      <selection activeCell="D100" sqref="D100"/>
    </sheetView>
  </sheetViews>
  <sheetFormatPr defaultRowHeight="12.75"/>
  <cols>
    <col min="1" max="1" width="50.85546875" style="61" customWidth="1"/>
    <col min="2" max="2" width="20" style="61" customWidth="1"/>
    <col min="3" max="3" width="36" style="61" customWidth="1"/>
    <col min="4" max="4" width="22.7109375" style="61" customWidth="1"/>
    <col min="5" max="5" width="11" style="61" customWidth="1"/>
    <col min="6" max="6" width="14.140625" style="61" customWidth="1"/>
    <col min="7" max="7" width="15.85546875" style="61" customWidth="1"/>
    <col min="8" max="8" width="21.7109375" style="61" customWidth="1"/>
    <col min="9" max="11" width="9.140625" style="61" customWidth="1"/>
  </cols>
  <sheetData>
    <row r="2" spans="1:8" ht="18">
      <c r="A2" s="366" t="s">
        <v>629</v>
      </c>
      <c r="B2" s="366"/>
      <c r="C2" s="366"/>
      <c r="D2" s="366"/>
      <c r="E2" s="366"/>
      <c r="F2" s="366"/>
      <c r="G2" s="366"/>
      <c r="H2" s="366"/>
    </row>
    <row r="3" spans="1:8" ht="13.5" thickBot="1"/>
    <row r="4" spans="1:8" ht="16.5" thickBot="1">
      <c r="A4" s="374" t="s">
        <v>2</v>
      </c>
      <c r="B4" s="375" t="s">
        <v>3</v>
      </c>
      <c r="C4" s="375" t="s">
        <v>4</v>
      </c>
      <c r="D4" s="375" t="s">
        <v>5</v>
      </c>
      <c r="E4" s="375" t="s">
        <v>6</v>
      </c>
      <c r="F4" s="376" t="s">
        <v>7</v>
      </c>
      <c r="G4" s="377"/>
      <c r="H4" s="378" t="s">
        <v>8</v>
      </c>
    </row>
    <row r="5" spans="1:8" ht="16.5" thickBot="1">
      <c r="A5" s="379"/>
      <c r="B5" s="380"/>
      <c r="C5" s="380"/>
      <c r="D5" s="380"/>
      <c r="E5" s="380"/>
      <c r="F5" s="264" t="s">
        <v>630</v>
      </c>
      <c r="G5" s="264" t="s">
        <v>631</v>
      </c>
      <c r="H5" s="381" t="s">
        <v>12</v>
      </c>
    </row>
    <row r="6" spans="1:8" s="61" customFormat="1" ht="15.75">
      <c r="A6" s="1" t="s">
        <v>632</v>
      </c>
      <c r="B6" s="2" t="s">
        <v>339</v>
      </c>
      <c r="C6" s="2">
        <v>1238903</v>
      </c>
      <c r="D6" s="2" t="s">
        <v>33</v>
      </c>
      <c r="E6" s="2">
        <v>300</v>
      </c>
      <c r="F6" s="326">
        <v>14176.93</v>
      </c>
      <c r="G6" s="326">
        <v>14176.93</v>
      </c>
      <c r="H6" s="43">
        <f>(G6-F6)*E6</f>
        <v>0</v>
      </c>
    </row>
    <row r="7" spans="1:8" s="61" customFormat="1" ht="15.75">
      <c r="A7" s="1" t="s">
        <v>633</v>
      </c>
      <c r="B7" s="2" t="s">
        <v>339</v>
      </c>
      <c r="C7" s="2">
        <v>1238902</v>
      </c>
      <c r="D7" s="2" t="s">
        <v>33</v>
      </c>
      <c r="E7" s="2">
        <v>300</v>
      </c>
      <c r="F7" s="326">
        <v>6231.6260000000002</v>
      </c>
      <c r="G7" s="326">
        <v>6320.2349999999997</v>
      </c>
      <c r="H7" s="43">
        <f t="shared" ref="H7:H17" si="0">(G7-F7)*E7</f>
        <v>26582.699999999841</v>
      </c>
    </row>
    <row r="8" spans="1:8" ht="15.75">
      <c r="A8" s="1" t="s">
        <v>634</v>
      </c>
      <c r="B8" s="2" t="s">
        <v>635</v>
      </c>
      <c r="C8" s="2">
        <v>1239384</v>
      </c>
      <c r="D8" s="2" t="s">
        <v>67</v>
      </c>
      <c r="E8" s="2">
        <v>200</v>
      </c>
      <c r="F8" s="319">
        <v>7963.1170000000002</v>
      </c>
      <c r="G8" s="319">
        <v>7963.1170000000002</v>
      </c>
      <c r="H8" s="44">
        <f t="shared" si="0"/>
        <v>0</v>
      </c>
    </row>
    <row r="9" spans="1:8" ht="15.75">
      <c r="A9" s="1" t="s">
        <v>636</v>
      </c>
      <c r="B9" s="2" t="s">
        <v>635</v>
      </c>
      <c r="C9" s="2">
        <v>1239388</v>
      </c>
      <c r="D9" s="2" t="s">
        <v>67</v>
      </c>
      <c r="E9" s="2">
        <v>200</v>
      </c>
      <c r="F9" s="327">
        <v>5987.6970000000001</v>
      </c>
      <c r="G9" s="327">
        <v>5987.6970000000001</v>
      </c>
      <c r="H9" s="45">
        <f t="shared" si="0"/>
        <v>0</v>
      </c>
    </row>
    <row r="10" spans="1:8" ht="15.75">
      <c r="A10" s="4" t="s">
        <v>637</v>
      </c>
      <c r="B10" s="29" t="s">
        <v>638</v>
      </c>
      <c r="C10" s="248">
        <v>845902</v>
      </c>
      <c r="D10" s="29" t="s">
        <v>37</v>
      </c>
      <c r="E10" s="29">
        <v>80</v>
      </c>
      <c r="F10" s="321">
        <v>91396.554999999993</v>
      </c>
      <c r="G10" s="321">
        <v>92136.476999999999</v>
      </c>
      <c r="H10" s="47">
        <f t="shared" si="0"/>
        <v>59193.760000000475</v>
      </c>
    </row>
    <row r="11" spans="1:8" ht="15.75">
      <c r="A11" s="1" t="s">
        <v>639</v>
      </c>
      <c r="B11" s="2" t="s">
        <v>640</v>
      </c>
      <c r="C11" s="2">
        <v>1232424</v>
      </c>
      <c r="D11" s="2" t="s">
        <v>37</v>
      </c>
      <c r="E11" s="2">
        <v>80</v>
      </c>
      <c r="F11" s="319">
        <v>40744.339999999997</v>
      </c>
      <c r="G11" s="319">
        <v>41627.694000000003</v>
      </c>
      <c r="H11" s="43">
        <f t="shared" si="0"/>
        <v>70668.320000000531</v>
      </c>
    </row>
    <row r="12" spans="1:8" s="61" customFormat="1" ht="15.75">
      <c r="A12" s="1" t="s">
        <v>641</v>
      </c>
      <c r="B12" s="2" t="s">
        <v>253</v>
      </c>
      <c r="C12" s="2">
        <v>49603106</v>
      </c>
      <c r="D12" s="2" t="s">
        <v>25</v>
      </c>
      <c r="E12" s="2">
        <v>60</v>
      </c>
      <c r="F12" s="320">
        <v>2519.19</v>
      </c>
      <c r="G12" s="320">
        <v>2685.15</v>
      </c>
      <c r="H12" s="43">
        <f t="shared" si="0"/>
        <v>9957.6000000000022</v>
      </c>
    </row>
    <row r="13" spans="1:8" ht="15.75">
      <c r="A13" s="1" t="s">
        <v>642</v>
      </c>
      <c r="B13" s="2" t="s">
        <v>298</v>
      </c>
      <c r="C13" s="2">
        <v>10185627</v>
      </c>
      <c r="D13" s="2" t="s">
        <v>37</v>
      </c>
      <c r="E13" s="2">
        <v>80</v>
      </c>
      <c r="F13" s="320">
        <v>21987.4</v>
      </c>
      <c r="G13" s="320">
        <v>22055.43</v>
      </c>
      <c r="H13" s="43">
        <f t="shared" si="0"/>
        <v>5442.3999999999069</v>
      </c>
    </row>
    <row r="14" spans="1:8" ht="15.75">
      <c r="A14" s="1" t="s">
        <v>643</v>
      </c>
      <c r="B14" s="2" t="s">
        <v>253</v>
      </c>
      <c r="C14" s="2">
        <v>10185708</v>
      </c>
      <c r="D14" s="2" t="s">
        <v>37</v>
      </c>
      <c r="E14" s="2">
        <v>80</v>
      </c>
      <c r="F14" s="319">
        <v>33151.1</v>
      </c>
      <c r="G14" s="319">
        <v>33363.9</v>
      </c>
      <c r="H14" s="43">
        <f t="shared" si="0"/>
        <v>17024.000000000233</v>
      </c>
    </row>
    <row r="15" spans="1:8" ht="15.75">
      <c r="A15" s="4" t="s">
        <v>644</v>
      </c>
      <c r="B15" s="2" t="s">
        <v>645</v>
      </c>
      <c r="C15" s="2">
        <v>1243722</v>
      </c>
      <c r="D15" s="3" t="s">
        <v>156</v>
      </c>
      <c r="E15" s="2">
        <v>400</v>
      </c>
      <c r="F15" s="328">
        <v>11896.282999999999</v>
      </c>
      <c r="G15" s="328">
        <v>12017.262000000001</v>
      </c>
      <c r="H15" s="43">
        <f t="shared" si="0"/>
        <v>48391.600000000471</v>
      </c>
    </row>
    <row r="16" spans="1:8" ht="15.75">
      <c r="A16" s="1" t="s">
        <v>646</v>
      </c>
      <c r="B16" s="2" t="s">
        <v>253</v>
      </c>
      <c r="C16" s="2">
        <v>49891378</v>
      </c>
      <c r="D16" s="2" t="s">
        <v>25</v>
      </c>
      <c r="E16" s="2">
        <v>60</v>
      </c>
      <c r="F16" s="321">
        <v>3178</v>
      </c>
      <c r="G16" s="321">
        <v>3622</v>
      </c>
      <c r="H16" s="43">
        <f t="shared" si="0"/>
        <v>26640</v>
      </c>
    </row>
    <row r="17" spans="1:8" ht="15.75">
      <c r="A17" s="249" t="s">
        <v>647</v>
      </c>
      <c r="B17" s="29" t="s">
        <v>104</v>
      </c>
      <c r="C17" s="29" t="s">
        <v>648</v>
      </c>
      <c r="D17" s="29" t="s">
        <v>649</v>
      </c>
      <c r="E17" s="29">
        <v>1</v>
      </c>
      <c r="F17" s="319">
        <v>9238</v>
      </c>
      <c r="G17" s="319">
        <v>9691.5</v>
      </c>
      <c r="H17" s="43">
        <f t="shared" si="0"/>
        <v>453.5</v>
      </c>
    </row>
    <row r="18" spans="1:8" ht="15.75">
      <c r="A18" s="1" t="s">
        <v>650</v>
      </c>
      <c r="B18" s="2" t="s">
        <v>651</v>
      </c>
      <c r="C18" s="2">
        <v>30581032</v>
      </c>
      <c r="D18" s="2" t="s">
        <v>40</v>
      </c>
      <c r="E18" s="2">
        <v>10</v>
      </c>
      <c r="F18" s="320">
        <v>7589.22</v>
      </c>
      <c r="G18" s="320">
        <v>7589.22</v>
      </c>
      <c r="H18" s="43">
        <f t="shared" ref="H18:H24" si="1">(G18-F18)*E18</f>
        <v>0</v>
      </c>
    </row>
    <row r="19" spans="1:8" s="61" customFormat="1" ht="15.75">
      <c r="A19" s="1" t="s">
        <v>652</v>
      </c>
      <c r="B19" s="2" t="s">
        <v>653</v>
      </c>
      <c r="C19" s="141">
        <v>1025238611</v>
      </c>
      <c r="D19" s="3" t="s">
        <v>91</v>
      </c>
      <c r="E19" s="2">
        <v>1</v>
      </c>
      <c r="F19" s="60">
        <v>268882.88</v>
      </c>
      <c r="G19" s="60">
        <v>268882.88</v>
      </c>
      <c r="H19" s="43">
        <f t="shared" si="1"/>
        <v>0</v>
      </c>
    </row>
    <row r="20" spans="1:8" s="61" customFormat="1" ht="15.75">
      <c r="A20" s="1" t="s">
        <v>654</v>
      </c>
      <c r="B20" s="2" t="s">
        <v>655</v>
      </c>
      <c r="C20" s="2" t="s">
        <v>656</v>
      </c>
      <c r="D20" s="2" t="s">
        <v>91</v>
      </c>
      <c r="E20" s="2">
        <v>1</v>
      </c>
      <c r="F20" s="320">
        <v>270462.65999999997</v>
      </c>
      <c r="G20" s="320">
        <v>271990.65000000002</v>
      </c>
      <c r="H20" s="43">
        <f t="shared" si="1"/>
        <v>1527.9900000000489</v>
      </c>
    </row>
    <row r="21" spans="1:8" s="61" customFormat="1" ht="15.75">
      <c r="A21" s="51" t="s">
        <v>657</v>
      </c>
      <c r="B21" s="8" t="s">
        <v>198</v>
      </c>
      <c r="C21" s="8">
        <v>71767</v>
      </c>
      <c r="D21" s="2" t="s">
        <v>91</v>
      </c>
      <c r="E21" s="2">
        <v>1</v>
      </c>
      <c r="F21" s="319">
        <v>418619.2</v>
      </c>
      <c r="G21" s="319">
        <v>421946.89</v>
      </c>
      <c r="H21" s="43">
        <f>(G21-F21)*E21</f>
        <v>3327.6900000000023</v>
      </c>
    </row>
    <row r="22" spans="1:8" s="61" customFormat="1" ht="15.75">
      <c r="A22" s="10" t="s">
        <v>658</v>
      </c>
      <c r="B22" s="2" t="s">
        <v>659</v>
      </c>
      <c r="C22" s="2">
        <v>177125</v>
      </c>
      <c r="D22" s="17" t="s">
        <v>91</v>
      </c>
      <c r="E22" s="2">
        <v>1</v>
      </c>
      <c r="F22" s="60"/>
      <c r="G22" s="60"/>
      <c r="H22" s="43">
        <f>(G22-F22)*E22</f>
        <v>0</v>
      </c>
    </row>
    <row r="23" spans="1:8" ht="15.75">
      <c r="A23" s="52" t="s">
        <v>660</v>
      </c>
      <c r="B23" s="69" t="s">
        <v>661</v>
      </c>
      <c r="C23" s="69" t="s">
        <v>662</v>
      </c>
      <c r="D23" s="2" t="s">
        <v>91</v>
      </c>
      <c r="E23" s="2">
        <v>1</v>
      </c>
      <c r="F23" s="319">
        <v>193967.37</v>
      </c>
      <c r="G23" s="319">
        <v>194952.67</v>
      </c>
      <c r="H23" s="43">
        <f t="shared" si="1"/>
        <v>985.30000000001746</v>
      </c>
    </row>
    <row r="24" spans="1:8" ht="15.75">
      <c r="A24" s="52" t="s">
        <v>663</v>
      </c>
      <c r="B24" s="332"/>
      <c r="C24" s="334" t="s">
        <v>664</v>
      </c>
      <c r="D24" s="2" t="s">
        <v>91</v>
      </c>
      <c r="E24" s="8">
        <v>1</v>
      </c>
      <c r="F24" s="333">
        <v>980.1</v>
      </c>
      <c r="G24" s="333">
        <v>980.1</v>
      </c>
      <c r="H24" s="43">
        <f t="shared" si="1"/>
        <v>0</v>
      </c>
    </row>
    <row r="25" spans="1:8" ht="15.75">
      <c r="A25" s="77" t="s">
        <v>665</v>
      </c>
      <c r="B25" s="382"/>
      <c r="C25" s="382"/>
      <c r="D25" s="382"/>
      <c r="E25" s="382"/>
      <c r="F25" s="46"/>
      <c r="G25" s="46"/>
      <c r="H25" s="54">
        <f>H6+H7+H8+H9+H10+H11+H12+H13+H14+H15+H16+H17</f>
        <v>264353.88000000146</v>
      </c>
    </row>
    <row r="26" spans="1:8" ht="15.75">
      <c r="A26" s="227" t="s">
        <v>666</v>
      </c>
      <c r="B26" s="133"/>
      <c r="C26" s="134"/>
      <c r="D26" s="135"/>
      <c r="E26" s="135"/>
      <c r="F26" s="136"/>
      <c r="G26" s="136"/>
      <c r="H26" s="93">
        <f>H18+H19+H20+H21+H22+H23+H24</f>
        <v>5840.9800000000687</v>
      </c>
    </row>
    <row r="27" spans="1:8" ht="15.75">
      <c r="A27" s="53" t="s">
        <v>667</v>
      </c>
      <c r="B27" s="142"/>
      <c r="C27" s="142"/>
      <c r="D27" s="142"/>
      <c r="E27" s="142"/>
      <c r="F27" s="142"/>
      <c r="G27" s="142"/>
      <c r="H27" s="93">
        <f>H25+H26</f>
        <v>270194.8600000015</v>
      </c>
    </row>
    <row r="29" spans="1:8" ht="18">
      <c r="A29" s="366" t="s">
        <v>668</v>
      </c>
      <c r="B29" s="366"/>
      <c r="C29" s="366"/>
      <c r="D29" s="366"/>
      <c r="E29" s="366"/>
      <c r="F29" s="366"/>
      <c r="G29" s="366"/>
      <c r="H29" s="366"/>
    </row>
    <row r="30" spans="1:8" ht="13.5" thickBot="1"/>
    <row r="31" spans="1:8" ht="16.5" thickBot="1">
      <c r="A31" s="374" t="s">
        <v>2</v>
      </c>
      <c r="B31" s="375" t="s">
        <v>3</v>
      </c>
      <c r="C31" s="375" t="s">
        <v>4</v>
      </c>
      <c r="D31" s="375" t="s">
        <v>5</v>
      </c>
      <c r="E31" s="375" t="s">
        <v>6</v>
      </c>
      <c r="F31" s="376" t="s">
        <v>7</v>
      </c>
      <c r="G31" s="377"/>
      <c r="H31" s="378" t="s">
        <v>8</v>
      </c>
    </row>
    <row r="32" spans="1:8" ht="16.5" thickBot="1">
      <c r="A32" s="383"/>
      <c r="B32" s="384"/>
      <c r="C32" s="384"/>
      <c r="D32" s="384"/>
      <c r="E32" s="384"/>
      <c r="F32" s="264" t="s">
        <v>630</v>
      </c>
      <c r="G32" s="264" t="s">
        <v>631</v>
      </c>
      <c r="H32" s="385" t="s">
        <v>12</v>
      </c>
    </row>
    <row r="33" spans="1:8" s="61" customFormat="1" ht="15.75">
      <c r="A33" s="10" t="s">
        <v>669</v>
      </c>
      <c r="B33" s="2" t="s">
        <v>111</v>
      </c>
      <c r="C33" s="2">
        <v>6011</v>
      </c>
      <c r="D33" s="3" t="s">
        <v>138</v>
      </c>
      <c r="E33" s="2">
        <v>30</v>
      </c>
      <c r="F33" s="247">
        <v>34285.5</v>
      </c>
      <c r="G33" s="247">
        <v>34285.5</v>
      </c>
      <c r="H33" s="7">
        <f t="shared" ref="H33:H52" si="2">(G33-F33)*E33</f>
        <v>0</v>
      </c>
    </row>
    <row r="34" spans="1:8" s="61" customFormat="1" ht="15.75">
      <c r="A34" s="10" t="s">
        <v>670</v>
      </c>
      <c r="B34" s="2"/>
      <c r="C34" s="2" t="s">
        <v>671</v>
      </c>
      <c r="D34" s="29" t="s">
        <v>91</v>
      </c>
      <c r="E34" s="2">
        <v>1</v>
      </c>
      <c r="F34" s="274">
        <v>160725.6</v>
      </c>
      <c r="G34" s="274">
        <v>160725.6</v>
      </c>
      <c r="H34" s="7">
        <f t="shared" si="2"/>
        <v>0</v>
      </c>
    </row>
    <row r="35" spans="1:8" ht="15.75">
      <c r="A35" s="261" t="s">
        <v>672</v>
      </c>
      <c r="B35" s="29" t="s">
        <v>198</v>
      </c>
      <c r="C35" s="29" t="s">
        <v>673</v>
      </c>
      <c r="D35" s="29" t="s">
        <v>91</v>
      </c>
      <c r="E35" s="29">
        <v>1</v>
      </c>
      <c r="F35" s="320">
        <v>91153.77</v>
      </c>
      <c r="G35" s="320">
        <v>91768.17</v>
      </c>
      <c r="H35" s="258">
        <f t="shared" si="2"/>
        <v>614.39999999999418</v>
      </c>
    </row>
    <row r="36" spans="1:8" ht="15.75">
      <c r="A36" s="10" t="s">
        <v>674</v>
      </c>
      <c r="B36" s="2" t="s">
        <v>675</v>
      </c>
      <c r="C36" s="2">
        <v>11035</v>
      </c>
      <c r="D36" s="3" t="s">
        <v>91</v>
      </c>
      <c r="E36" s="2">
        <v>1</v>
      </c>
      <c r="F36" s="320">
        <v>21621.55</v>
      </c>
      <c r="G36" s="320">
        <v>21761.11</v>
      </c>
      <c r="H36" s="258">
        <f t="shared" si="2"/>
        <v>139.56000000000131</v>
      </c>
    </row>
    <row r="37" spans="1:8" ht="15.75">
      <c r="A37" s="261" t="s">
        <v>676</v>
      </c>
      <c r="B37" s="29" t="s">
        <v>661</v>
      </c>
      <c r="C37" s="29" t="s">
        <v>677</v>
      </c>
      <c r="D37" s="259" t="s">
        <v>678</v>
      </c>
      <c r="E37" s="29">
        <v>1</v>
      </c>
      <c r="F37" s="319">
        <v>206287.82</v>
      </c>
      <c r="G37" s="319">
        <v>207801.15</v>
      </c>
      <c r="H37" s="260">
        <f t="shared" si="2"/>
        <v>1513.3299999999872</v>
      </c>
    </row>
    <row r="38" spans="1:8" ht="15.75">
      <c r="A38" s="10" t="s">
        <v>679</v>
      </c>
      <c r="B38" s="2" t="s">
        <v>661</v>
      </c>
      <c r="C38" s="2">
        <v>51487</v>
      </c>
      <c r="D38" s="2" t="s">
        <v>91</v>
      </c>
      <c r="E38" s="2">
        <v>1</v>
      </c>
      <c r="F38" s="319">
        <v>219082.46</v>
      </c>
      <c r="G38" s="319">
        <v>220143.42</v>
      </c>
      <c r="H38" s="7">
        <f t="shared" si="2"/>
        <v>1060.960000000021</v>
      </c>
    </row>
    <row r="39" spans="1:8" ht="15.75">
      <c r="A39" s="10" t="s">
        <v>680</v>
      </c>
      <c r="B39" s="2"/>
      <c r="C39" s="2" t="s">
        <v>681</v>
      </c>
      <c r="D39" s="2" t="s">
        <v>91</v>
      </c>
      <c r="E39" s="2">
        <v>1</v>
      </c>
      <c r="F39" s="321">
        <v>24442.16</v>
      </c>
      <c r="G39" s="321">
        <v>28312.73</v>
      </c>
      <c r="H39" s="7">
        <f t="shared" si="2"/>
        <v>3870.5699999999997</v>
      </c>
    </row>
    <row r="40" spans="1:8" ht="15.75">
      <c r="A40" s="10" t="s">
        <v>682</v>
      </c>
      <c r="B40" s="2"/>
      <c r="C40" s="2" t="s">
        <v>683</v>
      </c>
      <c r="D40" s="3" t="s">
        <v>678</v>
      </c>
      <c r="E40" s="2">
        <v>1</v>
      </c>
      <c r="F40" s="321">
        <v>5916.37</v>
      </c>
      <c r="G40" s="321">
        <v>6933.98</v>
      </c>
      <c r="H40" s="7">
        <f t="shared" si="2"/>
        <v>1017.6099999999997</v>
      </c>
    </row>
    <row r="41" spans="1:8" s="61" customFormat="1" ht="15.75">
      <c r="A41" s="10" t="s">
        <v>684</v>
      </c>
      <c r="B41" s="2"/>
      <c r="C41" s="49" t="s">
        <v>685</v>
      </c>
      <c r="D41" s="2" t="s">
        <v>91</v>
      </c>
      <c r="E41" s="2">
        <v>1</v>
      </c>
      <c r="F41" s="315">
        <v>224754.5</v>
      </c>
      <c r="G41" s="315">
        <v>237063.3</v>
      </c>
      <c r="H41" s="7">
        <f t="shared" si="2"/>
        <v>12308.799999999988</v>
      </c>
    </row>
    <row r="42" spans="1:8" ht="15.75">
      <c r="A42" s="10" t="s">
        <v>686</v>
      </c>
      <c r="B42" s="2" t="s">
        <v>104</v>
      </c>
      <c r="C42" s="2" t="s">
        <v>687</v>
      </c>
      <c r="D42" s="2" t="s">
        <v>91</v>
      </c>
      <c r="E42" s="2">
        <v>1</v>
      </c>
      <c r="F42" s="319">
        <v>13691.1</v>
      </c>
      <c r="G42" s="319">
        <v>14272.1</v>
      </c>
      <c r="H42" s="7">
        <f t="shared" si="2"/>
        <v>581</v>
      </c>
    </row>
    <row r="43" spans="1:8" s="61" customFormat="1" ht="15.75">
      <c r="A43" s="10" t="s">
        <v>688</v>
      </c>
      <c r="B43" s="2" t="s">
        <v>689</v>
      </c>
      <c r="C43" s="2" t="s">
        <v>690</v>
      </c>
      <c r="D43" s="2" t="s">
        <v>691</v>
      </c>
      <c r="E43" s="2">
        <v>1</v>
      </c>
      <c r="F43" s="319">
        <v>38206.1</v>
      </c>
      <c r="G43" s="319">
        <v>43997.7</v>
      </c>
      <c r="H43" s="7">
        <f t="shared" si="2"/>
        <v>5791.5999999999985</v>
      </c>
    </row>
    <row r="44" spans="1:8" s="61" customFormat="1" ht="15.75">
      <c r="A44" s="10" t="s">
        <v>692</v>
      </c>
      <c r="B44" s="2"/>
      <c r="C44" s="2">
        <v>58004591</v>
      </c>
      <c r="D44" s="2" t="s">
        <v>91</v>
      </c>
      <c r="E44" s="2">
        <v>1</v>
      </c>
      <c r="F44" s="322">
        <v>60732.5</v>
      </c>
      <c r="G44" s="322">
        <v>61526.9</v>
      </c>
      <c r="H44" s="7">
        <f>(G44-F44)*E44</f>
        <v>794.40000000000146</v>
      </c>
    </row>
    <row r="45" spans="1:8" ht="15.75">
      <c r="A45" s="10" t="s">
        <v>693</v>
      </c>
      <c r="B45" s="10"/>
      <c r="C45" s="2">
        <v>32379685</v>
      </c>
      <c r="D45" s="3" t="s">
        <v>25</v>
      </c>
      <c r="E45" s="2">
        <v>60</v>
      </c>
      <c r="F45" s="319">
        <v>36763.980000000003</v>
      </c>
      <c r="G45" s="319">
        <v>37100.46</v>
      </c>
      <c r="H45" s="7">
        <f t="shared" si="2"/>
        <v>20188.799999999756</v>
      </c>
    </row>
    <row r="46" spans="1:8" ht="15.75">
      <c r="A46" s="10" t="s">
        <v>694</v>
      </c>
      <c r="B46" s="2"/>
      <c r="C46" s="2">
        <v>32979798</v>
      </c>
      <c r="D46" s="3" t="s">
        <v>40</v>
      </c>
      <c r="E46" s="2">
        <v>10</v>
      </c>
      <c r="F46" s="319">
        <v>28071.047999999999</v>
      </c>
      <c r="G46" s="319">
        <v>28071.047999999999</v>
      </c>
      <c r="H46" s="7">
        <f t="shared" si="2"/>
        <v>0</v>
      </c>
    </row>
    <row r="47" spans="1:8" ht="15.75">
      <c r="A47" s="10" t="s">
        <v>695</v>
      </c>
      <c r="B47" s="2"/>
      <c r="C47" s="2">
        <v>32986374</v>
      </c>
      <c r="D47" s="3" t="s">
        <v>40</v>
      </c>
      <c r="E47" s="2">
        <v>10</v>
      </c>
      <c r="F47" s="319">
        <v>138654.6</v>
      </c>
      <c r="G47" s="319">
        <v>140583.67000000001</v>
      </c>
      <c r="H47" s="7">
        <f t="shared" si="2"/>
        <v>19290.70000000007</v>
      </c>
    </row>
    <row r="48" spans="1:8" ht="15.75">
      <c r="A48" s="10" t="s">
        <v>696</v>
      </c>
      <c r="B48" s="2"/>
      <c r="C48" s="2">
        <v>33661545</v>
      </c>
      <c r="D48" s="3" t="s">
        <v>40</v>
      </c>
      <c r="E48" s="2">
        <v>10</v>
      </c>
      <c r="F48" s="319">
        <v>2900.81</v>
      </c>
      <c r="G48" s="319">
        <v>2900.81</v>
      </c>
      <c r="H48" s="7">
        <f t="shared" si="2"/>
        <v>0</v>
      </c>
    </row>
    <row r="49" spans="1:8" ht="15.75">
      <c r="A49" s="10" t="s">
        <v>697</v>
      </c>
      <c r="B49" s="2"/>
      <c r="C49" s="2">
        <v>173014</v>
      </c>
      <c r="D49" s="3" t="s">
        <v>17</v>
      </c>
      <c r="E49" s="2">
        <v>120</v>
      </c>
      <c r="F49" s="319">
        <v>28436.400000000001</v>
      </c>
      <c r="G49" s="319">
        <v>28584.2</v>
      </c>
      <c r="H49" s="7">
        <f>(G49-F49)*E49</f>
        <v>17735.999999999913</v>
      </c>
    </row>
    <row r="50" spans="1:8" ht="15.75">
      <c r="A50" s="10" t="s">
        <v>698</v>
      </c>
      <c r="B50" s="2"/>
      <c r="C50" s="2">
        <v>173702</v>
      </c>
      <c r="D50" s="3" t="s">
        <v>17</v>
      </c>
      <c r="E50" s="2">
        <v>120</v>
      </c>
      <c r="F50" s="84">
        <v>10099.5</v>
      </c>
      <c r="G50" s="84">
        <v>10099.5</v>
      </c>
      <c r="H50" s="7">
        <f t="shared" si="2"/>
        <v>0</v>
      </c>
    </row>
    <row r="51" spans="1:8" ht="15.75">
      <c r="A51" s="10" t="s">
        <v>699</v>
      </c>
      <c r="B51" s="2" t="s">
        <v>700</v>
      </c>
      <c r="C51" s="2">
        <v>50634111</v>
      </c>
      <c r="D51" s="3" t="s">
        <v>72</v>
      </c>
      <c r="E51" s="2">
        <v>20</v>
      </c>
      <c r="F51" s="319">
        <v>0.31</v>
      </c>
      <c r="G51" s="319">
        <v>0.31</v>
      </c>
      <c r="H51" s="7">
        <f t="shared" si="2"/>
        <v>0</v>
      </c>
    </row>
    <row r="52" spans="1:8" ht="15.75">
      <c r="A52" s="10" t="s">
        <v>701</v>
      </c>
      <c r="B52" s="2" t="s">
        <v>700</v>
      </c>
      <c r="C52" s="2">
        <v>50634138</v>
      </c>
      <c r="D52" s="3" t="s">
        <v>72</v>
      </c>
      <c r="E52" s="2">
        <v>20</v>
      </c>
      <c r="F52" s="319">
        <v>99.77</v>
      </c>
      <c r="G52" s="319">
        <v>116.65</v>
      </c>
      <c r="H52" s="7">
        <f t="shared" si="2"/>
        <v>337.60000000000019</v>
      </c>
    </row>
    <row r="53" spans="1:8" s="55" customFormat="1" ht="15.75">
      <c r="A53" s="261" t="s">
        <v>702</v>
      </c>
      <c r="B53" s="29" t="s">
        <v>700</v>
      </c>
      <c r="C53" s="274">
        <v>50543489</v>
      </c>
      <c r="D53" s="275"/>
      <c r="E53" s="274">
        <v>300</v>
      </c>
      <c r="F53" s="315">
        <v>1686.3</v>
      </c>
      <c r="G53" s="315">
        <v>1686.3</v>
      </c>
      <c r="H53" s="276">
        <f>(G53-F53)*E53</f>
        <v>0</v>
      </c>
    </row>
    <row r="54" spans="1:8" s="55" customFormat="1" ht="15.75">
      <c r="A54" s="273" t="s">
        <v>597</v>
      </c>
      <c r="B54" s="274" t="s">
        <v>598</v>
      </c>
      <c r="C54" s="274">
        <v>1289265</v>
      </c>
      <c r="D54" s="275" t="s">
        <v>40</v>
      </c>
      <c r="E54" s="274">
        <v>10</v>
      </c>
      <c r="F54" s="274">
        <v>330.39499999999998</v>
      </c>
      <c r="G54" s="274">
        <v>344.178</v>
      </c>
      <c r="H54" s="276">
        <f>(G54-F54)*E54</f>
        <v>137.83000000000015</v>
      </c>
    </row>
    <row r="55" spans="1:8" s="61" customFormat="1" ht="15.75">
      <c r="A55" s="10" t="s">
        <v>703</v>
      </c>
      <c r="B55" s="2" t="s">
        <v>635</v>
      </c>
      <c r="C55" s="2">
        <v>51616859</v>
      </c>
      <c r="D55" s="2" t="s">
        <v>72</v>
      </c>
      <c r="E55" s="2">
        <v>7000</v>
      </c>
      <c r="F55" s="271">
        <v>528.15</v>
      </c>
      <c r="G55" s="271">
        <v>650.98</v>
      </c>
      <c r="H55" s="7">
        <f>(G55-F55)*E55</f>
        <v>859810.00000000023</v>
      </c>
    </row>
    <row r="56" spans="1:8" s="61" customFormat="1" ht="15.75">
      <c r="A56" s="10" t="s">
        <v>704</v>
      </c>
      <c r="B56" s="2" t="s">
        <v>635</v>
      </c>
      <c r="C56" s="2">
        <v>51555169</v>
      </c>
      <c r="D56" s="2" t="s">
        <v>72</v>
      </c>
      <c r="E56" s="2">
        <v>7000</v>
      </c>
      <c r="F56" s="271">
        <v>426.55</v>
      </c>
      <c r="G56" s="271">
        <v>535.64</v>
      </c>
      <c r="H56" s="7">
        <f>(G56-F56)*E56</f>
        <v>763629.99999999977</v>
      </c>
    </row>
    <row r="57" spans="1:8" ht="16.5" thickBot="1">
      <c r="A57" s="228" t="s">
        <v>705</v>
      </c>
      <c r="B57" s="382"/>
      <c r="C57" s="382"/>
      <c r="D57" s="229"/>
      <c r="E57" s="382"/>
      <c r="F57" s="272"/>
      <c r="G57" s="272"/>
      <c r="H57" s="11">
        <f>H55+H56</f>
        <v>1623440</v>
      </c>
    </row>
    <row r="58" spans="1:8" ht="15.75">
      <c r="A58" s="227" t="s">
        <v>666</v>
      </c>
      <c r="B58" s="133"/>
      <c r="C58" s="134"/>
      <c r="D58" s="135"/>
      <c r="E58" s="135"/>
      <c r="F58" s="136"/>
      <c r="G58" s="136"/>
      <c r="H58" s="230">
        <f>SUM(H33:H54)</f>
        <v>85383.159999999742</v>
      </c>
    </row>
    <row r="59" spans="1:8" ht="15.75">
      <c r="A59" s="144" t="s">
        <v>706</v>
      </c>
      <c r="B59" s="78"/>
      <c r="C59" s="79"/>
      <c r="D59" s="80"/>
      <c r="E59" s="80"/>
      <c r="F59" s="34"/>
      <c r="G59" s="34"/>
      <c r="H59" s="231">
        <f>H57+H58</f>
        <v>1708823.1599999997</v>
      </c>
    </row>
    <row r="61" spans="1:8" ht="18">
      <c r="A61" s="366" t="s">
        <v>707</v>
      </c>
      <c r="B61" s="366"/>
      <c r="C61" s="366"/>
      <c r="D61" s="366"/>
      <c r="E61" s="366"/>
      <c r="F61" s="366"/>
      <c r="G61" s="366"/>
      <c r="H61" s="366"/>
    </row>
    <row r="62" spans="1:8" ht="13.5" thickBot="1"/>
    <row r="63" spans="1:8" ht="16.5" thickBot="1">
      <c r="A63" s="374" t="s">
        <v>2</v>
      </c>
      <c r="B63" s="375" t="s">
        <v>3</v>
      </c>
      <c r="C63" s="375" t="s">
        <v>4</v>
      </c>
      <c r="D63" s="375" t="s">
        <v>5</v>
      </c>
      <c r="E63" s="375" t="s">
        <v>6</v>
      </c>
      <c r="F63" s="376" t="s">
        <v>7</v>
      </c>
      <c r="G63" s="377"/>
      <c r="H63" s="378" t="s">
        <v>8</v>
      </c>
    </row>
    <row r="64" spans="1:8" ht="16.5" thickBot="1">
      <c r="A64" s="379"/>
      <c r="B64" s="380"/>
      <c r="C64" s="380"/>
      <c r="D64" s="380"/>
      <c r="E64" s="380"/>
      <c r="F64" s="264" t="s">
        <v>630</v>
      </c>
      <c r="G64" s="264" t="s">
        <v>631</v>
      </c>
      <c r="H64" s="381" t="s">
        <v>12</v>
      </c>
    </row>
    <row r="65" spans="1:8" ht="15.75">
      <c r="A65" s="1" t="s">
        <v>708</v>
      </c>
      <c r="B65" s="2" t="s">
        <v>97</v>
      </c>
      <c r="C65" s="2">
        <v>10185073</v>
      </c>
      <c r="D65" s="3" t="s">
        <v>138</v>
      </c>
      <c r="E65" s="2">
        <v>30</v>
      </c>
      <c r="F65" s="319">
        <v>6080.61</v>
      </c>
      <c r="G65" s="319">
        <v>6080.7</v>
      </c>
      <c r="H65" s="43">
        <f t="shared" ref="H65:H70" si="3">(G65-F65)*E65</f>
        <v>2.7000000000043656</v>
      </c>
    </row>
    <row r="66" spans="1:8" ht="15.75">
      <c r="A66" s="1" t="s">
        <v>676</v>
      </c>
      <c r="B66" s="2" t="s">
        <v>661</v>
      </c>
      <c r="C66" s="2" t="s">
        <v>709</v>
      </c>
      <c r="D66" s="2" t="s">
        <v>91</v>
      </c>
      <c r="E66" s="2">
        <v>1</v>
      </c>
      <c r="F66" s="319">
        <v>210718.87</v>
      </c>
      <c r="G66" s="319">
        <v>212133.06</v>
      </c>
      <c r="H66" s="43">
        <f t="shared" si="3"/>
        <v>1414.1900000000023</v>
      </c>
    </row>
    <row r="67" spans="1:8" ht="15.75">
      <c r="A67" s="1" t="s">
        <v>710</v>
      </c>
      <c r="B67" s="2" t="s">
        <v>97</v>
      </c>
      <c r="C67" s="2">
        <v>10185163</v>
      </c>
      <c r="D67" s="3" t="s">
        <v>37</v>
      </c>
      <c r="E67" s="2">
        <v>80</v>
      </c>
      <c r="F67" s="323">
        <v>18813.39</v>
      </c>
      <c r="G67" s="323">
        <v>19346.8</v>
      </c>
      <c r="H67" s="42">
        <f t="shared" si="3"/>
        <v>42672.799999999988</v>
      </c>
    </row>
    <row r="68" spans="1:8" ht="15.75">
      <c r="A68" s="1" t="s">
        <v>711</v>
      </c>
      <c r="B68" s="2" t="s">
        <v>94</v>
      </c>
      <c r="C68" s="2">
        <v>7820</v>
      </c>
      <c r="D68" s="3" t="s">
        <v>138</v>
      </c>
      <c r="E68" s="2">
        <v>30</v>
      </c>
      <c r="F68" s="323">
        <v>102975.3</v>
      </c>
      <c r="G68" s="323">
        <v>102975.3</v>
      </c>
      <c r="H68" s="43">
        <f t="shared" si="3"/>
        <v>0</v>
      </c>
    </row>
    <row r="69" spans="1:8" ht="15.75">
      <c r="A69" s="52" t="s">
        <v>712</v>
      </c>
      <c r="B69" s="2" t="s">
        <v>713</v>
      </c>
      <c r="C69" s="2" t="s">
        <v>714</v>
      </c>
      <c r="D69" s="2" t="s">
        <v>91</v>
      </c>
      <c r="E69" s="2">
        <v>1</v>
      </c>
      <c r="F69" s="320">
        <v>150457.64000000001</v>
      </c>
      <c r="G69" s="320">
        <v>151329.71</v>
      </c>
      <c r="H69" s="43">
        <f t="shared" si="3"/>
        <v>872.06999999997788</v>
      </c>
    </row>
    <row r="70" spans="1:8" ht="15.75">
      <c r="A70" s="1" t="s">
        <v>715</v>
      </c>
      <c r="B70" s="3" t="s">
        <v>104</v>
      </c>
      <c r="C70" s="2">
        <v>2564</v>
      </c>
      <c r="D70" s="2" t="s">
        <v>691</v>
      </c>
      <c r="E70" s="2">
        <v>20</v>
      </c>
      <c r="F70" s="319">
        <v>6518.1670000000004</v>
      </c>
      <c r="G70" s="319">
        <v>6519.0780000000004</v>
      </c>
      <c r="H70" s="43">
        <f t="shared" si="3"/>
        <v>18.220000000001164</v>
      </c>
    </row>
    <row r="71" spans="1:8" ht="16.5" thickBot="1">
      <c r="A71" s="124" t="s">
        <v>706</v>
      </c>
      <c r="B71" s="20"/>
      <c r="C71" s="20"/>
      <c r="D71" s="20"/>
      <c r="E71" s="20"/>
      <c r="F71" s="232"/>
      <c r="G71" s="232"/>
      <c r="H71" s="233">
        <f>SUM(H65:H70)</f>
        <v>44979.979999999974</v>
      </c>
    </row>
    <row r="74" spans="1:8" ht="18">
      <c r="A74" s="366" t="s">
        <v>716</v>
      </c>
      <c r="B74" s="366"/>
      <c r="C74" s="366"/>
      <c r="D74" s="366"/>
      <c r="E74" s="366"/>
      <c r="F74" s="366"/>
      <c r="G74" s="366"/>
      <c r="H74" s="366"/>
    </row>
    <row r="75" spans="1:8" ht="13.5" thickBot="1"/>
    <row r="76" spans="1:8" ht="16.5" thickBot="1">
      <c r="A76" s="367" t="s">
        <v>2</v>
      </c>
      <c r="B76" s="369" t="s">
        <v>3</v>
      </c>
      <c r="C76" s="367" t="s">
        <v>4</v>
      </c>
      <c r="D76" s="369" t="s">
        <v>5</v>
      </c>
      <c r="E76" s="367" t="s">
        <v>6</v>
      </c>
      <c r="F76" s="355" t="s">
        <v>7</v>
      </c>
      <c r="G76" s="354"/>
      <c r="H76" s="262" t="s">
        <v>8</v>
      </c>
    </row>
    <row r="77" spans="1:8" ht="16.5" thickBot="1">
      <c r="A77" s="368"/>
      <c r="B77" s="370"/>
      <c r="C77" s="368"/>
      <c r="D77" s="370"/>
      <c r="E77" s="368"/>
      <c r="F77" s="264" t="s">
        <v>630</v>
      </c>
      <c r="G77" s="264" t="s">
        <v>631</v>
      </c>
      <c r="H77" s="262" t="s">
        <v>12</v>
      </c>
    </row>
    <row r="78" spans="1:8" ht="15.75">
      <c r="A78" s="69" t="s">
        <v>717</v>
      </c>
      <c r="B78"/>
      <c r="C78" s="157" t="s">
        <v>718</v>
      </c>
      <c r="D78" s="2" t="s">
        <v>91</v>
      </c>
      <c r="E78" s="2">
        <v>1</v>
      </c>
      <c r="F78" s="274">
        <v>289.99</v>
      </c>
      <c r="G78" s="274">
        <v>289.99</v>
      </c>
      <c r="H78" s="26">
        <f t="shared" ref="H78:H85" si="4">(G78-F78)*E78</f>
        <v>0</v>
      </c>
    </row>
    <row r="79" spans="1:8" ht="15.75">
      <c r="A79" s="2" t="s">
        <v>719</v>
      </c>
      <c r="B79" s="2"/>
      <c r="C79" s="3" t="s">
        <v>720</v>
      </c>
      <c r="D79" s="2" t="s">
        <v>91</v>
      </c>
      <c r="E79" s="2">
        <v>1</v>
      </c>
      <c r="F79" s="324" t="s">
        <v>721</v>
      </c>
      <c r="G79" s="324" t="s">
        <v>721</v>
      </c>
      <c r="H79" s="7" t="e">
        <f t="shared" si="4"/>
        <v>#VALUE!</v>
      </c>
    </row>
    <row r="80" spans="1:8" ht="15.75">
      <c r="A80" s="2" t="s">
        <v>722</v>
      </c>
      <c r="B80" s="2"/>
      <c r="C80" s="3" t="s">
        <v>723</v>
      </c>
      <c r="D80" s="2" t="s">
        <v>91</v>
      </c>
      <c r="E80" s="2">
        <v>1</v>
      </c>
      <c r="F80" s="324" t="s">
        <v>724</v>
      </c>
      <c r="G80" s="324" t="s">
        <v>724</v>
      </c>
      <c r="H80" s="7" t="e">
        <f t="shared" si="4"/>
        <v>#VALUE!</v>
      </c>
    </row>
    <row r="81" spans="1:8" ht="15.75">
      <c r="A81" s="2" t="s">
        <v>725</v>
      </c>
      <c r="B81" s="2"/>
      <c r="C81" s="3" t="s">
        <v>726</v>
      </c>
      <c r="D81" s="2" t="s">
        <v>91</v>
      </c>
      <c r="E81" s="2">
        <v>1</v>
      </c>
      <c r="F81" s="324" t="s">
        <v>727</v>
      </c>
      <c r="G81" s="324" t="s">
        <v>727</v>
      </c>
      <c r="H81" s="7" t="e">
        <f t="shared" si="4"/>
        <v>#VALUE!</v>
      </c>
    </row>
    <row r="82" spans="1:8" ht="15.75">
      <c r="A82" s="2" t="s">
        <v>728</v>
      </c>
      <c r="B82" s="2" t="s">
        <v>729</v>
      </c>
      <c r="C82" s="290">
        <v>11067198197381</v>
      </c>
      <c r="D82" s="2" t="s">
        <v>91</v>
      </c>
      <c r="E82" s="2">
        <v>1</v>
      </c>
      <c r="F82" s="325">
        <v>4527.1000000000004</v>
      </c>
      <c r="G82" s="325">
        <v>5621.3</v>
      </c>
      <c r="H82" s="7">
        <f t="shared" si="4"/>
        <v>1094.1999999999998</v>
      </c>
    </row>
    <row r="83" spans="1:8" s="61" customFormat="1" ht="15.75">
      <c r="A83" s="2" t="s">
        <v>730</v>
      </c>
      <c r="B83" s="2"/>
      <c r="C83" s="49">
        <v>59419891</v>
      </c>
      <c r="D83" s="2" t="s">
        <v>91</v>
      </c>
      <c r="E83" s="2">
        <v>1</v>
      </c>
      <c r="F83" s="274">
        <v>33295.199999999997</v>
      </c>
      <c r="G83" s="274">
        <v>34427.300000000003</v>
      </c>
      <c r="H83" s="7">
        <f t="shared" si="4"/>
        <v>1132.1000000000058</v>
      </c>
    </row>
    <row r="84" spans="1:8" ht="15.75">
      <c r="A84" s="2" t="s">
        <v>731</v>
      </c>
      <c r="B84" s="2" t="s">
        <v>732</v>
      </c>
      <c r="C84" s="2">
        <v>60481001</v>
      </c>
      <c r="D84" s="2" t="s">
        <v>91</v>
      </c>
      <c r="E84" s="2">
        <v>1</v>
      </c>
      <c r="F84" s="274">
        <v>35193.5</v>
      </c>
      <c r="G84" s="274">
        <v>36412.9</v>
      </c>
      <c r="H84" s="7">
        <f t="shared" si="4"/>
        <v>1219.4000000000015</v>
      </c>
    </row>
    <row r="85" spans="1:8" ht="15.75">
      <c r="A85" s="2" t="s">
        <v>733</v>
      </c>
      <c r="B85" s="2"/>
      <c r="C85" s="2">
        <v>10858</v>
      </c>
      <c r="D85" s="2" t="s">
        <v>91</v>
      </c>
      <c r="E85" s="2">
        <v>1</v>
      </c>
      <c r="F85" s="320">
        <v>66211.960000000006</v>
      </c>
      <c r="G85" s="320">
        <v>66211.960000000006</v>
      </c>
      <c r="H85" s="7">
        <f t="shared" si="4"/>
        <v>0</v>
      </c>
    </row>
    <row r="86" spans="1:8" ht="15.75">
      <c r="A86" s="2" t="s">
        <v>734</v>
      </c>
      <c r="B86" s="2"/>
      <c r="C86" s="2">
        <v>25343481</v>
      </c>
      <c r="D86" s="2" t="s">
        <v>91</v>
      </c>
      <c r="E86" s="2">
        <v>1</v>
      </c>
      <c r="F86" s="320">
        <v>84818.559999999998</v>
      </c>
      <c r="G86" s="320">
        <v>86542.37</v>
      </c>
      <c r="H86" s="7">
        <f>(G86-F86)*E86</f>
        <v>1723.8099999999977</v>
      </c>
    </row>
    <row r="87" spans="1:8" ht="15.75">
      <c r="A87" s="53" t="s">
        <v>706</v>
      </c>
      <c r="B87" s="105"/>
      <c r="C87" s="105"/>
      <c r="D87" s="105"/>
      <c r="E87" s="105"/>
      <c r="F87" s="270"/>
      <c r="G87" s="270"/>
      <c r="H87" s="11" t="e">
        <f>SUM(H78:H86)</f>
        <v>#VALUE!</v>
      </c>
    </row>
    <row r="90" spans="1:8" ht="13.5" thickBot="1">
      <c r="B90" s="234"/>
    </row>
    <row r="91" spans="1:8">
      <c r="A91" s="235" t="s">
        <v>2</v>
      </c>
      <c r="B91" s="236"/>
      <c r="C91" s="237" t="s">
        <v>735</v>
      </c>
      <c r="D91" s="238" t="s">
        <v>736</v>
      </c>
    </row>
    <row r="92" spans="1:8" ht="30" customHeight="1">
      <c r="A92" s="371" t="s">
        <v>629</v>
      </c>
      <c r="B92" s="372"/>
      <c r="C92" s="243"/>
      <c r="D92" s="295">
        <f>H27</f>
        <v>270194.8600000015</v>
      </c>
    </row>
    <row r="93" spans="1:8" ht="19.5" customHeight="1">
      <c r="A93" s="371" t="s">
        <v>737</v>
      </c>
      <c r="B93" s="372"/>
      <c r="C93" s="243"/>
      <c r="D93" s="295">
        <f>H59</f>
        <v>1708823.1599999997</v>
      </c>
    </row>
    <row r="94" spans="1:8" ht="17.25" customHeight="1">
      <c r="A94" s="371" t="s">
        <v>707</v>
      </c>
      <c r="B94" s="372"/>
      <c r="C94" s="243"/>
      <c r="D94" s="295">
        <f>H71</f>
        <v>44979.979999999974</v>
      </c>
    </row>
    <row r="95" spans="1:8" ht="19.5" customHeight="1">
      <c r="A95" s="371" t="s">
        <v>738</v>
      </c>
      <c r="B95" s="372"/>
      <c r="C95" s="243"/>
      <c r="D95" s="295" t="e">
        <f>H87</f>
        <v>#VALUE!</v>
      </c>
    </row>
    <row r="96" spans="1:8" ht="13.5" thickBot="1">
      <c r="A96" s="75" t="s">
        <v>739</v>
      </c>
      <c r="B96" s="74"/>
      <c r="C96" s="301">
        <v>0</v>
      </c>
      <c r="D96" s="291"/>
    </row>
    <row r="97" spans="1:4" ht="13.5" thickBot="1">
      <c r="A97" s="71" t="s">
        <v>740</v>
      </c>
      <c r="B97" s="72"/>
      <c r="C97" s="301">
        <v>488519.99999999994</v>
      </c>
      <c r="D97" s="292">
        <f>SUM(C96:C97)</f>
        <v>488519.99999999994</v>
      </c>
    </row>
    <row r="98" spans="1:4" ht="13.5" thickBot="1">
      <c r="A98" s="73" t="s">
        <v>741</v>
      </c>
      <c r="B98" s="73"/>
      <c r="C98" s="244">
        <v>0</v>
      </c>
      <c r="D98" s="293"/>
    </row>
    <row r="99" spans="1:4" ht="13.5" thickBot="1">
      <c r="A99" s="74" t="s">
        <v>742</v>
      </c>
      <c r="B99" s="74"/>
      <c r="C99" s="244">
        <v>71759.999999999985</v>
      </c>
      <c r="D99" s="293">
        <f>SUM(C98:C99)</f>
        <v>71759.999999999985</v>
      </c>
    </row>
    <row r="100" spans="1:4" ht="13.5" thickBot="1">
      <c r="A100" s="364" t="s">
        <v>587</v>
      </c>
      <c r="B100" s="365"/>
      <c r="C100" s="240"/>
      <c r="D100" s="294" t="e">
        <f>SUM(D92:D99)</f>
        <v>#VALUE!</v>
      </c>
    </row>
    <row r="101" spans="1:4" ht="13.5" thickBot="1">
      <c r="A101" s="239" t="s">
        <v>743</v>
      </c>
      <c r="B101" s="239"/>
      <c r="C101" s="241"/>
      <c r="D101" s="242"/>
    </row>
  </sheetData>
  <autoFilter ref="C2:C101" xr:uid="{32D1A8B8-6913-4062-802D-2F898E857077}"/>
  <mergeCells count="33">
    <mergeCell ref="A61:H61"/>
    <mergeCell ref="A63:A64"/>
    <mergeCell ref="B63:B64"/>
    <mergeCell ref="C63:C64"/>
    <mergeCell ref="D63:D64"/>
    <mergeCell ref="E63:E64"/>
    <mergeCell ref="F63:G63"/>
    <mergeCell ref="A29:H29"/>
    <mergeCell ref="A4:A5"/>
    <mergeCell ref="B4:B5"/>
    <mergeCell ref="A31:A32"/>
    <mergeCell ref="B31:B32"/>
    <mergeCell ref="C31:C32"/>
    <mergeCell ref="D31:D32"/>
    <mergeCell ref="E31:E32"/>
    <mergeCell ref="F31:G31"/>
    <mergeCell ref="C4:C5"/>
    <mergeCell ref="D4:D5"/>
    <mergeCell ref="E4:E5"/>
    <mergeCell ref="F4:G4"/>
    <mergeCell ref="A2:H2"/>
    <mergeCell ref="A100:B100"/>
    <mergeCell ref="A74:H74"/>
    <mergeCell ref="A76:A77"/>
    <mergeCell ref="B76:B77"/>
    <mergeCell ref="C76:C77"/>
    <mergeCell ref="D76:D77"/>
    <mergeCell ref="E76:E77"/>
    <mergeCell ref="F76:G76"/>
    <mergeCell ref="A92:B92"/>
    <mergeCell ref="A93:B93"/>
    <mergeCell ref="A94:B94"/>
    <mergeCell ref="A95:B9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X</cp:lastModifiedBy>
  <cp:revision/>
  <dcterms:created xsi:type="dcterms:W3CDTF">2007-08-01T09:09:27Z</dcterms:created>
  <dcterms:modified xsi:type="dcterms:W3CDTF">2026-07-14T12:27:35Z</dcterms:modified>
  <cp:category/>
  <cp:contentStatus/>
</cp:coreProperties>
</file>